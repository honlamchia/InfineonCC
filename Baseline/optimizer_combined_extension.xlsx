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liveryScores" sheetId="3" state="visible" r:id="rId3"/>
    <sheet xmlns:r="http://schemas.openxmlformats.org/officeDocument/2006/relationships" name="BaselineScores" sheetId="4" state="visible" r:id="rId4"/>
    <sheet xmlns:r="http://schemas.openxmlformats.org/officeDocument/2006/relationships" name="RouteDecisions" sheetId="5" state="visible" r:id="rId5"/>
    <sheet xmlns:r="http://schemas.openxmlformats.org/officeDocument/2006/relationships" name="Unassig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ChainLab - Official normalised 40/40/20 MinScore (cost/kg, delivery grain; lower = better). Averages are over SCORED deliveries - unserved deliveries are listed in Unassigned, not silently dropped.</t>
        </is>
      </c>
    </row>
    <row r="3">
      <c r="A3" s="2" t="inlineStr">
        <is>
          <t>Metric</t>
        </is>
      </c>
      <c r="B3" s="2" t="inlineStr">
        <is>
          <t>Normal</t>
        </is>
      </c>
      <c r="C3" s="2" t="inlineStr">
        <is>
          <t>PrimaryHubDown</t>
        </is>
      </c>
      <c r="D3" s="2" t="inlineStr">
        <is>
          <t>AirCapacityReduced</t>
        </is>
      </c>
    </row>
    <row r="4">
      <c r="A4" s="3" t="inlineStr">
        <is>
          <t>Average MinScore (scored deliveries)</t>
        </is>
      </c>
      <c r="B4" s="4">
        <f>AVERAGE(DeliveryScores!$M$2:$M$166)</f>
        <v/>
      </c>
      <c r="C4" s="4">
        <f>AVERAGE(DeliveryScores!$M$167:$M$312)</f>
        <v/>
      </c>
      <c r="D4" s="4">
        <f>AVERAGE(DeliveryScores!$M$313:$M$465)</f>
        <v/>
      </c>
    </row>
    <row r="5">
      <c r="A5" s="3" t="inlineStr">
        <is>
          <t>Median</t>
        </is>
      </c>
      <c r="B5" s="4">
        <f>MEDIAN(DeliveryScores!$M$2:$M$166)</f>
        <v/>
      </c>
      <c r="C5" s="4">
        <f>MEDIAN(DeliveryScores!$M$167:$M$312)</f>
        <v/>
      </c>
      <c r="D5" s="4">
        <f>MEDIAN(DeliveryScores!$M$313:$M$465)</f>
        <v/>
      </c>
    </row>
    <row r="6">
      <c r="A6" s="3" t="inlineStr">
        <is>
          <t>Std dev</t>
        </is>
      </c>
      <c r="B6" s="4">
        <f>STDEV(DeliveryScores!$M$2:$M$166)</f>
        <v/>
      </c>
      <c r="C6" s="4">
        <f>STDEV(DeliveryScores!$M$167:$M$312)</f>
        <v/>
      </c>
      <c r="D6" s="4">
        <f>STDEV(DeliveryScores!$M$313:$M$465)</f>
        <v/>
      </c>
    </row>
    <row r="7">
      <c r="A7" s="3" t="inlineStr">
        <is>
          <t>Best (min)</t>
        </is>
      </c>
      <c r="B7" s="4">
        <f>MIN(DeliveryScores!$M$2:$M$166)</f>
        <v/>
      </c>
      <c r="C7" s="4">
        <f>MIN(DeliveryScores!$M$167:$M$312)</f>
        <v/>
      </c>
      <c r="D7" s="4">
        <f>MIN(DeliveryScores!$M$313:$M$465)</f>
        <v/>
      </c>
    </row>
    <row r="8">
      <c r="A8" s="3" t="inlineStr">
        <is>
          <t>Worst (max)</t>
        </is>
      </c>
      <c r="B8" s="4">
        <f>MAX(DeliveryScores!$M$2:$M$166)</f>
        <v/>
      </c>
      <c r="C8" s="4">
        <f>MAX(DeliveryScores!$M$167:$M$312)</f>
        <v/>
      </c>
      <c r="D8" s="4">
        <f>MAX(DeliveryScores!$M$313:$M$465)</f>
        <v/>
      </c>
    </row>
    <row r="9">
      <c r="A9" s="3" t="inlineStr">
        <is>
          <t>Shipments routed / universe</t>
        </is>
      </c>
      <c r="B9" s="3" t="inlineStr">
        <is>
          <t>97 / 132</t>
        </is>
      </c>
      <c r="C9" s="3" t="inlineStr">
        <is>
          <t>89 / 132</t>
        </is>
      </c>
      <c r="D9" s="3" t="inlineStr">
        <is>
          <t>93 / 132</t>
        </is>
      </c>
    </row>
    <row r="10">
      <c r="A10" s="3" t="inlineStr">
        <is>
          <t>Deliveries scored / total</t>
        </is>
      </c>
      <c r="B10" s="3" t="inlineStr">
        <is>
          <t>165 / 225</t>
        </is>
      </c>
      <c r="C10" s="3" t="inlineStr">
        <is>
          <t>146 / 225</t>
        </is>
      </c>
      <c r="D10" s="3" t="inlineStr">
        <is>
          <t>153 / 225</t>
        </is>
      </c>
    </row>
    <row r="11">
      <c r="A11" s="3" t="inlineStr">
        <is>
          <t>Multi-week routes selected</t>
        </is>
      </c>
      <c r="B11" s="3" t="n">
        <v>28</v>
      </c>
      <c r="C11" s="3" t="n">
        <v>28</v>
      </c>
      <c r="D11" s="3" t="n">
        <v>24</v>
      </c>
    </row>
    <row r="12">
      <c r="A12" s="3" t="inlineStr">
        <is>
          <t>Unassigned shipments (see Unassigned)</t>
        </is>
      </c>
      <c r="B12" s="3" t="n">
        <v>35</v>
      </c>
      <c r="C12" s="3" t="n">
        <v>43</v>
      </c>
      <c r="D12" s="3" t="n">
        <v>39</v>
      </c>
    </row>
    <row r="14">
      <c r="A14" s="5" t="inlineStr">
        <is>
          <t>BASELINE (primary planned lanes, same solver &amp; normalisation)</t>
        </is>
      </c>
    </row>
    <row r="15">
      <c r="A15" s="3" t="inlineStr">
        <is>
          <t>Baseline average (Normal)</t>
        </is>
      </c>
      <c r="B15" s="4">
        <f>AVERAGE(BaselineScores!$M$2:$M$127)</f>
        <v/>
      </c>
    </row>
    <row r="16">
      <c r="A16" s="3" t="inlineStr">
        <is>
          <t>Baseline Q1 - excellent threshold</t>
        </is>
      </c>
      <c r="B16" s="4">
        <f>QUARTILE(BaselineScores!$M$2:$M$127,1)</f>
        <v/>
      </c>
    </row>
    <row r="17">
      <c r="A17" s="3" t="inlineStr">
        <is>
          <t>Baseline Q3 - weak warning threshold</t>
        </is>
      </c>
      <c r="B17" s="4">
        <f>QUARTILE(BaselineScores!$M$2:$M$127,3)</f>
        <v/>
      </c>
    </row>
    <row r="18">
      <c r="A18" s="5" t="inlineStr">
        <is>
          <t>Beats baseline?</t>
        </is>
      </c>
      <c r="B18" s="5">
        <f>IF($B$4&lt;$B$15,"YES - average below baseline","NO")</f>
        <v/>
      </c>
    </row>
    <row r="19">
      <c r="A19" s="5" t="inlineStr">
        <is>
          <t>Excellent (at/below baseline Q1)?</t>
        </is>
      </c>
      <c r="B19" s="5">
        <f>IF($B$4&lt;=$B$16,"YES - at/below Q1","NO - above Q1")</f>
        <v/>
      </c>
    </row>
    <row r="20">
      <c r="A20" s="5" t="inlineStr">
        <is>
          <t>Weak warning (above baseline Q3)?</t>
        </is>
      </c>
      <c r="B20" s="5">
        <f>IF($B$4&gt;$B$17,"FLAG - above Q3","OK - not above Q3")</f>
        <v/>
      </c>
    </row>
    <row r="21">
      <c r="A21" s="5" t="inlineStr">
        <is>
          <t>Same-population check (common deliveries)</t>
        </is>
      </c>
      <c r="B21" s="5" t="inlineStr">
        <is>
          <t>opt 0.1417 vs baseline 0.1699 on 126 deliveries served by both</t>
        </is>
      </c>
    </row>
    <row r="22">
      <c r="A22" s="3" t="inlineStr">
        <is>
          <t>Baseline under disruption: no primary planned lanes exist in PrimaryHubDown / AirCapacityReduced - the optimiser finds alternatives (see scenario columns); baseline is reported as unavailable, not zero.</t>
        </is>
      </c>
    </row>
    <row r="24">
      <c r="A24" s="3" t="inlineStr">
        <is>
          <t>Tradeoff explanation: see Assumptions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ChainLab - Official MinScore: Assumptions &amp; Normalisation Bounds</t>
        </is>
      </c>
    </row>
    <row r="3">
      <c r="A3" s="5" t="inlineStr">
        <is>
          <t>Objective (graded MinScore)</t>
        </is>
      </c>
      <c r="B3" s="6" t="inlineStr">
        <is>
          <t>Normalised 40/40/20 MinScore per DELIVERY: 0.4*norm(BaseLeadTimeDays) + 0.4*norm(CostPerKG) + 0.2*norm(RiskScore). Lower is better. Min-max normalisation is a stated modelling assumption (the brief does not specify bounds); bounds shown below and used live by the formulas.</t>
        </is>
      </c>
    </row>
    <row r="4">
      <c r="A4" s="5" t="inlineStr">
        <is>
          <t>Cost/kg definition</t>
        </is>
      </c>
      <c r="B4" s="6" t="inlineStr">
        <is>
          <t>CostPerKG = route BaseCostEUR / individual delivery ChargeableWeight_KG - matches the dataset's own LowestCostPerKG_EUR benchmark definition (verified 225/225). 225 delivery scores share 132 upstream route decisions (one route per internal shipment; capacity charged once per shipment).</t>
        </is>
      </c>
    </row>
    <row r="5">
      <c r="A5" s="5" t="inlineStr">
        <is>
          <t>Universe</t>
        </is>
      </c>
      <c r="B5" s="6" t="inlineStr">
        <is>
          <t>Official score covers the 132 weight-linked internal shipments / 225 deliveries. Internal legs carry no weight (UoM=ST), so cost/kg is undefined for the other 108 shipments - they are routed in the separate proxy (cost/piece) model. Averages are over scored deliveries; unassigned deliveries are listed in Unassigned, never silently dropped.</t>
        </is>
      </c>
    </row>
    <row r="6">
      <c r="A6" s="5" t="inlineStr">
        <is>
          <t>Scenario layers</t>
        </is>
      </c>
      <c r="B6" s="6" t="inlineStr">
        <is>
          <t>Route scenario (Normal/PrimaryHubDown/AirCapacityReduced) filters Route_Options only. Hub disruption is a per-hub attribute in Hub_Constraints; the two DisruptionScenario columns are never matched to each other.</t>
        </is>
      </c>
    </row>
    <row r="7">
      <c r="A7" s="5" t="inlineStr">
        <is>
          <t>Handling capability</t>
        </is>
      </c>
      <c r="B7" s="6" t="inlineStr">
        <is>
          <t>Cold chain + hazard class via dedicated hub booleans; BOTH origin and destination hubs must qualify (stated assumption).</t>
        </is>
      </c>
    </row>
    <row r="8">
      <c r="A8" s="5" t="inlineStr">
        <is>
          <t>Capacity model</t>
        </is>
      </c>
      <c r="B8" s="6" t="inlineStr">
        <is>
          <t>*_pct fields are decimal fractions. remaining = weekly*(max_util*(1-reduction)) - current_load. bottleneck = min(route cap, origin remaining, dest remaining); bottleneck&lt;=0 rejected. WeeklyFootprint = min(Qty, bottleneck) charged identically to route + both hubs per ship-week. Planning horizon: WeeksRequired &gt; 12 throughput weeks -&gt; capacity escalation, never a normal solution. Approximation: footprint charged in ship week (full weekly-flow f[s,r,w] is the documented next step).</t>
        </is>
      </c>
    </row>
    <row r="9">
      <c r="A9" s="5" t="inlineStr">
        <is>
          <t>Baseline</t>
        </is>
      </c>
      <c r="B9" s="6" t="inlineStr">
        <is>
          <t>Primary planned lanes (IsPrimary=Yes) run through the SAME capacity-constrained solver, scored at the same delivery grain with the same normalisation. Q1/Q3 thresholds come from the baseline delivery-score distribution (per Hackathon_Guide). No primary lanes exist under the disruption scenarios - reported as such, not as a zero score.</t>
        </is>
      </c>
    </row>
    <row r="10">
      <c r="A10" s="5" t="inlineStr">
        <is>
          <t>Solver</t>
        </is>
      </c>
      <c r="B10" s="6" t="inlineStr">
        <is>
          <t>Binary PuLP/CBC model; one route or explicit unassigned slack per shipment (never an infeasible model).</t>
        </is>
      </c>
    </row>
    <row r="12">
      <c r="A12" s="5" t="inlineStr">
        <is>
          <t>Normalisation bounds (min-max, fixed across scenarios)</t>
        </is>
      </c>
    </row>
    <row r="13">
      <c r="A13" s="3" t="inlineStr">
        <is>
          <t>Lead (days)</t>
        </is>
      </c>
      <c r="B13" s="7" t="n">
        <v>1</v>
      </c>
      <c r="C13" s="7" t="n">
        <v>12</v>
      </c>
    </row>
    <row r="14">
      <c r="A14" s="3" t="inlineStr">
        <is>
          <t>Cost/kg (EUR)</t>
        </is>
      </c>
      <c r="B14" s="7" t="n">
        <v>0.06087896253602305</v>
      </c>
      <c r="C14" s="7" t="n">
        <v>806</v>
      </c>
    </row>
    <row r="15">
      <c r="A15" s="3" t="inlineStr">
        <is>
          <t>Risk</t>
        </is>
      </c>
      <c r="B15" s="7" t="n">
        <v>0.6</v>
      </c>
      <c r="C15" s="7" t="n">
        <v>4.7</v>
      </c>
    </row>
    <row r="17">
      <c r="A17" s="5" t="inlineStr">
        <is>
          <t>Tradeoff explanation (lead time vs cost/kg vs risk)</t>
        </is>
      </c>
    </row>
    <row r="18">
      <c r="A18" s="6" t="inlineStr">
        <is>
          <t>Lead time and cost/kg carry equal 40% weights: the model only accepts a slower route when its cost/kg saving is at least proportional, and vice versa; risk (20%) breaks ties toward robust lanes. In practice light-weight deliveries have high cost/kg, so their shipments prefer cheap road/sea lanes unless lead time dominates; heavy deliveries dilute cost/kg and take faster lanes. Under PrimaryHubDown / AirCapacityReduced the candidate pool degrades, so the optimiser trades a small score increase for feasible lower-risk alternates instead of unavailable primaries. Handling rules remove non-compliant hubs before scoring; capacity and the 12-week horizon act as hard constraints, so no score wins by violating feasibility.</t>
        </is>
      </c>
    </row>
    <row r="19"/>
    <row r="20"/>
    <row r="21"/>
    <row r="22"/>
    <row r="23"/>
    <row r="24"/>
    <row r="25"/>
  </sheetData>
  <mergeCells count="1">
    <mergeCell ref="A18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DeliveryNo</t>
        </is>
      </c>
      <c r="C1" s="2" t="inlineStr">
        <is>
          <t>ShipmentID</t>
        </is>
      </c>
      <c r="D1" s="2" t="inlineStr">
        <is>
          <t>RouteOptionID</t>
        </is>
      </c>
      <c r="E1" s="2" t="inlineStr">
        <is>
          <t>ChargeableWeight_KG</t>
        </is>
      </c>
      <c r="F1" s="2" t="inlineStr">
        <is>
          <t>BaseLeadTimeDays</t>
        </is>
      </c>
      <c r="G1" s="2" t="inlineStr">
        <is>
          <t>BaseCostEUR</t>
        </is>
      </c>
      <c r="H1" s="2" t="inlineStr">
        <is>
          <t>CostPerKG</t>
        </is>
      </c>
      <c r="I1" s="2" t="inlineStr">
        <is>
          <t>RiskScore</t>
        </is>
      </c>
      <c r="J1" s="2" t="inlineStr">
        <is>
          <t>n_lead</t>
        </is>
      </c>
      <c r="K1" s="2" t="inlineStr">
        <is>
          <t>n_cost</t>
        </is>
      </c>
      <c r="L1" s="2" t="inlineStr">
        <is>
          <t>n_risk</t>
        </is>
      </c>
      <c r="M1" s="2" t="inlineStr">
        <is>
          <t>DeliveryMinScore</t>
        </is>
      </c>
    </row>
    <row r="2">
      <c r="A2" s="3" t="inlineStr">
        <is>
          <t>Normal</t>
        </is>
      </c>
      <c r="B2" s="3" t="inlineStr">
        <is>
          <t>DEL_CX</t>
        </is>
      </c>
      <c r="C2" s="3" t="inlineStr">
        <is>
          <t>SIM-00001</t>
        </is>
      </c>
      <c r="D2" s="3" t="inlineStr">
        <is>
          <t>RO-03601</t>
        </is>
      </c>
      <c r="E2" s="3" t="n">
        <v>4</v>
      </c>
      <c r="F2" s="3" t="n">
        <v>2</v>
      </c>
      <c r="G2" s="3" t="n">
        <v>497</v>
      </c>
      <c r="H2" s="4">
        <f>G2/E2</f>
        <v/>
      </c>
      <c r="I2" s="3" t="n">
        <v>1.2</v>
      </c>
      <c r="J2" s="4">
        <f>(F2-Assumptions!$B$13)/(Assumptions!$C$13-Assumptions!$B$13)</f>
        <v/>
      </c>
      <c r="K2" s="4">
        <f>(H2-Assumptions!$B$14)/(Assumptions!$C$14-Assumptions!$B$14)</f>
        <v/>
      </c>
      <c r="L2" s="4">
        <f>(I2-Assumptions!$B$15)/(Assumptions!$C$15-Assumptions!$B$15)</f>
        <v/>
      </c>
      <c r="M2" s="4">
        <f>0.4*J2+0.4*K2+0.2*L2</f>
        <v/>
      </c>
    </row>
    <row r="3">
      <c r="A3" s="3" t="inlineStr">
        <is>
          <t>Normal</t>
        </is>
      </c>
      <c r="B3" s="3" t="inlineStr">
        <is>
          <t>DEL_GH</t>
        </is>
      </c>
      <c r="C3" s="3" t="inlineStr">
        <is>
          <t>SIM-00001</t>
        </is>
      </c>
      <c r="D3" s="3" t="inlineStr">
        <is>
          <t>RO-03601</t>
        </is>
      </c>
      <c r="E3" s="3" t="n">
        <v>1</v>
      </c>
      <c r="F3" s="3" t="n">
        <v>2</v>
      </c>
      <c r="G3" s="3" t="n">
        <v>497</v>
      </c>
      <c r="H3" s="4">
        <f>G3/E3</f>
        <v/>
      </c>
      <c r="I3" s="3" t="n">
        <v>1.2</v>
      </c>
      <c r="J3" s="4">
        <f>(F3-Assumptions!$B$13)/(Assumptions!$C$13-Assumptions!$B$13)</f>
        <v/>
      </c>
      <c r="K3" s="4">
        <f>(H3-Assumptions!$B$14)/(Assumptions!$C$14-Assumptions!$B$14)</f>
        <v/>
      </c>
      <c r="L3" s="4">
        <f>(I3-Assumptions!$B$15)/(Assumptions!$C$15-Assumptions!$B$15)</f>
        <v/>
      </c>
      <c r="M3" s="4">
        <f>0.4*J3+0.4*K3+0.2*L3</f>
        <v/>
      </c>
    </row>
    <row r="4">
      <c r="A4" s="3" t="inlineStr">
        <is>
          <t>Normal</t>
        </is>
      </c>
      <c r="B4" s="3" t="inlineStr">
        <is>
          <t>DEL_CO</t>
        </is>
      </c>
      <c r="C4" s="3" t="inlineStr">
        <is>
          <t>SIM-00002</t>
        </is>
      </c>
      <c r="D4" s="3" t="inlineStr">
        <is>
          <t>RO-03602</t>
        </is>
      </c>
      <c r="E4" s="3" t="n">
        <v>1063.5</v>
      </c>
      <c r="F4" s="3" t="n">
        <v>4</v>
      </c>
      <c r="G4" s="3" t="n">
        <v>249</v>
      </c>
      <c r="H4" s="4">
        <f>G4/E4</f>
        <v/>
      </c>
      <c r="I4" s="3" t="n">
        <v>1.8</v>
      </c>
      <c r="J4" s="4">
        <f>(F4-Assumptions!$B$13)/(Assumptions!$C$13-Assumptions!$B$13)</f>
        <v/>
      </c>
      <c r="K4" s="4">
        <f>(H4-Assumptions!$B$14)/(Assumptions!$C$14-Assumptions!$B$14)</f>
        <v/>
      </c>
      <c r="L4" s="4">
        <f>(I4-Assumptions!$B$15)/(Assumptions!$C$15-Assumptions!$B$15)</f>
        <v/>
      </c>
      <c r="M4" s="4">
        <f>0.4*J4+0.4*K4+0.2*L4</f>
        <v/>
      </c>
    </row>
    <row r="5">
      <c r="A5" s="3" t="inlineStr">
        <is>
          <t>Normal</t>
        </is>
      </c>
      <c r="B5" s="3" t="inlineStr">
        <is>
          <t>DEL_GU</t>
        </is>
      </c>
      <c r="C5" s="3" t="inlineStr">
        <is>
          <t>SIM-00002</t>
        </is>
      </c>
      <c r="D5" s="3" t="inlineStr">
        <is>
          <t>RO-03602</t>
        </is>
      </c>
      <c r="E5" s="3" t="n">
        <v>36</v>
      </c>
      <c r="F5" s="3" t="n">
        <v>4</v>
      </c>
      <c r="G5" s="3" t="n">
        <v>249</v>
      </c>
      <c r="H5" s="4">
        <f>G5/E5</f>
        <v/>
      </c>
      <c r="I5" s="3" t="n">
        <v>1.8</v>
      </c>
      <c r="J5" s="4">
        <f>(F5-Assumptions!$B$13)/(Assumptions!$C$13-Assumptions!$B$13)</f>
        <v/>
      </c>
      <c r="K5" s="4">
        <f>(H5-Assumptions!$B$14)/(Assumptions!$C$14-Assumptions!$B$14)</f>
        <v/>
      </c>
      <c r="L5" s="4">
        <f>(I5-Assumptions!$B$15)/(Assumptions!$C$15-Assumptions!$B$15)</f>
        <v/>
      </c>
      <c r="M5" s="4">
        <f>0.4*J5+0.4*K5+0.2*L5</f>
        <v/>
      </c>
    </row>
    <row r="6">
      <c r="A6" s="3" t="inlineStr">
        <is>
          <t>Normal</t>
        </is>
      </c>
      <c r="B6" s="3" t="inlineStr">
        <is>
          <t>DEL_DI</t>
        </is>
      </c>
      <c r="C6" s="3" t="inlineStr">
        <is>
          <t>SIM-00003</t>
        </is>
      </c>
      <c r="D6" s="3" t="inlineStr">
        <is>
          <t>RO-00514</t>
        </is>
      </c>
      <c r="E6" s="3" t="n">
        <v>2113.5</v>
      </c>
      <c r="F6" s="3" t="n">
        <v>3</v>
      </c>
      <c r="G6" s="3" t="n">
        <v>712</v>
      </c>
      <c r="H6" s="4">
        <f>G6/E6</f>
        <v/>
      </c>
      <c r="I6" s="3" t="n">
        <v>1.5</v>
      </c>
      <c r="J6" s="4">
        <f>(F6-Assumptions!$B$13)/(Assumptions!$C$13-Assumptions!$B$13)</f>
        <v/>
      </c>
      <c r="K6" s="4">
        <f>(H6-Assumptions!$B$14)/(Assumptions!$C$14-Assumptions!$B$14)</f>
        <v/>
      </c>
      <c r="L6" s="4">
        <f>(I6-Assumptions!$B$15)/(Assumptions!$C$15-Assumptions!$B$15)</f>
        <v/>
      </c>
      <c r="M6" s="4">
        <f>0.4*J6+0.4*K6+0.2*L6</f>
        <v/>
      </c>
    </row>
    <row r="7">
      <c r="A7" s="3" t="inlineStr">
        <is>
          <t>Normal</t>
        </is>
      </c>
      <c r="B7" s="3" t="inlineStr">
        <is>
          <t>DEL_GW</t>
        </is>
      </c>
      <c r="C7" s="3" t="inlineStr">
        <is>
          <t>SIM-00003</t>
        </is>
      </c>
      <c r="D7" s="3" t="inlineStr">
        <is>
          <t>RO-00514</t>
        </is>
      </c>
      <c r="E7" s="3" t="n">
        <v>4.5</v>
      </c>
      <c r="F7" s="3" t="n">
        <v>3</v>
      </c>
      <c r="G7" s="3" t="n">
        <v>712</v>
      </c>
      <c r="H7" s="4">
        <f>G7/E7</f>
        <v/>
      </c>
      <c r="I7" s="3" t="n">
        <v>1.5</v>
      </c>
      <c r="J7" s="4">
        <f>(F7-Assumptions!$B$13)/(Assumptions!$C$13-Assumptions!$B$13)</f>
        <v/>
      </c>
      <c r="K7" s="4">
        <f>(H7-Assumptions!$B$14)/(Assumptions!$C$14-Assumptions!$B$14)</f>
        <v/>
      </c>
      <c r="L7" s="4">
        <f>(I7-Assumptions!$B$15)/(Assumptions!$C$15-Assumptions!$B$15)</f>
        <v/>
      </c>
      <c r="M7" s="4">
        <f>0.4*J7+0.4*K7+0.2*L7</f>
        <v/>
      </c>
    </row>
    <row r="8">
      <c r="A8" s="3" t="inlineStr">
        <is>
          <t>Normal</t>
        </is>
      </c>
      <c r="B8" s="3" t="inlineStr">
        <is>
          <t>DEL_F</t>
        </is>
      </c>
      <c r="C8" s="3" t="inlineStr">
        <is>
          <t>SIM-00004</t>
        </is>
      </c>
      <c r="D8" s="3" t="inlineStr">
        <is>
          <t>RO-00049</t>
        </is>
      </c>
      <c r="E8" s="3" t="n">
        <v>208</v>
      </c>
      <c r="F8" s="3" t="n">
        <v>4</v>
      </c>
      <c r="G8" s="3" t="n">
        <v>588</v>
      </c>
      <c r="H8" s="4">
        <f>G8/E8</f>
        <v/>
      </c>
      <c r="I8" s="3" t="n">
        <v>1.5</v>
      </c>
      <c r="J8" s="4">
        <f>(F8-Assumptions!$B$13)/(Assumptions!$C$13-Assumptions!$B$13)</f>
        <v/>
      </c>
      <c r="K8" s="4">
        <f>(H8-Assumptions!$B$14)/(Assumptions!$C$14-Assumptions!$B$14)</f>
        <v/>
      </c>
      <c r="L8" s="4">
        <f>(I8-Assumptions!$B$15)/(Assumptions!$C$15-Assumptions!$B$15)</f>
        <v/>
      </c>
      <c r="M8" s="4">
        <f>0.4*J8+0.4*K8+0.2*L8</f>
        <v/>
      </c>
    </row>
    <row r="9">
      <c r="A9" s="3" t="inlineStr">
        <is>
          <t>Normal</t>
        </is>
      </c>
      <c r="B9" s="3" t="inlineStr">
        <is>
          <t>DEL_BK</t>
        </is>
      </c>
      <c r="C9" s="3" t="inlineStr">
        <is>
          <t>SIM-00004</t>
        </is>
      </c>
      <c r="D9" s="3" t="inlineStr">
        <is>
          <t>RO-00049</t>
        </is>
      </c>
      <c r="E9" s="3" t="n">
        <v>168.5</v>
      </c>
      <c r="F9" s="3" t="n">
        <v>4</v>
      </c>
      <c r="G9" s="3" t="n">
        <v>588</v>
      </c>
      <c r="H9" s="4">
        <f>G9/E9</f>
        <v/>
      </c>
      <c r="I9" s="3" t="n">
        <v>1.5</v>
      </c>
      <c r="J9" s="4">
        <f>(F9-Assumptions!$B$13)/(Assumptions!$C$13-Assumptions!$B$13)</f>
        <v/>
      </c>
      <c r="K9" s="4">
        <f>(H9-Assumptions!$B$14)/(Assumptions!$C$14-Assumptions!$B$14)</f>
        <v/>
      </c>
      <c r="L9" s="4">
        <f>(I9-Assumptions!$B$15)/(Assumptions!$C$15-Assumptions!$B$15)</f>
        <v/>
      </c>
      <c r="M9" s="4">
        <f>0.4*J9+0.4*K9+0.2*L9</f>
        <v/>
      </c>
    </row>
    <row r="10">
      <c r="A10" s="3" t="inlineStr">
        <is>
          <t>Normal</t>
        </is>
      </c>
      <c r="B10" s="3" t="inlineStr">
        <is>
          <t>DEL_ED</t>
        </is>
      </c>
      <c r="C10" s="3" t="inlineStr">
        <is>
          <t>SIM-00004</t>
        </is>
      </c>
      <c r="D10" s="3" t="inlineStr">
        <is>
          <t>RO-00049</t>
        </is>
      </c>
      <c r="E10" s="3" t="n">
        <v>187</v>
      </c>
      <c r="F10" s="3" t="n">
        <v>4</v>
      </c>
      <c r="G10" s="3" t="n">
        <v>588</v>
      </c>
      <c r="H10" s="4">
        <f>G10/E10</f>
        <v/>
      </c>
      <c r="I10" s="3" t="n">
        <v>1.5</v>
      </c>
      <c r="J10" s="4">
        <f>(F10-Assumptions!$B$13)/(Assumptions!$C$13-Assumptions!$B$13)</f>
        <v/>
      </c>
      <c r="K10" s="4">
        <f>(H10-Assumptions!$B$14)/(Assumptions!$C$14-Assumptions!$B$14)</f>
        <v/>
      </c>
      <c r="L10" s="4">
        <f>(I10-Assumptions!$B$15)/(Assumptions!$C$15-Assumptions!$B$15)</f>
        <v/>
      </c>
      <c r="M10" s="4">
        <f>0.4*J10+0.4*K10+0.2*L10</f>
        <v/>
      </c>
    </row>
    <row r="11">
      <c r="A11" s="3" t="inlineStr">
        <is>
          <t>Normal</t>
        </is>
      </c>
      <c r="B11" s="3" t="inlineStr">
        <is>
          <t>DEL_BT</t>
        </is>
      </c>
      <c r="C11" s="3" t="inlineStr">
        <is>
          <t>SIM-00005</t>
        </is>
      </c>
      <c r="D11" s="3" t="inlineStr">
        <is>
          <t>RO-03605</t>
        </is>
      </c>
      <c r="E11" s="3" t="n">
        <v>4</v>
      </c>
      <c r="F11" s="3" t="n">
        <v>2</v>
      </c>
      <c r="G11" s="3" t="n">
        <v>545</v>
      </c>
      <c r="H11" s="4">
        <f>G11/E11</f>
        <v/>
      </c>
      <c r="I11" s="3" t="n">
        <v>1.8</v>
      </c>
      <c r="J11" s="4">
        <f>(F11-Assumptions!$B$13)/(Assumptions!$C$13-Assumptions!$B$13)</f>
        <v/>
      </c>
      <c r="K11" s="4">
        <f>(H11-Assumptions!$B$14)/(Assumptions!$C$14-Assumptions!$B$14)</f>
        <v/>
      </c>
      <c r="L11" s="4">
        <f>(I11-Assumptions!$B$15)/(Assumptions!$C$15-Assumptions!$B$15)</f>
        <v/>
      </c>
      <c r="M11" s="4">
        <f>0.4*J11+0.4*K11+0.2*L11</f>
        <v/>
      </c>
    </row>
    <row r="12">
      <c r="A12" s="3" t="inlineStr">
        <is>
          <t>Normal</t>
        </is>
      </c>
      <c r="B12" s="3" t="inlineStr">
        <is>
          <t>DEL_CE</t>
        </is>
      </c>
      <c r="C12" s="3" t="inlineStr">
        <is>
          <t>SIM-00005</t>
        </is>
      </c>
      <c r="D12" s="3" t="inlineStr">
        <is>
          <t>RO-03605</t>
        </is>
      </c>
      <c r="E12" s="3" t="n">
        <v>1395</v>
      </c>
      <c r="F12" s="3" t="n">
        <v>2</v>
      </c>
      <c r="G12" s="3" t="n">
        <v>545</v>
      </c>
      <c r="H12" s="4">
        <f>G12/E12</f>
        <v/>
      </c>
      <c r="I12" s="3" t="n">
        <v>1.8</v>
      </c>
      <c r="J12" s="4">
        <f>(F12-Assumptions!$B$13)/(Assumptions!$C$13-Assumptions!$B$13)</f>
        <v/>
      </c>
      <c r="K12" s="4">
        <f>(H12-Assumptions!$B$14)/(Assumptions!$C$14-Assumptions!$B$14)</f>
        <v/>
      </c>
      <c r="L12" s="4">
        <f>(I12-Assumptions!$B$15)/(Assumptions!$C$15-Assumptions!$B$15)</f>
        <v/>
      </c>
      <c r="M12" s="4">
        <f>0.4*J12+0.4*K12+0.2*L12</f>
        <v/>
      </c>
    </row>
    <row r="13">
      <c r="A13" s="3" t="inlineStr">
        <is>
          <t>Normal</t>
        </is>
      </c>
      <c r="B13" s="3" t="inlineStr">
        <is>
          <t>DEL_FN</t>
        </is>
      </c>
      <c r="C13" s="3" t="inlineStr">
        <is>
          <t>SIM-00005</t>
        </is>
      </c>
      <c r="D13" s="3" t="inlineStr">
        <is>
          <t>RO-03605</t>
        </is>
      </c>
      <c r="E13" s="3" t="n">
        <v>518.5</v>
      </c>
      <c r="F13" s="3" t="n">
        <v>2</v>
      </c>
      <c r="G13" s="3" t="n">
        <v>545</v>
      </c>
      <c r="H13" s="4">
        <f>G13/E13</f>
        <v/>
      </c>
      <c r="I13" s="3" t="n">
        <v>1.8</v>
      </c>
      <c r="J13" s="4">
        <f>(F13-Assumptions!$B$13)/(Assumptions!$C$13-Assumptions!$B$13)</f>
        <v/>
      </c>
      <c r="K13" s="4">
        <f>(H13-Assumptions!$B$14)/(Assumptions!$C$14-Assumptions!$B$14)</f>
        <v/>
      </c>
      <c r="L13" s="4">
        <f>(I13-Assumptions!$B$15)/(Assumptions!$C$15-Assumptions!$B$15)</f>
        <v/>
      </c>
      <c r="M13" s="4">
        <f>0.4*J13+0.4*K13+0.2*L13</f>
        <v/>
      </c>
    </row>
    <row r="14">
      <c r="A14" s="3" t="inlineStr">
        <is>
          <t>Normal</t>
        </is>
      </c>
      <c r="B14" s="3" t="inlineStr">
        <is>
          <t>DEL_EU</t>
        </is>
      </c>
      <c r="C14" s="3" t="inlineStr">
        <is>
          <t>SIM-00005</t>
        </is>
      </c>
      <c r="D14" s="3" t="inlineStr">
        <is>
          <t>RO-03605</t>
        </is>
      </c>
      <c r="E14" s="3" t="n">
        <v>451</v>
      </c>
      <c r="F14" s="3" t="n">
        <v>2</v>
      </c>
      <c r="G14" s="3" t="n">
        <v>545</v>
      </c>
      <c r="H14" s="4">
        <f>G14/E14</f>
        <v/>
      </c>
      <c r="I14" s="3" t="n">
        <v>1.8</v>
      </c>
      <c r="J14" s="4">
        <f>(F14-Assumptions!$B$13)/(Assumptions!$C$13-Assumptions!$B$13)</f>
        <v/>
      </c>
      <c r="K14" s="4">
        <f>(H14-Assumptions!$B$14)/(Assumptions!$C$14-Assumptions!$B$14)</f>
        <v/>
      </c>
      <c r="L14" s="4">
        <f>(I14-Assumptions!$B$15)/(Assumptions!$C$15-Assumptions!$B$15)</f>
        <v/>
      </c>
      <c r="M14" s="4">
        <f>0.4*J14+0.4*K14+0.2*L14</f>
        <v/>
      </c>
    </row>
    <row r="15">
      <c r="A15" s="3" t="inlineStr">
        <is>
          <t>Normal</t>
        </is>
      </c>
      <c r="B15" s="3" t="inlineStr">
        <is>
          <t>DEL_HI</t>
        </is>
      </c>
      <c r="C15" s="3" t="inlineStr">
        <is>
          <t>SIM-00005</t>
        </is>
      </c>
      <c r="D15" s="3" t="inlineStr">
        <is>
          <t>RO-03605</t>
        </is>
      </c>
      <c r="E15" s="3" t="n">
        <v>3.5</v>
      </c>
      <c r="F15" s="3" t="n">
        <v>2</v>
      </c>
      <c r="G15" s="3" t="n">
        <v>545</v>
      </c>
      <c r="H15" s="4">
        <f>G15/E15</f>
        <v/>
      </c>
      <c r="I15" s="3" t="n">
        <v>1.8</v>
      </c>
      <c r="J15" s="4">
        <f>(F15-Assumptions!$B$13)/(Assumptions!$C$13-Assumptions!$B$13)</f>
        <v/>
      </c>
      <c r="K15" s="4">
        <f>(H15-Assumptions!$B$14)/(Assumptions!$C$14-Assumptions!$B$14)</f>
        <v/>
      </c>
      <c r="L15" s="4">
        <f>(I15-Assumptions!$B$15)/(Assumptions!$C$15-Assumptions!$B$15)</f>
        <v/>
      </c>
      <c r="M15" s="4">
        <f>0.4*J15+0.4*K15+0.2*L15</f>
        <v/>
      </c>
    </row>
    <row r="16">
      <c r="A16" s="3" t="inlineStr">
        <is>
          <t>Normal</t>
        </is>
      </c>
      <c r="B16" s="3" t="inlineStr">
        <is>
          <t>DEL_GL</t>
        </is>
      </c>
      <c r="C16" s="3" t="inlineStr">
        <is>
          <t>SIM-00010</t>
        </is>
      </c>
      <c r="D16" s="3" t="inlineStr">
        <is>
          <t>RO-01108</t>
        </is>
      </c>
      <c r="E16" s="3" t="n">
        <v>96</v>
      </c>
      <c r="F16" s="3" t="n">
        <v>5</v>
      </c>
      <c r="G16" s="3" t="n">
        <v>292</v>
      </c>
      <c r="H16" s="4">
        <f>G16/E16</f>
        <v/>
      </c>
      <c r="I16" s="3" t="n">
        <v>2.3</v>
      </c>
      <c r="J16" s="4">
        <f>(F16-Assumptions!$B$13)/(Assumptions!$C$13-Assumptions!$B$13)</f>
        <v/>
      </c>
      <c r="K16" s="4">
        <f>(H16-Assumptions!$B$14)/(Assumptions!$C$14-Assumptions!$B$14)</f>
        <v/>
      </c>
      <c r="L16" s="4">
        <f>(I16-Assumptions!$B$15)/(Assumptions!$C$15-Assumptions!$B$15)</f>
        <v/>
      </c>
      <c r="M16" s="4">
        <f>0.4*J16+0.4*K16+0.2*L16</f>
        <v/>
      </c>
    </row>
    <row r="17">
      <c r="A17" s="3" t="inlineStr">
        <is>
          <t>Normal</t>
        </is>
      </c>
      <c r="B17" s="3" t="inlineStr">
        <is>
          <t>DEL_FL</t>
        </is>
      </c>
      <c r="C17" s="3" t="inlineStr">
        <is>
          <t>SIM-00012</t>
        </is>
      </c>
      <c r="D17" s="3" t="inlineStr">
        <is>
          <t>RO-01486</t>
        </is>
      </c>
      <c r="E17" s="3" t="n">
        <v>265.5</v>
      </c>
      <c r="F17" s="3" t="n">
        <v>1</v>
      </c>
      <c r="G17" s="3" t="n">
        <v>712</v>
      </c>
      <c r="H17" s="4">
        <f>G17/E17</f>
        <v/>
      </c>
      <c r="I17" s="3" t="n">
        <v>1.5</v>
      </c>
      <c r="J17" s="4">
        <f>(F17-Assumptions!$B$13)/(Assumptions!$C$13-Assumptions!$B$13)</f>
        <v/>
      </c>
      <c r="K17" s="4">
        <f>(H17-Assumptions!$B$14)/(Assumptions!$C$14-Assumptions!$B$14)</f>
        <v/>
      </c>
      <c r="L17" s="4">
        <f>(I17-Assumptions!$B$15)/(Assumptions!$C$15-Assumptions!$B$15)</f>
        <v/>
      </c>
      <c r="M17" s="4">
        <f>0.4*J17+0.4*K17+0.2*L17</f>
        <v/>
      </c>
    </row>
    <row r="18">
      <c r="A18" s="3" t="inlineStr">
        <is>
          <t>Normal</t>
        </is>
      </c>
      <c r="B18" s="3" t="inlineStr">
        <is>
          <t>DEL_FI</t>
        </is>
      </c>
      <c r="C18" s="3" t="inlineStr">
        <is>
          <t>SIM-00012</t>
        </is>
      </c>
      <c r="D18" s="3" t="inlineStr">
        <is>
          <t>RO-01486</t>
        </is>
      </c>
      <c r="E18" s="3" t="n">
        <v>4</v>
      </c>
      <c r="F18" s="3" t="n">
        <v>1</v>
      </c>
      <c r="G18" s="3" t="n">
        <v>712</v>
      </c>
      <c r="H18" s="4">
        <f>G18/E18</f>
        <v/>
      </c>
      <c r="I18" s="3" t="n">
        <v>1.5</v>
      </c>
      <c r="J18" s="4">
        <f>(F18-Assumptions!$B$13)/(Assumptions!$C$13-Assumptions!$B$13)</f>
        <v/>
      </c>
      <c r="K18" s="4">
        <f>(H18-Assumptions!$B$14)/(Assumptions!$C$14-Assumptions!$B$14)</f>
        <v/>
      </c>
      <c r="L18" s="4">
        <f>(I18-Assumptions!$B$15)/(Assumptions!$C$15-Assumptions!$B$15)</f>
        <v/>
      </c>
      <c r="M18" s="4">
        <f>0.4*J18+0.4*K18+0.2*L18</f>
        <v/>
      </c>
    </row>
    <row r="19">
      <c r="A19" s="3" t="inlineStr">
        <is>
          <t>Normal</t>
        </is>
      </c>
      <c r="B19" s="3" t="inlineStr">
        <is>
          <t>DEL_FJ</t>
        </is>
      </c>
      <c r="C19" s="3" t="inlineStr">
        <is>
          <t>SIM-00012</t>
        </is>
      </c>
      <c r="D19" s="3" t="inlineStr">
        <is>
          <t>RO-01486</t>
        </is>
      </c>
      <c r="E19" s="3" t="n">
        <v>6.5</v>
      </c>
      <c r="F19" s="3" t="n">
        <v>1</v>
      </c>
      <c r="G19" s="3" t="n">
        <v>712</v>
      </c>
      <c r="H19" s="4">
        <f>G19/E19</f>
        <v/>
      </c>
      <c r="I19" s="3" t="n">
        <v>1.5</v>
      </c>
      <c r="J19" s="4">
        <f>(F19-Assumptions!$B$13)/(Assumptions!$C$13-Assumptions!$B$13)</f>
        <v/>
      </c>
      <c r="K19" s="4">
        <f>(H19-Assumptions!$B$14)/(Assumptions!$C$14-Assumptions!$B$14)</f>
        <v/>
      </c>
      <c r="L19" s="4">
        <f>(I19-Assumptions!$B$15)/(Assumptions!$C$15-Assumptions!$B$15)</f>
        <v/>
      </c>
      <c r="M19" s="4">
        <f>0.4*J19+0.4*K19+0.2*L19</f>
        <v/>
      </c>
    </row>
    <row r="20">
      <c r="A20" s="3" t="inlineStr">
        <is>
          <t>Normal</t>
        </is>
      </c>
      <c r="B20" s="3" t="inlineStr">
        <is>
          <t>DEL_CF</t>
        </is>
      </c>
      <c r="C20" s="3" t="inlineStr">
        <is>
          <t>SIM-00016</t>
        </is>
      </c>
      <c r="D20" s="3" t="inlineStr">
        <is>
          <t>RO-01912</t>
        </is>
      </c>
      <c r="E20" s="3" t="n">
        <v>7</v>
      </c>
      <c r="F20" s="3" t="n">
        <v>4</v>
      </c>
      <c r="G20" s="3" t="n">
        <v>328</v>
      </c>
      <c r="H20" s="4">
        <f>G20/E20</f>
        <v/>
      </c>
      <c r="I20" s="3" t="n">
        <v>2.3</v>
      </c>
      <c r="J20" s="4">
        <f>(F20-Assumptions!$B$13)/(Assumptions!$C$13-Assumptions!$B$13)</f>
        <v/>
      </c>
      <c r="K20" s="4">
        <f>(H20-Assumptions!$B$14)/(Assumptions!$C$14-Assumptions!$B$14)</f>
        <v/>
      </c>
      <c r="L20" s="4">
        <f>(I20-Assumptions!$B$15)/(Assumptions!$C$15-Assumptions!$B$15)</f>
        <v/>
      </c>
      <c r="M20" s="4">
        <f>0.4*J20+0.4*K20+0.2*L20</f>
        <v/>
      </c>
    </row>
    <row r="21">
      <c r="A21" s="3" t="inlineStr">
        <is>
          <t>Normal</t>
        </is>
      </c>
      <c r="B21" s="3" t="inlineStr">
        <is>
          <t>DEL_G</t>
        </is>
      </c>
      <c r="C21" s="3" t="inlineStr">
        <is>
          <t>SIM-00018</t>
        </is>
      </c>
      <c r="D21" s="3" t="inlineStr">
        <is>
          <t>RO-00265</t>
        </is>
      </c>
      <c r="E21" s="3" t="n">
        <v>334</v>
      </c>
      <c r="F21" s="3" t="n">
        <v>2</v>
      </c>
      <c r="G21" s="3" t="n">
        <v>588</v>
      </c>
      <c r="H21" s="4">
        <f>G21/E21</f>
        <v/>
      </c>
      <c r="I21" s="3" t="n">
        <v>1.5</v>
      </c>
      <c r="J21" s="4">
        <f>(F21-Assumptions!$B$13)/(Assumptions!$C$13-Assumptions!$B$13)</f>
        <v/>
      </c>
      <c r="K21" s="4">
        <f>(H21-Assumptions!$B$14)/(Assumptions!$C$14-Assumptions!$B$14)</f>
        <v/>
      </c>
      <c r="L21" s="4">
        <f>(I21-Assumptions!$B$15)/(Assumptions!$C$15-Assumptions!$B$15)</f>
        <v/>
      </c>
      <c r="M21" s="4">
        <f>0.4*J21+0.4*K21+0.2*L21</f>
        <v/>
      </c>
    </row>
    <row r="22">
      <c r="A22" s="3" t="inlineStr">
        <is>
          <t>Normal</t>
        </is>
      </c>
      <c r="B22" s="3" t="inlineStr">
        <is>
          <t>DEL_EJ</t>
        </is>
      </c>
      <c r="C22" s="3" t="inlineStr">
        <is>
          <t>SIM-00019</t>
        </is>
      </c>
      <c r="D22" s="3" t="inlineStr">
        <is>
          <t>RO-03619</t>
        </is>
      </c>
      <c r="E22" s="3" t="n">
        <v>12.5</v>
      </c>
      <c r="F22" s="3" t="n">
        <v>3</v>
      </c>
      <c r="G22" s="3" t="n">
        <v>657</v>
      </c>
      <c r="H22" s="4">
        <f>G22/E22</f>
        <v/>
      </c>
      <c r="I22" s="3" t="n">
        <v>0.8</v>
      </c>
      <c r="J22" s="4">
        <f>(F22-Assumptions!$B$13)/(Assumptions!$C$13-Assumptions!$B$13)</f>
        <v/>
      </c>
      <c r="K22" s="4">
        <f>(H22-Assumptions!$B$14)/(Assumptions!$C$14-Assumptions!$B$14)</f>
        <v/>
      </c>
      <c r="L22" s="4">
        <f>(I22-Assumptions!$B$15)/(Assumptions!$C$15-Assumptions!$B$15)</f>
        <v/>
      </c>
      <c r="M22" s="4">
        <f>0.4*J22+0.4*K22+0.2*L22</f>
        <v/>
      </c>
    </row>
    <row r="23">
      <c r="A23" s="3" t="inlineStr">
        <is>
          <t>Normal</t>
        </is>
      </c>
      <c r="B23" s="3" t="inlineStr">
        <is>
          <t>DEL_EV</t>
        </is>
      </c>
      <c r="C23" s="3" t="inlineStr">
        <is>
          <t>SIM-00019</t>
        </is>
      </c>
      <c r="D23" s="3" t="inlineStr">
        <is>
          <t>RO-03619</t>
        </is>
      </c>
      <c r="E23" s="3" t="n">
        <v>8.5</v>
      </c>
      <c r="F23" s="3" t="n">
        <v>3</v>
      </c>
      <c r="G23" s="3" t="n">
        <v>657</v>
      </c>
      <c r="H23" s="4">
        <f>G23/E23</f>
        <v/>
      </c>
      <c r="I23" s="3" t="n">
        <v>0.8</v>
      </c>
      <c r="J23" s="4">
        <f>(F23-Assumptions!$B$13)/(Assumptions!$C$13-Assumptions!$B$13)</f>
        <v/>
      </c>
      <c r="K23" s="4">
        <f>(H23-Assumptions!$B$14)/(Assumptions!$C$14-Assumptions!$B$14)</f>
        <v/>
      </c>
      <c r="L23" s="4">
        <f>(I23-Assumptions!$B$15)/(Assumptions!$C$15-Assumptions!$B$15)</f>
        <v/>
      </c>
      <c r="M23" s="4">
        <f>0.4*J23+0.4*K23+0.2*L23</f>
        <v/>
      </c>
    </row>
    <row r="24">
      <c r="A24" s="3" t="inlineStr">
        <is>
          <t>Normal</t>
        </is>
      </c>
      <c r="B24" s="3" t="inlineStr">
        <is>
          <t>DEL_BD</t>
        </is>
      </c>
      <c r="C24" s="3" t="inlineStr">
        <is>
          <t>SIM-00021</t>
        </is>
      </c>
      <c r="D24" s="3" t="inlineStr">
        <is>
          <t>RO-00541</t>
        </is>
      </c>
      <c r="E24" s="3" t="n">
        <v>137</v>
      </c>
      <c r="F24" s="3" t="n">
        <v>2</v>
      </c>
      <c r="G24" s="3" t="n">
        <v>552</v>
      </c>
      <c r="H24" s="4">
        <f>G24/E24</f>
        <v/>
      </c>
      <c r="I24" s="3" t="n">
        <v>1.5</v>
      </c>
      <c r="J24" s="4">
        <f>(F24-Assumptions!$B$13)/(Assumptions!$C$13-Assumptions!$B$13)</f>
        <v/>
      </c>
      <c r="K24" s="4">
        <f>(H24-Assumptions!$B$14)/(Assumptions!$C$14-Assumptions!$B$14)</f>
        <v/>
      </c>
      <c r="L24" s="4">
        <f>(I24-Assumptions!$B$15)/(Assumptions!$C$15-Assumptions!$B$15)</f>
        <v/>
      </c>
      <c r="M24" s="4">
        <f>0.4*J24+0.4*K24+0.2*L24</f>
        <v/>
      </c>
    </row>
    <row r="25">
      <c r="A25" s="3" t="inlineStr">
        <is>
          <t>Normal</t>
        </is>
      </c>
      <c r="B25" s="3" t="inlineStr">
        <is>
          <t>DEL_BM</t>
        </is>
      </c>
      <c r="C25" s="3" t="inlineStr">
        <is>
          <t>SIM-00021</t>
        </is>
      </c>
      <c r="D25" s="3" t="inlineStr">
        <is>
          <t>RO-00541</t>
        </is>
      </c>
      <c r="E25" s="3" t="n">
        <v>22</v>
      </c>
      <c r="F25" s="3" t="n">
        <v>2</v>
      </c>
      <c r="G25" s="3" t="n">
        <v>552</v>
      </c>
      <c r="H25" s="4">
        <f>G25/E25</f>
        <v/>
      </c>
      <c r="I25" s="3" t="n">
        <v>1.5</v>
      </c>
      <c r="J25" s="4">
        <f>(F25-Assumptions!$B$13)/(Assumptions!$C$13-Assumptions!$B$13)</f>
        <v/>
      </c>
      <c r="K25" s="4">
        <f>(H25-Assumptions!$B$14)/(Assumptions!$C$14-Assumptions!$B$14)</f>
        <v/>
      </c>
      <c r="L25" s="4">
        <f>(I25-Assumptions!$B$15)/(Assumptions!$C$15-Assumptions!$B$15)</f>
        <v/>
      </c>
      <c r="M25" s="4">
        <f>0.4*J25+0.4*K25+0.2*L25</f>
        <v/>
      </c>
    </row>
    <row r="26">
      <c r="A26" s="3" t="inlineStr">
        <is>
          <t>Normal</t>
        </is>
      </c>
      <c r="B26" s="3" t="inlineStr">
        <is>
          <t>DEL_DX</t>
        </is>
      </c>
      <c r="C26" s="3" t="inlineStr">
        <is>
          <t>SIM-00021</t>
        </is>
      </c>
      <c r="D26" s="3" t="inlineStr">
        <is>
          <t>RO-00541</t>
        </is>
      </c>
      <c r="E26" s="3" t="n">
        <v>2553</v>
      </c>
      <c r="F26" s="3" t="n">
        <v>2</v>
      </c>
      <c r="G26" s="3" t="n">
        <v>552</v>
      </c>
      <c r="H26" s="4">
        <f>G26/E26</f>
        <v/>
      </c>
      <c r="I26" s="3" t="n">
        <v>1.5</v>
      </c>
      <c r="J26" s="4">
        <f>(F26-Assumptions!$B$13)/(Assumptions!$C$13-Assumptions!$B$13)</f>
        <v/>
      </c>
      <c r="K26" s="4">
        <f>(H26-Assumptions!$B$14)/(Assumptions!$C$14-Assumptions!$B$14)</f>
        <v/>
      </c>
      <c r="L26" s="4">
        <f>(I26-Assumptions!$B$15)/(Assumptions!$C$15-Assumptions!$B$15)</f>
        <v/>
      </c>
      <c r="M26" s="4">
        <f>0.4*J26+0.4*K26+0.2*L26</f>
        <v/>
      </c>
    </row>
    <row r="27">
      <c r="A27" s="3" t="inlineStr">
        <is>
          <t>Normal</t>
        </is>
      </c>
      <c r="B27" s="3" t="inlineStr">
        <is>
          <t>DEL_GE</t>
        </is>
      </c>
      <c r="C27" s="3" t="inlineStr">
        <is>
          <t>SIM-00021</t>
        </is>
      </c>
      <c r="D27" s="3" t="inlineStr">
        <is>
          <t>RO-00541</t>
        </is>
      </c>
      <c r="E27" s="3" t="n">
        <v>8</v>
      </c>
      <c r="F27" s="3" t="n">
        <v>2</v>
      </c>
      <c r="G27" s="3" t="n">
        <v>552</v>
      </c>
      <c r="H27" s="4">
        <f>G27/E27</f>
        <v/>
      </c>
      <c r="I27" s="3" t="n">
        <v>1.5</v>
      </c>
      <c r="J27" s="4">
        <f>(F27-Assumptions!$B$13)/(Assumptions!$C$13-Assumptions!$B$13)</f>
        <v/>
      </c>
      <c r="K27" s="4">
        <f>(H27-Assumptions!$B$14)/(Assumptions!$C$14-Assumptions!$B$14)</f>
        <v/>
      </c>
      <c r="L27" s="4">
        <f>(I27-Assumptions!$B$15)/(Assumptions!$C$15-Assumptions!$B$15)</f>
        <v/>
      </c>
      <c r="M27" s="4">
        <f>0.4*J27+0.4*K27+0.2*L27</f>
        <v/>
      </c>
    </row>
    <row r="28">
      <c r="A28" s="3" t="inlineStr">
        <is>
          <t>Normal</t>
        </is>
      </c>
      <c r="B28" s="3" t="inlineStr">
        <is>
          <t>DEL_HM</t>
        </is>
      </c>
      <c r="C28" s="3" t="inlineStr">
        <is>
          <t>SIM-00021</t>
        </is>
      </c>
      <c r="D28" s="3" t="inlineStr">
        <is>
          <t>RO-00541</t>
        </is>
      </c>
      <c r="E28" s="3" t="n">
        <v>8</v>
      </c>
      <c r="F28" s="3" t="n">
        <v>2</v>
      </c>
      <c r="G28" s="3" t="n">
        <v>552</v>
      </c>
      <c r="H28" s="4">
        <f>G28/E28</f>
        <v/>
      </c>
      <c r="I28" s="3" t="n">
        <v>1.5</v>
      </c>
      <c r="J28" s="4">
        <f>(F28-Assumptions!$B$13)/(Assumptions!$C$13-Assumptions!$B$13)</f>
        <v/>
      </c>
      <c r="K28" s="4">
        <f>(H28-Assumptions!$B$14)/(Assumptions!$C$14-Assumptions!$B$14)</f>
        <v/>
      </c>
      <c r="L28" s="4">
        <f>(I28-Assumptions!$B$15)/(Assumptions!$C$15-Assumptions!$B$15)</f>
        <v/>
      </c>
      <c r="M28" s="4">
        <f>0.4*J28+0.4*K28+0.2*L28</f>
        <v/>
      </c>
    </row>
    <row r="29">
      <c r="A29" s="3" t="inlineStr">
        <is>
          <t>Normal</t>
        </is>
      </c>
      <c r="B29" s="3" t="inlineStr">
        <is>
          <t>DEL_GO</t>
        </is>
      </c>
      <c r="C29" s="3" t="inlineStr">
        <is>
          <t>SIM-00022</t>
        </is>
      </c>
      <c r="D29" s="3" t="inlineStr">
        <is>
          <t>RO-03622</t>
        </is>
      </c>
      <c r="E29" s="3" t="n">
        <v>6.5</v>
      </c>
      <c r="F29" s="3" t="n">
        <v>4</v>
      </c>
      <c r="G29" s="3" t="n">
        <v>273</v>
      </c>
      <c r="H29" s="4">
        <f>G29/E29</f>
        <v/>
      </c>
      <c r="I29" s="3" t="n">
        <v>2</v>
      </c>
      <c r="J29" s="4">
        <f>(F29-Assumptions!$B$13)/(Assumptions!$C$13-Assumptions!$B$13)</f>
        <v/>
      </c>
      <c r="K29" s="4">
        <f>(H29-Assumptions!$B$14)/(Assumptions!$C$14-Assumptions!$B$14)</f>
        <v/>
      </c>
      <c r="L29" s="4">
        <f>(I29-Assumptions!$B$15)/(Assumptions!$C$15-Assumptions!$B$15)</f>
        <v/>
      </c>
      <c r="M29" s="4">
        <f>0.4*J29+0.4*K29+0.2*L29</f>
        <v/>
      </c>
    </row>
    <row r="30">
      <c r="A30" s="3" t="inlineStr">
        <is>
          <t>Normal</t>
        </is>
      </c>
      <c r="B30" s="3" t="inlineStr">
        <is>
          <t>DEL_CG</t>
        </is>
      </c>
      <c r="C30" s="3" t="inlineStr">
        <is>
          <t>SIM-00023</t>
        </is>
      </c>
      <c r="D30" s="3" t="inlineStr">
        <is>
          <t>RO-00334</t>
        </is>
      </c>
      <c r="E30" s="3" t="n">
        <v>4</v>
      </c>
      <c r="F30" s="3" t="n">
        <v>3</v>
      </c>
      <c r="G30" s="3" t="n">
        <v>712</v>
      </c>
      <c r="H30" s="4">
        <f>G30/E30</f>
        <v/>
      </c>
      <c r="I30" s="3" t="n">
        <v>1.5</v>
      </c>
      <c r="J30" s="4">
        <f>(F30-Assumptions!$B$13)/(Assumptions!$C$13-Assumptions!$B$13)</f>
        <v/>
      </c>
      <c r="K30" s="4">
        <f>(H30-Assumptions!$B$14)/(Assumptions!$C$14-Assumptions!$B$14)</f>
        <v/>
      </c>
      <c r="L30" s="4">
        <f>(I30-Assumptions!$B$15)/(Assumptions!$C$15-Assumptions!$B$15)</f>
        <v/>
      </c>
      <c r="M30" s="4">
        <f>0.4*J30+0.4*K30+0.2*L30</f>
        <v/>
      </c>
    </row>
    <row r="31">
      <c r="A31" s="3" t="inlineStr">
        <is>
          <t>Normal</t>
        </is>
      </c>
      <c r="B31" s="3" t="inlineStr">
        <is>
          <t>DEL_FA</t>
        </is>
      </c>
      <c r="C31" s="3" t="inlineStr">
        <is>
          <t>SIM-00024</t>
        </is>
      </c>
      <c r="D31" s="3" t="inlineStr">
        <is>
          <t>RO-03624</t>
        </is>
      </c>
      <c r="E31" s="3" t="n">
        <v>152.5</v>
      </c>
      <c r="F31" s="3" t="n">
        <v>4</v>
      </c>
      <c r="G31" s="3" t="n">
        <v>557</v>
      </c>
      <c r="H31" s="4">
        <f>G31/E31</f>
        <v/>
      </c>
      <c r="I31" s="3" t="n">
        <v>1.1</v>
      </c>
      <c r="J31" s="4">
        <f>(F31-Assumptions!$B$13)/(Assumptions!$C$13-Assumptions!$B$13)</f>
        <v/>
      </c>
      <c r="K31" s="4">
        <f>(H31-Assumptions!$B$14)/(Assumptions!$C$14-Assumptions!$B$14)</f>
        <v/>
      </c>
      <c r="L31" s="4">
        <f>(I31-Assumptions!$B$15)/(Assumptions!$C$15-Assumptions!$B$15)</f>
        <v/>
      </c>
      <c r="M31" s="4">
        <f>0.4*J31+0.4*K31+0.2*L31</f>
        <v/>
      </c>
    </row>
    <row r="32">
      <c r="A32" s="3" t="inlineStr">
        <is>
          <t>Normal</t>
        </is>
      </c>
      <c r="B32" s="3" t="inlineStr">
        <is>
          <t>DEL_AB</t>
        </is>
      </c>
      <c r="C32" s="3" t="inlineStr">
        <is>
          <t>SIM-00025</t>
        </is>
      </c>
      <c r="D32" s="3" t="inlineStr">
        <is>
          <t>RO-03625</t>
        </is>
      </c>
      <c r="E32" s="3" t="n">
        <v>2575</v>
      </c>
      <c r="F32" s="3" t="n">
        <v>2</v>
      </c>
      <c r="G32" s="3" t="n">
        <v>569</v>
      </c>
      <c r="H32" s="4">
        <f>G32/E32</f>
        <v/>
      </c>
      <c r="I32" s="3" t="n">
        <v>1.2</v>
      </c>
      <c r="J32" s="4">
        <f>(F32-Assumptions!$B$13)/(Assumptions!$C$13-Assumptions!$B$13)</f>
        <v/>
      </c>
      <c r="K32" s="4">
        <f>(H32-Assumptions!$B$14)/(Assumptions!$C$14-Assumptions!$B$14)</f>
        <v/>
      </c>
      <c r="L32" s="4">
        <f>(I32-Assumptions!$B$15)/(Assumptions!$C$15-Assumptions!$B$15)</f>
        <v/>
      </c>
      <c r="M32" s="4">
        <f>0.4*J32+0.4*K32+0.2*L32</f>
        <v/>
      </c>
    </row>
    <row r="33">
      <c r="A33" s="3" t="inlineStr">
        <is>
          <t>Normal</t>
        </is>
      </c>
      <c r="B33" s="3" t="inlineStr">
        <is>
          <t>DEL_CD</t>
        </is>
      </c>
      <c r="C33" s="3" t="inlineStr">
        <is>
          <t>SIM-00025</t>
        </is>
      </c>
      <c r="D33" s="3" t="inlineStr">
        <is>
          <t>RO-03625</t>
        </is>
      </c>
      <c r="E33" s="3" t="n">
        <v>616</v>
      </c>
      <c r="F33" s="3" t="n">
        <v>2</v>
      </c>
      <c r="G33" s="3" t="n">
        <v>569</v>
      </c>
      <c r="H33" s="4">
        <f>G33/E33</f>
        <v/>
      </c>
      <c r="I33" s="3" t="n">
        <v>1.2</v>
      </c>
      <c r="J33" s="4">
        <f>(F33-Assumptions!$B$13)/(Assumptions!$C$13-Assumptions!$B$13)</f>
        <v/>
      </c>
      <c r="K33" s="4">
        <f>(H33-Assumptions!$B$14)/(Assumptions!$C$14-Assumptions!$B$14)</f>
        <v/>
      </c>
      <c r="L33" s="4">
        <f>(I33-Assumptions!$B$15)/(Assumptions!$C$15-Assumptions!$B$15)</f>
        <v/>
      </c>
      <c r="M33" s="4">
        <f>0.4*J33+0.4*K33+0.2*L33</f>
        <v/>
      </c>
    </row>
    <row r="34">
      <c r="A34" s="3" t="inlineStr">
        <is>
          <t>Normal</t>
        </is>
      </c>
      <c r="B34" s="3" t="inlineStr">
        <is>
          <t>DEL_DS</t>
        </is>
      </c>
      <c r="C34" s="3" t="inlineStr">
        <is>
          <t>SIM-00028</t>
        </is>
      </c>
      <c r="D34" s="3" t="inlineStr">
        <is>
          <t>RO-00775</t>
        </is>
      </c>
      <c r="E34" s="3" t="n">
        <v>3.5</v>
      </c>
      <c r="F34" s="3" t="n">
        <v>9</v>
      </c>
      <c r="G34" s="3" t="n">
        <v>212</v>
      </c>
      <c r="H34" s="4">
        <f>G34/E34</f>
        <v/>
      </c>
      <c r="I34" s="3" t="n">
        <v>2.9</v>
      </c>
      <c r="J34" s="4">
        <f>(F34-Assumptions!$B$13)/(Assumptions!$C$13-Assumptions!$B$13)</f>
        <v/>
      </c>
      <c r="K34" s="4">
        <f>(H34-Assumptions!$B$14)/(Assumptions!$C$14-Assumptions!$B$14)</f>
        <v/>
      </c>
      <c r="L34" s="4">
        <f>(I34-Assumptions!$B$15)/(Assumptions!$C$15-Assumptions!$B$15)</f>
        <v/>
      </c>
      <c r="M34" s="4">
        <f>0.4*J34+0.4*K34+0.2*L34</f>
        <v/>
      </c>
    </row>
    <row r="35">
      <c r="A35" s="3" t="inlineStr">
        <is>
          <t>Normal</t>
        </is>
      </c>
      <c r="B35" s="3" t="inlineStr">
        <is>
          <t>DEL_EP</t>
        </is>
      </c>
      <c r="C35" s="3" t="inlineStr">
        <is>
          <t>SIM-00028</t>
        </is>
      </c>
      <c r="D35" s="3" t="inlineStr">
        <is>
          <t>RO-00775</t>
        </is>
      </c>
      <c r="E35" s="3" t="n">
        <v>20.5</v>
      </c>
      <c r="F35" s="3" t="n">
        <v>9</v>
      </c>
      <c r="G35" s="3" t="n">
        <v>212</v>
      </c>
      <c r="H35" s="4">
        <f>G35/E35</f>
        <v/>
      </c>
      <c r="I35" s="3" t="n">
        <v>2.9</v>
      </c>
      <c r="J35" s="4">
        <f>(F35-Assumptions!$B$13)/(Assumptions!$C$13-Assumptions!$B$13)</f>
        <v/>
      </c>
      <c r="K35" s="4">
        <f>(H35-Assumptions!$B$14)/(Assumptions!$C$14-Assumptions!$B$14)</f>
        <v/>
      </c>
      <c r="L35" s="4">
        <f>(I35-Assumptions!$B$15)/(Assumptions!$C$15-Assumptions!$B$15)</f>
        <v/>
      </c>
      <c r="M35" s="4">
        <f>0.4*J35+0.4*K35+0.2*L35</f>
        <v/>
      </c>
    </row>
    <row r="36">
      <c r="A36" s="3" t="inlineStr">
        <is>
          <t>Normal</t>
        </is>
      </c>
      <c r="B36" s="3" t="inlineStr">
        <is>
          <t>DEL_E</t>
        </is>
      </c>
      <c r="C36" s="3" t="inlineStr">
        <is>
          <t>SIM-00029</t>
        </is>
      </c>
      <c r="D36" s="3" t="inlineStr">
        <is>
          <t>RO-00433</t>
        </is>
      </c>
      <c r="E36" s="3" t="n">
        <v>115</v>
      </c>
      <c r="F36" s="3" t="n">
        <v>3</v>
      </c>
      <c r="G36" s="3" t="n">
        <v>552</v>
      </c>
      <c r="H36" s="4">
        <f>G36/E36</f>
        <v/>
      </c>
      <c r="I36" s="3" t="n">
        <v>1.5</v>
      </c>
      <c r="J36" s="4">
        <f>(F36-Assumptions!$B$13)/(Assumptions!$C$13-Assumptions!$B$13)</f>
        <v/>
      </c>
      <c r="K36" s="4">
        <f>(H36-Assumptions!$B$14)/(Assumptions!$C$14-Assumptions!$B$14)</f>
        <v/>
      </c>
      <c r="L36" s="4">
        <f>(I36-Assumptions!$B$15)/(Assumptions!$C$15-Assumptions!$B$15)</f>
        <v/>
      </c>
      <c r="M36" s="4">
        <f>0.4*J36+0.4*K36+0.2*L36</f>
        <v/>
      </c>
    </row>
    <row r="37">
      <c r="A37" s="3" t="inlineStr">
        <is>
          <t>Normal</t>
        </is>
      </c>
      <c r="B37" s="3" t="inlineStr">
        <is>
          <t>DEL_DJ</t>
        </is>
      </c>
      <c r="C37" s="3" t="inlineStr">
        <is>
          <t>SIM-00029</t>
        </is>
      </c>
      <c r="D37" s="3" t="inlineStr">
        <is>
          <t>RO-00433</t>
        </is>
      </c>
      <c r="E37" s="3" t="n">
        <v>1</v>
      </c>
      <c r="F37" s="3" t="n">
        <v>3</v>
      </c>
      <c r="G37" s="3" t="n">
        <v>552</v>
      </c>
      <c r="H37" s="4">
        <f>G37/E37</f>
        <v/>
      </c>
      <c r="I37" s="3" t="n">
        <v>1.5</v>
      </c>
      <c r="J37" s="4">
        <f>(F37-Assumptions!$B$13)/(Assumptions!$C$13-Assumptions!$B$13)</f>
        <v/>
      </c>
      <c r="K37" s="4">
        <f>(H37-Assumptions!$B$14)/(Assumptions!$C$14-Assumptions!$B$14)</f>
        <v/>
      </c>
      <c r="L37" s="4">
        <f>(I37-Assumptions!$B$15)/(Assumptions!$C$15-Assumptions!$B$15)</f>
        <v/>
      </c>
      <c r="M37" s="4">
        <f>0.4*J37+0.4*K37+0.2*L37</f>
        <v/>
      </c>
    </row>
    <row r="38">
      <c r="A38" s="3" t="inlineStr">
        <is>
          <t>Normal</t>
        </is>
      </c>
      <c r="B38" s="3" t="inlineStr">
        <is>
          <t>DEL_HB</t>
        </is>
      </c>
      <c r="C38" s="3" t="inlineStr">
        <is>
          <t>SIM-00029</t>
        </is>
      </c>
      <c r="D38" s="3" t="inlineStr">
        <is>
          <t>RO-00433</t>
        </is>
      </c>
      <c r="E38" s="3" t="n">
        <v>241</v>
      </c>
      <c r="F38" s="3" t="n">
        <v>3</v>
      </c>
      <c r="G38" s="3" t="n">
        <v>552</v>
      </c>
      <c r="H38" s="4">
        <f>G38/E38</f>
        <v/>
      </c>
      <c r="I38" s="3" t="n">
        <v>1.5</v>
      </c>
      <c r="J38" s="4">
        <f>(F38-Assumptions!$B$13)/(Assumptions!$C$13-Assumptions!$B$13)</f>
        <v/>
      </c>
      <c r="K38" s="4">
        <f>(H38-Assumptions!$B$14)/(Assumptions!$C$14-Assumptions!$B$14)</f>
        <v/>
      </c>
      <c r="L38" s="4">
        <f>(I38-Assumptions!$B$15)/(Assumptions!$C$15-Assumptions!$B$15)</f>
        <v/>
      </c>
      <c r="M38" s="4">
        <f>0.4*J38+0.4*K38+0.2*L38</f>
        <v/>
      </c>
    </row>
    <row r="39">
      <c r="A39" s="3" t="inlineStr">
        <is>
          <t>Normal</t>
        </is>
      </c>
      <c r="B39" s="3" t="inlineStr">
        <is>
          <t>DEL_BJ</t>
        </is>
      </c>
      <c r="C39" s="3" t="inlineStr">
        <is>
          <t>SIM-00032</t>
        </is>
      </c>
      <c r="D39" s="3" t="inlineStr">
        <is>
          <t>RO-03672</t>
        </is>
      </c>
      <c r="E39" s="3" t="n">
        <v>78</v>
      </c>
      <c r="F39" s="3" t="n">
        <v>1</v>
      </c>
      <c r="G39" s="3" t="n">
        <v>645</v>
      </c>
      <c r="H39" s="4">
        <f>G39/E39</f>
        <v/>
      </c>
      <c r="I39" s="3" t="n">
        <v>0.6</v>
      </c>
      <c r="J39" s="4">
        <f>(F39-Assumptions!$B$13)/(Assumptions!$C$13-Assumptions!$B$13)</f>
        <v/>
      </c>
      <c r="K39" s="4">
        <f>(H39-Assumptions!$B$14)/(Assumptions!$C$14-Assumptions!$B$14)</f>
        <v/>
      </c>
      <c r="L39" s="4">
        <f>(I39-Assumptions!$B$15)/(Assumptions!$C$15-Assumptions!$B$15)</f>
        <v/>
      </c>
      <c r="M39" s="4">
        <f>0.4*J39+0.4*K39+0.2*L39</f>
        <v/>
      </c>
    </row>
    <row r="40">
      <c r="A40" s="3" t="inlineStr">
        <is>
          <t>Normal</t>
        </is>
      </c>
      <c r="B40" s="3" t="inlineStr">
        <is>
          <t>DEL_AV</t>
        </is>
      </c>
      <c r="C40" s="3" t="inlineStr">
        <is>
          <t>SIM-00034</t>
        </is>
      </c>
      <c r="D40" s="3" t="inlineStr">
        <is>
          <t>RO-03746</t>
        </is>
      </c>
      <c r="E40" s="3" t="n">
        <v>5.5</v>
      </c>
      <c r="F40" s="3" t="n">
        <v>9</v>
      </c>
      <c r="G40" s="3" t="n">
        <v>169</v>
      </c>
      <c r="H40" s="4">
        <f>G40/E40</f>
        <v/>
      </c>
      <c r="I40" s="3" t="n">
        <v>2.8</v>
      </c>
      <c r="J40" s="4">
        <f>(F40-Assumptions!$B$13)/(Assumptions!$C$13-Assumptions!$B$13)</f>
        <v/>
      </c>
      <c r="K40" s="4">
        <f>(H40-Assumptions!$B$14)/(Assumptions!$C$14-Assumptions!$B$14)</f>
        <v/>
      </c>
      <c r="L40" s="4">
        <f>(I40-Assumptions!$B$15)/(Assumptions!$C$15-Assumptions!$B$15)</f>
        <v/>
      </c>
      <c r="M40" s="4">
        <f>0.4*J40+0.4*K40+0.2*L40</f>
        <v/>
      </c>
    </row>
    <row r="41">
      <c r="A41" s="3" t="inlineStr">
        <is>
          <t>Normal</t>
        </is>
      </c>
      <c r="B41" s="3" t="inlineStr">
        <is>
          <t>DEL_BC</t>
        </is>
      </c>
      <c r="C41" s="3" t="inlineStr">
        <is>
          <t>SIM-00036</t>
        </is>
      </c>
      <c r="D41" s="3" t="inlineStr">
        <is>
          <t>RO-01012</t>
        </is>
      </c>
      <c r="E41" s="3" t="n">
        <v>188</v>
      </c>
      <c r="F41" s="3" t="n">
        <v>4</v>
      </c>
      <c r="G41" s="3" t="n">
        <v>328</v>
      </c>
      <c r="H41" s="4">
        <f>G41/E41</f>
        <v/>
      </c>
      <c r="I41" s="3" t="n">
        <v>2.3</v>
      </c>
      <c r="J41" s="4">
        <f>(F41-Assumptions!$B$13)/(Assumptions!$C$13-Assumptions!$B$13)</f>
        <v/>
      </c>
      <c r="K41" s="4">
        <f>(H41-Assumptions!$B$14)/(Assumptions!$C$14-Assumptions!$B$14)</f>
        <v/>
      </c>
      <c r="L41" s="4">
        <f>(I41-Assumptions!$B$15)/(Assumptions!$C$15-Assumptions!$B$15)</f>
        <v/>
      </c>
      <c r="M41" s="4">
        <f>0.4*J41+0.4*K41+0.2*L41</f>
        <v/>
      </c>
    </row>
    <row r="42">
      <c r="A42" s="3" t="inlineStr">
        <is>
          <t>Normal</t>
        </is>
      </c>
      <c r="B42" s="3" t="inlineStr">
        <is>
          <t>DEL_HL</t>
        </is>
      </c>
      <c r="C42" s="3" t="inlineStr">
        <is>
          <t>SIM-00036</t>
        </is>
      </c>
      <c r="D42" s="3" t="inlineStr">
        <is>
          <t>RO-01012</t>
        </is>
      </c>
      <c r="E42" s="3" t="n">
        <v>7</v>
      </c>
      <c r="F42" s="3" t="n">
        <v>4</v>
      </c>
      <c r="G42" s="3" t="n">
        <v>328</v>
      </c>
      <c r="H42" s="4">
        <f>G42/E42</f>
        <v/>
      </c>
      <c r="I42" s="3" t="n">
        <v>2.3</v>
      </c>
      <c r="J42" s="4">
        <f>(F42-Assumptions!$B$13)/(Assumptions!$C$13-Assumptions!$B$13)</f>
        <v/>
      </c>
      <c r="K42" s="4">
        <f>(H42-Assumptions!$B$14)/(Assumptions!$C$14-Assumptions!$B$14)</f>
        <v/>
      </c>
      <c r="L42" s="4">
        <f>(I42-Assumptions!$B$15)/(Assumptions!$C$15-Assumptions!$B$15)</f>
        <v/>
      </c>
      <c r="M42" s="4">
        <f>0.4*J42+0.4*K42+0.2*L42</f>
        <v/>
      </c>
    </row>
    <row r="43">
      <c r="A43" s="3" t="inlineStr">
        <is>
          <t>Normal</t>
        </is>
      </c>
      <c r="B43" s="3" t="inlineStr">
        <is>
          <t>DEL_DH</t>
        </is>
      </c>
      <c r="C43" s="3" t="inlineStr">
        <is>
          <t>SIM-00037</t>
        </is>
      </c>
      <c r="D43" s="3" t="inlineStr">
        <is>
          <t>RO-03637</t>
        </is>
      </c>
      <c r="E43" s="3" t="n">
        <v>4.5</v>
      </c>
      <c r="F43" s="3" t="n">
        <v>2</v>
      </c>
      <c r="G43" s="3" t="n">
        <v>497</v>
      </c>
      <c r="H43" s="4">
        <f>G43/E43</f>
        <v/>
      </c>
      <c r="I43" s="3" t="n">
        <v>1.2</v>
      </c>
      <c r="J43" s="4">
        <f>(F43-Assumptions!$B$13)/(Assumptions!$C$13-Assumptions!$B$13)</f>
        <v/>
      </c>
      <c r="K43" s="4">
        <f>(H43-Assumptions!$B$14)/(Assumptions!$C$14-Assumptions!$B$14)</f>
        <v/>
      </c>
      <c r="L43" s="4">
        <f>(I43-Assumptions!$B$15)/(Assumptions!$C$15-Assumptions!$B$15)</f>
        <v/>
      </c>
      <c r="M43" s="4">
        <f>0.4*J43+0.4*K43+0.2*L43</f>
        <v/>
      </c>
    </row>
    <row r="44">
      <c r="A44" s="3" t="inlineStr">
        <is>
          <t>Normal</t>
        </is>
      </c>
      <c r="B44" s="3" t="inlineStr">
        <is>
          <t>DEL_CC</t>
        </is>
      </c>
      <c r="C44" s="3" t="inlineStr">
        <is>
          <t>SIM-00039</t>
        </is>
      </c>
      <c r="D44" s="3" t="inlineStr">
        <is>
          <t>RO-03679</t>
        </is>
      </c>
      <c r="E44" s="3" t="n">
        <v>406</v>
      </c>
      <c r="F44" s="3" t="n">
        <v>3</v>
      </c>
      <c r="G44" s="3" t="n">
        <v>729</v>
      </c>
      <c r="H44" s="4">
        <f>G44/E44</f>
        <v/>
      </c>
      <c r="I44" s="3" t="n">
        <v>0.8</v>
      </c>
      <c r="J44" s="4">
        <f>(F44-Assumptions!$B$13)/(Assumptions!$C$13-Assumptions!$B$13)</f>
        <v/>
      </c>
      <c r="K44" s="4">
        <f>(H44-Assumptions!$B$14)/(Assumptions!$C$14-Assumptions!$B$14)</f>
        <v/>
      </c>
      <c r="L44" s="4">
        <f>(I44-Assumptions!$B$15)/(Assumptions!$C$15-Assumptions!$B$15)</f>
        <v/>
      </c>
      <c r="M44" s="4">
        <f>0.4*J44+0.4*K44+0.2*L44</f>
        <v/>
      </c>
    </row>
    <row r="45">
      <c r="A45" s="3" t="inlineStr">
        <is>
          <t>Normal</t>
        </is>
      </c>
      <c r="B45" s="3" t="inlineStr">
        <is>
          <t>DEL_A</t>
        </is>
      </c>
      <c r="C45" s="3" t="inlineStr">
        <is>
          <t>SIM-00040</t>
        </is>
      </c>
      <c r="D45" s="3" t="inlineStr">
        <is>
          <t>RO-03640</t>
        </is>
      </c>
      <c r="E45" s="3" t="n">
        <v>204</v>
      </c>
      <c r="F45" s="3" t="n">
        <v>1</v>
      </c>
      <c r="G45" s="3" t="n">
        <v>693</v>
      </c>
      <c r="H45" s="4">
        <f>G45/E45</f>
        <v/>
      </c>
      <c r="I45" s="3" t="n">
        <v>1.3</v>
      </c>
      <c r="J45" s="4">
        <f>(F45-Assumptions!$B$13)/(Assumptions!$C$13-Assumptions!$B$13)</f>
        <v/>
      </c>
      <c r="K45" s="4">
        <f>(H45-Assumptions!$B$14)/(Assumptions!$C$14-Assumptions!$B$14)</f>
        <v/>
      </c>
      <c r="L45" s="4">
        <f>(I45-Assumptions!$B$15)/(Assumptions!$C$15-Assumptions!$B$15)</f>
        <v/>
      </c>
      <c r="M45" s="4">
        <f>0.4*J45+0.4*K45+0.2*L45</f>
        <v/>
      </c>
    </row>
    <row r="46">
      <c r="A46" s="3" t="inlineStr">
        <is>
          <t>Normal</t>
        </is>
      </c>
      <c r="B46" s="3" t="inlineStr">
        <is>
          <t>DEL_AH</t>
        </is>
      </c>
      <c r="C46" s="3" t="inlineStr">
        <is>
          <t>SIM-00040</t>
        </is>
      </c>
      <c r="D46" s="3" t="inlineStr">
        <is>
          <t>RO-03640</t>
        </is>
      </c>
      <c r="E46" s="3" t="n">
        <v>2400</v>
      </c>
      <c r="F46" s="3" t="n">
        <v>1</v>
      </c>
      <c r="G46" s="3" t="n">
        <v>693</v>
      </c>
      <c r="H46" s="4">
        <f>G46/E46</f>
        <v/>
      </c>
      <c r="I46" s="3" t="n">
        <v>1.3</v>
      </c>
      <c r="J46" s="4">
        <f>(F46-Assumptions!$B$13)/(Assumptions!$C$13-Assumptions!$B$13)</f>
        <v/>
      </c>
      <c r="K46" s="4">
        <f>(H46-Assumptions!$B$14)/(Assumptions!$C$14-Assumptions!$B$14)</f>
        <v/>
      </c>
      <c r="L46" s="4">
        <f>(I46-Assumptions!$B$15)/(Assumptions!$C$15-Assumptions!$B$15)</f>
        <v/>
      </c>
      <c r="M46" s="4">
        <f>0.4*J46+0.4*K46+0.2*L46</f>
        <v/>
      </c>
    </row>
    <row r="47">
      <c r="A47" s="3" t="inlineStr">
        <is>
          <t>Normal</t>
        </is>
      </c>
      <c r="B47" s="3" t="inlineStr">
        <is>
          <t>DEL_FU</t>
        </is>
      </c>
      <c r="C47" s="3" t="inlineStr">
        <is>
          <t>SIM-00040</t>
        </is>
      </c>
      <c r="D47" s="3" t="inlineStr">
        <is>
          <t>RO-03640</t>
        </is>
      </c>
      <c r="E47" s="3" t="n">
        <v>336.5</v>
      </c>
      <c r="F47" s="3" t="n">
        <v>1</v>
      </c>
      <c r="G47" s="3" t="n">
        <v>693</v>
      </c>
      <c r="H47" s="4">
        <f>G47/E47</f>
        <v/>
      </c>
      <c r="I47" s="3" t="n">
        <v>1.3</v>
      </c>
      <c r="J47" s="4">
        <f>(F47-Assumptions!$B$13)/(Assumptions!$C$13-Assumptions!$B$13)</f>
        <v/>
      </c>
      <c r="K47" s="4">
        <f>(H47-Assumptions!$B$14)/(Assumptions!$C$14-Assumptions!$B$14)</f>
        <v/>
      </c>
      <c r="L47" s="4">
        <f>(I47-Assumptions!$B$15)/(Assumptions!$C$15-Assumptions!$B$15)</f>
        <v/>
      </c>
      <c r="M47" s="4">
        <f>0.4*J47+0.4*K47+0.2*L47</f>
        <v/>
      </c>
    </row>
    <row r="48">
      <c r="A48" s="3" t="inlineStr">
        <is>
          <t>Normal</t>
        </is>
      </c>
      <c r="B48" s="3" t="inlineStr">
        <is>
          <t>DEL_DG</t>
        </is>
      </c>
      <c r="C48" s="3" t="inlineStr">
        <is>
          <t>SIM-00044</t>
        </is>
      </c>
      <c r="D48" s="3" t="inlineStr">
        <is>
          <t>RO-03644</t>
        </is>
      </c>
      <c r="E48" s="3" t="n">
        <v>4</v>
      </c>
      <c r="F48" s="3" t="n">
        <v>4</v>
      </c>
      <c r="G48" s="3" t="n">
        <v>581</v>
      </c>
      <c r="H48" s="4">
        <f>G48/E48</f>
        <v/>
      </c>
      <c r="I48" s="3" t="n">
        <v>1.4</v>
      </c>
      <c r="J48" s="4">
        <f>(F48-Assumptions!$B$13)/(Assumptions!$C$13-Assumptions!$B$13)</f>
        <v/>
      </c>
      <c r="K48" s="4">
        <f>(H48-Assumptions!$B$14)/(Assumptions!$C$14-Assumptions!$B$14)</f>
        <v/>
      </c>
      <c r="L48" s="4">
        <f>(I48-Assumptions!$B$15)/(Assumptions!$C$15-Assumptions!$B$15)</f>
        <v/>
      </c>
      <c r="M48" s="4">
        <f>0.4*J48+0.4*K48+0.2*L48</f>
        <v/>
      </c>
    </row>
    <row r="49">
      <c r="A49" s="3" t="inlineStr">
        <is>
          <t>Normal</t>
        </is>
      </c>
      <c r="B49" s="3" t="inlineStr">
        <is>
          <t>DEL_ES</t>
        </is>
      </c>
      <c r="C49" s="3" t="inlineStr">
        <is>
          <t>SIM-00045</t>
        </is>
      </c>
      <c r="D49" s="3" t="inlineStr">
        <is>
          <t>RO-03645</t>
        </is>
      </c>
      <c r="E49" s="3" t="n">
        <v>1759.5</v>
      </c>
      <c r="F49" s="3" t="n">
        <v>2</v>
      </c>
      <c r="G49" s="3" t="n">
        <v>485</v>
      </c>
      <c r="H49" s="4">
        <f>G49/E49</f>
        <v/>
      </c>
      <c r="I49" s="3" t="n">
        <v>1.5</v>
      </c>
      <c r="J49" s="4">
        <f>(F49-Assumptions!$B$13)/(Assumptions!$C$13-Assumptions!$B$13)</f>
        <v/>
      </c>
      <c r="K49" s="4">
        <f>(H49-Assumptions!$B$14)/(Assumptions!$C$14-Assumptions!$B$14)</f>
        <v/>
      </c>
      <c r="L49" s="4">
        <f>(I49-Assumptions!$B$15)/(Assumptions!$C$15-Assumptions!$B$15)</f>
        <v/>
      </c>
      <c r="M49" s="4">
        <f>0.4*J49+0.4*K49+0.2*L49</f>
        <v/>
      </c>
    </row>
    <row r="50">
      <c r="A50" s="3" t="inlineStr">
        <is>
          <t>Normal</t>
        </is>
      </c>
      <c r="B50" s="3" t="inlineStr">
        <is>
          <t>DEL_AL</t>
        </is>
      </c>
      <c r="C50" s="3" t="inlineStr">
        <is>
          <t>SIM-00049</t>
        </is>
      </c>
      <c r="D50" s="3" t="inlineStr">
        <is>
          <t>RO-01333</t>
        </is>
      </c>
      <c r="E50" s="3" t="n">
        <v>13</v>
      </c>
      <c r="F50" s="3" t="n">
        <v>3</v>
      </c>
      <c r="G50" s="3" t="n">
        <v>552</v>
      </c>
      <c r="H50" s="4">
        <f>G50/E50</f>
        <v/>
      </c>
      <c r="I50" s="3" t="n">
        <v>1.5</v>
      </c>
      <c r="J50" s="4">
        <f>(F50-Assumptions!$B$13)/(Assumptions!$C$13-Assumptions!$B$13)</f>
        <v/>
      </c>
      <c r="K50" s="4">
        <f>(H50-Assumptions!$B$14)/(Assumptions!$C$14-Assumptions!$B$14)</f>
        <v/>
      </c>
      <c r="L50" s="4">
        <f>(I50-Assumptions!$B$15)/(Assumptions!$C$15-Assumptions!$B$15)</f>
        <v/>
      </c>
      <c r="M50" s="4">
        <f>0.4*J50+0.4*K50+0.2*L50</f>
        <v/>
      </c>
    </row>
    <row r="51">
      <c r="A51" s="3" t="inlineStr">
        <is>
          <t>Normal</t>
        </is>
      </c>
      <c r="B51" s="3" t="inlineStr">
        <is>
          <t>DEL_EI</t>
        </is>
      </c>
      <c r="C51" s="3" t="inlineStr">
        <is>
          <t>SIM-00052</t>
        </is>
      </c>
      <c r="D51" s="3" t="inlineStr">
        <is>
          <t>RO-03652</t>
        </is>
      </c>
      <c r="E51" s="3" t="n">
        <v>12.5</v>
      </c>
      <c r="F51" s="3" t="n">
        <v>1</v>
      </c>
      <c r="G51" s="3" t="n">
        <v>729</v>
      </c>
      <c r="H51" s="4">
        <f>G51/E51</f>
        <v/>
      </c>
      <c r="I51" s="3" t="n">
        <v>1.3</v>
      </c>
      <c r="J51" s="4">
        <f>(F51-Assumptions!$B$13)/(Assumptions!$C$13-Assumptions!$B$13)</f>
        <v/>
      </c>
      <c r="K51" s="4">
        <f>(H51-Assumptions!$B$14)/(Assumptions!$C$14-Assumptions!$B$14)</f>
        <v/>
      </c>
      <c r="L51" s="4">
        <f>(I51-Assumptions!$B$15)/(Assumptions!$C$15-Assumptions!$B$15)</f>
        <v/>
      </c>
      <c r="M51" s="4">
        <f>0.4*J51+0.4*K51+0.2*L51</f>
        <v/>
      </c>
    </row>
    <row r="52">
      <c r="A52" s="3" t="inlineStr">
        <is>
          <t>Normal</t>
        </is>
      </c>
      <c r="B52" s="3" t="inlineStr">
        <is>
          <t>DEL_GR</t>
        </is>
      </c>
      <c r="C52" s="3" t="inlineStr">
        <is>
          <t>SIM-00052</t>
        </is>
      </c>
      <c r="D52" s="3" t="inlineStr">
        <is>
          <t>RO-03652</t>
        </is>
      </c>
      <c r="E52" s="3" t="n">
        <v>255</v>
      </c>
      <c r="F52" s="3" t="n">
        <v>1</v>
      </c>
      <c r="G52" s="3" t="n">
        <v>729</v>
      </c>
      <c r="H52" s="4">
        <f>G52/E52</f>
        <v/>
      </c>
      <c r="I52" s="3" t="n">
        <v>1.3</v>
      </c>
      <c r="J52" s="4">
        <f>(F52-Assumptions!$B$13)/(Assumptions!$C$13-Assumptions!$B$13)</f>
        <v/>
      </c>
      <c r="K52" s="4">
        <f>(H52-Assumptions!$B$14)/(Assumptions!$C$14-Assumptions!$B$14)</f>
        <v/>
      </c>
      <c r="L52" s="4">
        <f>(I52-Assumptions!$B$15)/(Assumptions!$C$15-Assumptions!$B$15)</f>
        <v/>
      </c>
      <c r="M52" s="4">
        <f>0.4*J52+0.4*K52+0.2*L52</f>
        <v/>
      </c>
    </row>
    <row r="53">
      <c r="A53" s="3" t="inlineStr">
        <is>
          <t>Normal</t>
        </is>
      </c>
      <c r="B53" s="3" t="inlineStr">
        <is>
          <t>DEL_GB</t>
        </is>
      </c>
      <c r="C53" s="3" t="inlineStr">
        <is>
          <t>SIM-00054</t>
        </is>
      </c>
      <c r="D53" s="3" t="inlineStr">
        <is>
          <t>RO-03654</t>
        </is>
      </c>
      <c r="E53" s="3" t="n">
        <v>154</v>
      </c>
      <c r="F53" s="3" t="n">
        <v>11</v>
      </c>
      <c r="G53" s="3" t="n">
        <v>145</v>
      </c>
      <c r="H53" s="4">
        <f>G53/E53</f>
        <v/>
      </c>
      <c r="I53" s="3" t="n">
        <v>2.5</v>
      </c>
      <c r="J53" s="4">
        <f>(F53-Assumptions!$B$13)/(Assumptions!$C$13-Assumptions!$B$13)</f>
        <v/>
      </c>
      <c r="K53" s="4">
        <f>(H53-Assumptions!$B$14)/(Assumptions!$C$14-Assumptions!$B$14)</f>
        <v/>
      </c>
      <c r="L53" s="4">
        <f>(I53-Assumptions!$B$15)/(Assumptions!$C$15-Assumptions!$B$15)</f>
        <v/>
      </c>
      <c r="M53" s="4">
        <f>0.4*J53+0.4*K53+0.2*L53</f>
        <v/>
      </c>
    </row>
    <row r="54">
      <c r="A54" s="3" t="inlineStr">
        <is>
          <t>Normal</t>
        </is>
      </c>
      <c r="B54" s="3" t="inlineStr">
        <is>
          <t>DEL_DO</t>
        </is>
      </c>
      <c r="C54" s="3" t="inlineStr">
        <is>
          <t>SIM-00057</t>
        </is>
      </c>
      <c r="D54" s="3" t="inlineStr">
        <is>
          <t>RO-00010</t>
        </is>
      </c>
      <c r="E54" s="3" t="n">
        <v>24</v>
      </c>
      <c r="F54" s="3" t="n">
        <v>1</v>
      </c>
      <c r="G54" s="3" t="n">
        <v>712</v>
      </c>
      <c r="H54" s="4">
        <f>G54/E54</f>
        <v/>
      </c>
      <c r="I54" s="3" t="n">
        <v>1.5</v>
      </c>
      <c r="J54" s="4">
        <f>(F54-Assumptions!$B$13)/(Assumptions!$C$13-Assumptions!$B$13)</f>
        <v/>
      </c>
      <c r="K54" s="4">
        <f>(H54-Assumptions!$B$14)/(Assumptions!$C$14-Assumptions!$B$14)</f>
        <v/>
      </c>
      <c r="L54" s="4">
        <f>(I54-Assumptions!$B$15)/(Assumptions!$C$15-Assumptions!$B$15)</f>
        <v/>
      </c>
      <c r="M54" s="4">
        <f>0.4*J54+0.4*K54+0.2*L54</f>
        <v/>
      </c>
    </row>
    <row r="55">
      <c r="A55" s="3" t="inlineStr">
        <is>
          <t>Normal</t>
        </is>
      </c>
      <c r="B55" s="3" t="inlineStr">
        <is>
          <t>DEL_GF</t>
        </is>
      </c>
      <c r="C55" s="3" t="inlineStr">
        <is>
          <t>SIM-00057</t>
        </is>
      </c>
      <c r="D55" s="3" t="inlineStr">
        <is>
          <t>RO-00010</t>
        </is>
      </c>
      <c r="E55" s="3" t="n">
        <v>31</v>
      </c>
      <c r="F55" s="3" t="n">
        <v>1</v>
      </c>
      <c r="G55" s="3" t="n">
        <v>712</v>
      </c>
      <c r="H55" s="4">
        <f>G55/E55</f>
        <v/>
      </c>
      <c r="I55" s="3" t="n">
        <v>1.5</v>
      </c>
      <c r="J55" s="4">
        <f>(F55-Assumptions!$B$13)/(Assumptions!$C$13-Assumptions!$B$13)</f>
        <v/>
      </c>
      <c r="K55" s="4">
        <f>(H55-Assumptions!$B$14)/(Assumptions!$C$14-Assumptions!$B$14)</f>
        <v/>
      </c>
      <c r="L55" s="4">
        <f>(I55-Assumptions!$B$15)/(Assumptions!$C$15-Assumptions!$B$15)</f>
        <v/>
      </c>
      <c r="M55" s="4">
        <f>0.4*J55+0.4*K55+0.2*L55</f>
        <v/>
      </c>
    </row>
    <row r="56">
      <c r="A56" s="3" t="inlineStr">
        <is>
          <t>Normal</t>
        </is>
      </c>
      <c r="B56" s="3" t="inlineStr">
        <is>
          <t>DEL_O</t>
        </is>
      </c>
      <c r="C56" s="3" t="inlineStr">
        <is>
          <t>SIM-00059</t>
        </is>
      </c>
      <c r="D56" s="3" t="inlineStr">
        <is>
          <t>RO-03768</t>
        </is>
      </c>
      <c r="E56" s="3" t="n">
        <v>10.5</v>
      </c>
      <c r="F56" s="3" t="n">
        <v>2</v>
      </c>
      <c r="G56" s="3" t="n">
        <v>717</v>
      </c>
      <c r="H56" s="4">
        <f>G56/E56</f>
        <v/>
      </c>
      <c r="I56" s="3" t="n">
        <v>0.6</v>
      </c>
      <c r="J56" s="4">
        <f>(F56-Assumptions!$B$13)/(Assumptions!$C$13-Assumptions!$B$13)</f>
        <v/>
      </c>
      <c r="K56" s="4">
        <f>(H56-Assumptions!$B$14)/(Assumptions!$C$14-Assumptions!$B$14)</f>
        <v/>
      </c>
      <c r="L56" s="4">
        <f>(I56-Assumptions!$B$15)/(Assumptions!$C$15-Assumptions!$B$15)</f>
        <v/>
      </c>
      <c r="M56" s="4">
        <f>0.4*J56+0.4*K56+0.2*L56</f>
        <v/>
      </c>
    </row>
    <row r="57">
      <c r="A57" s="3" t="inlineStr">
        <is>
          <t>Normal</t>
        </is>
      </c>
      <c r="B57" s="3" t="inlineStr">
        <is>
          <t>DEL_BV</t>
        </is>
      </c>
      <c r="C57" s="3" t="inlineStr">
        <is>
          <t>SIM-00061</t>
        </is>
      </c>
      <c r="D57" s="3" t="inlineStr">
        <is>
          <t>RO-00901</t>
        </is>
      </c>
      <c r="E57" s="3" t="n">
        <v>1838</v>
      </c>
      <c r="F57" s="3" t="n">
        <v>2</v>
      </c>
      <c r="G57" s="3" t="n">
        <v>552</v>
      </c>
      <c r="H57" s="4">
        <f>G57/E57</f>
        <v/>
      </c>
      <c r="I57" s="3" t="n">
        <v>1.5</v>
      </c>
      <c r="J57" s="4">
        <f>(F57-Assumptions!$B$13)/(Assumptions!$C$13-Assumptions!$B$13)</f>
        <v/>
      </c>
      <c r="K57" s="4">
        <f>(H57-Assumptions!$B$14)/(Assumptions!$C$14-Assumptions!$B$14)</f>
        <v/>
      </c>
      <c r="L57" s="4">
        <f>(I57-Assumptions!$B$15)/(Assumptions!$C$15-Assumptions!$B$15)</f>
        <v/>
      </c>
      <c r="M57" s="4">
        <f>0.4*J57+0.4*K57+0.2*L57</f>
        <v/>
      </c>
    </row>
    <row r="58">
      <c r="A58" s="3" t="inlineStr">
        <is>
          <t>Normal</t>
        </is>
      </c>
      <c r="B58" s="3" t="inlineStr">
        <is>
          <t>DEL_FZ</t>
        </is>
      </c>
      <c r="C58" s="3" t="inlineStr">
        <is>
          <t>SIM-00061</t>
        </is>
      </c>
      <c r="D58" s="3" t="inlineStr">
        <is>
          <t>RO-00901</t>
        </is>
      </c>
      <c r="E58" s="3" t="n">
        <v>3.5</v>
      </c>
      <c r="F58" s="3" t="n">
        <v>2</v>
      </c>
      <c r="G58" s="3" t="n">
        <v>552</v>
      </c>
      <c r="H58" s="4">
        <f>G58/E58</f>
        <v/>
      </c>
      <c r="I58" s="3" t="n">
        <v>1.5</v>
      </c>
      <c r="J58" s="4">
        <f>(F58-Assumptions!$B$13)/(Assumptions!$C$13-Assumptions!$B$13)</f>
        <v/>
      </c>
      <c r="K58" s="4">
        <f>(H58-Assumptions!$B$14)/(Assumptions!$C$14-Assumptions!$B$14)</f>
        <v/>
      </c>
      <c r="L58" s="4">
        <f>(I58-Assumptions!$B$15)/(Assumptions!$C$15-Assumptions!$B$15)</f>
        <v/>
      </c>
      <c r="M58" s="4">
        <f>0.4*J58+0.4*K58+0.2*L58</f>
        <v/>
      </c>
    </row>
    <row r="59">
      <c r="A59" s="3" t="inlineStr">
        <is>
          <t>Normal</t>
        </is>
      </c>
      <c r="B59" s="3" t="inlineStr">
        <is>
          <t>DEL_GN</t>
        </is>
      </c>
      <c r="C59" s="3" t="inlineStr">
        <is>
          <t>SIM-00061</t>
        </is>
      </c>
      <c r="D59" s="3" t="inlineStr">
        <is>
          <t>RO-00901</t>
        </is>
      </c>
      <c r="E59" s="3" t="n">
        <v>262</v>
      </c>
      <c r="F59" s="3" t="n">
        <v>2</v>
      </c>
      <c r="G59" s="3" t="n">
        <v>552</v>
      </c>
      <c r="H59" s="4">
        <f>G59/E59</f>
        <v/>
      </c>
      <c r="I59" s="3" t="n">
        <v>1.5</v>
      </c>
      <c r="J59" s="4">
        <f>(F59-Assumptions!$B$13)/(Assumptions!$C$13-Assumptions!$B$13)</f>
        <v/>
      </c>
      <c r="K59" s="4">
        <f>(H59-Assumptions!$B$14)/(Assumptions!$C$14-Assumptions!$B$14)</f>
        <v/>
      </c>
      <c r="L59" s="4">
        <f>(I59-Assumptions!$B$15)/(Assumptions!$C$15-Assumptions!$B$15)</f>
        <v/>
      </c>
      <c r="M59" s="4">
        <f>0.4*J59+0.4*K59+0.2*L59</f>
        <v/>
      </c>
    </row>
    <row r="60">
      <c r="A60" s="3" t="inlineStr">
        <is>
          <t>Normal</t>
        </is>
      </c>
      <c r="B60" s="3" t="inlineStr">
        <is>
          <t>DEL_AR</t>
        </is>
      </c>
      <c r="C60" s="3" t="inlineStr">
        <is>
          <t>SIM-00062</t>
        </is>
      </c>
      <c r="D60" s="3" t="inlineStr">
        <is>
          <t>RO-03662</t>
        </is>
      </c>
      <c r="E60" s="3" t="n">
        <v>242.5</v>
      </c>
      <c r="F60" s="3" t="n">
        <v>4</v>
      </c>
      <c r="G60" s="3" t="n">
        <v>321</v>
      </c>
      <c r="H60" s="4">
        <f>G60/E60</f>
        <v/>
      </c>
      <c r="I60" s="3" t="n">
        <v>1.8</v>
      </c>
      <c r="J60" s="4">
        <f>(F60-Assumptions!$B$13)/(Assumptions!$C$13-Assumptions!$B$13)</f>
        <v/>
      </c>
      <c r="K60" s="4">
        <f>(H60-Assumptions!$B$14)/(Assumptions!$C$14-Assumptions!$B$14)</f>
        <v/>
      </c>
      <c r="L60" s="4">
        <f>(I60-Assumptions!$B$15)/(Assumptions!$C$15-Assumptions!$B$15)</f>
        <v/>
      </c>
      <c r="M60" s="4">
        <f>0.4*J60+0.4*K60+0.2*L60</f>
        <v/>
      </c>
    </row>
    <row r="61">
      <c r="A61" s="3" t="inlineStr">
        <is>
          <t>Normal</t>
        </is>
      </c>
      <c r="B61" s="3" t="inlineStr">
        <is>
          <t>DEL_EY</t>
        </is>
      </c>
      <c r="C61" s="3" t="inlineStr">
        <is>
          <t>SIM-00063</t>
        </is>
      </c>
      <c r="D61" s="3" t="inlineStr">
        <is>
          <t>RO-00334</t>
        </is>
      </c>
      <c r="E61" s="3" t="n">
        <v>6.5</v>
      </c>
      <c r="F61" s="3" t="n">
        <v>3</v>
      </c>
      <c r="G61" s="3" t="n">
        <v>712</v>
      </c>
      <c r="H61" s="4">
        <f>G61/E61</f>
        <v/>
      </c>
      <c r="I61" s="3" t="n">
        <v>1.5</v>
      </c>
      <c r="J61" s="4">
        <f>(F61-Assumptions!$B$13)/(Assumptions!$C$13-Assumptions!$B$13)</f>
        <v/>
      </c>
      <c r="K61" s="4">
        <f>(H61-Assumptions!$B$14)/(Assumptions!$C$14-Assumptions!$B$14)</f>
        <v/>
      </c>
      <c r="L61" s="4">
        <f>(I61-Assumptions!$B$15)/(Assumptions!$C$15-Assumptions!$B$15)</f>
        <v/>
      </c>
      <c r="M61" s="4">
        <f>0.4*J61+0.4*K61+0.2*L61</f>
        <v/>
      </c>
    </row>
    <row r="62">
      <c r="A62" s="3" t="inlineStr">
        <is>
          <t>Normal</t>
        </is>
      </c>
      <c r="B62" s="3" t="inlineStr">
        <is>
          <t>DEL_AA</t>
        </is>
      </c>
      <c r="C62" s="3" t="inlineStr">
        <is>
          <t>SIM-00074</t>
        </is>
      </c>
      <c r="D62" s="3" t="inlineStr">
        <is>
          <t>RO-03674</t>
        </is>
      </c>
      <c r="E62" s="3" t="n">
        <v>2776</v>
      </c>
      <c r="F62" s="3" t="n">
        <v>11</v>
      </c>
      <c r="G62" s="3" t="n">
        <v>169</v>
      </c>
      <c r="H62" s="4">
        <f>G62/E62</f>
        <v/>
      </c>
      <c r="I62" s="3" t="n">
        <v>2.8</v>
      </c>
      <c r="J62" s="4">
        <f>(F62-Assumptions!$B$13)/(Assumptions!$C$13-Assumptions!$B$13)</f>
        <v/>
      </c>
      <c r="K62" s="4">
        <f>(H62-Assumptions!$B$14)/(Assumptions!$C$14-Assumptions!$B$14)</f>
        <v/>
      </c>
      <c r="L62" s="4">
        <f>(I62-Assumptions!$B$15)/(Assumptions!$C$15-Assumptions!$B$15)</f>
        <v/>
      </c>
      <c r="M62" s="4">
        <f>0.4*J62+0.4*K62+0.2*L62</f>
        <v/>
      </c>
    </row>
    <row r="63">
      <c r="A63" s="3" t="inlineStr">
        <is>
          <t>Normal</t>
        </is>
      </c>
      <c r="B63" s="3" t="inlineStr">
        <is>
          <t>DEL_BB</t>
        </is>
      </c>
      <c r="C63" s="3" t="inlineStr">
        <is>
          <t>SIM-00076</t>
        </is>
      </c>
      <c r="D63" s="3" t="inlineStr">
        <is>
          <t>RO-01372</t>
        </is>
      </c>
      <c r="E63" s="3" t="n">
        <v>12</v>
      </c>
      <c r="F63" s="3" t="n">
        <v>4</v>
      </c>
      <c r="G63" s="3" t="n">
        <v>328</v>
      </c>
      <c r="H63" s="4">
        <f>G63/E63</f>
        <v/>
      </c>
      <c r="I63" s="3" t="n">
        <v>2.3</v>
      </c>
      <c r="J63" s="4">
        <f>(F63-Assumptions!$B$13)/(Assumptions!$C$13-Assumptions!$B$13)</f>
        <v/>
      </c>
      <c r="K63" s="4">
        <f>(H63-Assumptions!$B$14)/(Assumptions!$C$14-Assumptions!$B$14)</f>
        <v/>
      </c>
      <c r="L63" s="4">
        <f>(I63-Assumptions!$B$15)/(Assumptions!$C$15-Assumptions!$B$15)</f>
        <v/>
      </c>
      <c r="M63" s="4">
        <f>0.4*J63+0.4*K63+0.2*L63</f>
        <v/>
      </c>
    </row>
    <row r="64">
      <c r="A64" s="3" t="inlineStr">
        <is>
          <t>Normal</t>
        </is>
      </c>
      <c r="B64" s="3" t="inlineStr">
        <is>
          <t>DEL_ER</t>
        </is>
      </c>
      <c r="C64" s="3" t="inlineStr">
        <is>
          <t>SIM-00077</t>
        </is>
      </c>
      <c r="D64" s="3" t="inlineStr">
        <is>
          <t>RO-02710</t>
        </is>
      </c>
      <c r="E64" s="3" t="n">
        <v>157.5</v>
      </c>
      <c r="F64" s="3" t="n">
        <v>1</v>
      </c>
      <c r="G64" s="3" t="n">
        <v>712</v>
      </c>
      <c r="H64" s="4">
        <f>G64/E64</f>
        <v/>
      </c>
      <c r="I64" s="3" t="n">
        <v>1.5</v>
      </c>
      <c r="J64" s="4">
        <f>(F64-Assumptions!$B$13)/(Assumptions!$C$13-Assumptions!$B$13)</f>
        <v/>
      </c>
      <c r="K64" s="4">
        <f>(H64-Assumptions!$B$14)/(Assumptions!$C$14-Assumptions!$B$14)</f>
        <v/>
      </c>
      <c r="L64" s="4">
        <f>(I64-Assumptions!$B$15)/(Assumptions!$C$15-Assumptions!$B$15)</f>
        <v/>
      </c>
      <c r="M64" s="4">
        <f>0.4*J64+0.4*K64+0.2*L64</f>
        <v/>
      </c>
    </row>
    <row r="65">
      <c r="A65" s="3" t="inlineStr">
        <is>
          <t>Normal</t>
        </is>
      </c>
      <c r="B65" s="3" t="inlineStr">
        <is>
          <t>DEL_FM</t>
        </is>
      </c>
      <c r="C65" s="3" t="inlineStr">
        <is>
          <t>SIM-00077</t>
        </is>
      </c>
      <c r="D65" s="3" t="inlineStr">
        <is>
          <t>RO-02710</t>
        </is>
      </c>
      <c r="E65" s="3" t="n">
        <v>7.5</v>
      </c>
      <c r="F65" s="3" t="n">
        <v>1</v>
      </c>
      <c r="G65" s="3" t="n">
        <v>712</v>
      </c>
      <c r="H65" s="4">
        <f>G65/E65</f>
        <v/>
      </c>
      <c r="I65" s="3" t="n">
        <v>1.5</v>
      </c>
      <c r="J65" s="4">
        <f>(F65-Assumptions!$B$13)/(Assumptions!$C$13-Assumptions!$B$13)</f>
        <v/>
      </c>
      <c r="K65" s="4">
        <f>(H65-Assumptions!$B$14)/(Assumptions!$C$14-Assumptions!$B$14)</f>
        <v/>
      </c>
      <c r="L65" s="4">
        <f>(I65-Assumptions!$B$15)/(Assumptions!$C$15-Assumptions!$B$15)</f>
        <v/>
      </c>
      <c r="M65" s="4">
        <f>0.4*J65+0.4*K65+0.2*L65</f>
        <v/>
      </c>
    </row>
    <row r="66">
      <c r="A66" s="3" t="inlineStr">
        <is>
          <t>Normal</t>
        </is>
      </c>
      <c r="B66" s="3" t="inlineStr">
        <is>
          <t>DEL_GP</t>
        </is>
      </c>
      <c r="C66" s="3" t="inlineStr">
        <is>
          <t>SIM-00080</t>
        </is>
      </c>
      <c r="D66" s="3" t="inlineStr">
        <is>
          <t>RO-03680</t>
        </is>
      </c>
      <c r="E66" s="3" t="n">
        <v>459</v>
      </c>
      <c r="F66" s="3" t="n">
        <v>1</v>
      </c>
      <c r="G66" s="3" t="n">
        <v>741</v>
      </c>
      <c r="H66" s="4">
        <f>G66/E66</f>
        <v/>
      </c>
      <c r="I66" s="3" t="n">
        <v>0.9</v>
      </c>
      <c r="J66" s="4">
        <f>(F66-Assumptions!$B$13)/(Assumptions!$C$13-Assumptions!$B$13)</f>
        <v/>
      </c>
      <c r="K66" s="4">
        <f>(H66-Assumptions!$B$14)/(Assumptions!$C$14-Assumptions!$B$14)</f>
        <v/>
      </c>
      <c r="L66" s="4">
        <f>(I66-Assumptions!$B$15)/(Assumptions!$C$15-Assumptions!$B$15)</f>
        <v/>
      </c>
      <c r="M66" s="4">
        <f>0.4*J66+0.4*K66+0.2*L66</f>
        <v/>
      </c>
    </row>
    <row r="67">
      <c r="A67" s="3" t="inlineStr">
        <is>
          <t>Normal</t>
        </is>
      </c>
      <c r="B67" s="3" t="inlineStr">
        <is>
          <t>DEL_DD</t>
        </is>
      </c>
      <c r="C67" s="3" t="inlineStr">
        <is>
          <t>SIM-00084</t>
        </is>
      </c>
      <c r="D67" s="3" t="inlineStr">
        <is>
          <t>RO-03684</t>
        </is>
      </c>
      <c r="E67" s="3" t="n">
        <v>90.5</v>
      </c>
      <c r="F67" s="3" t="n">
        <v>4</v>
      </c>
      <c r="G67" s="3" t="n">
        <v>521</v>
      </c>
      <c r="H67" s="4">
        <f>G67/E67</f>
        <v/>
      </c>
      <c r="I67" s="3" t="n">
        <v>1.1</v>
      </c>
      <c r="J67" s="4">
        <f>(F67-Assumptions!$B$13)/(Assumptions!$C$13-Assumptions!$B$13)</f>
        <v/>
      </c>
      <c r="K67" s="4">
        <f>(H67-Assumptions!$B$14)/(Assumptions!$C$14-Assumptions!$B$14)</f>
        <v/>
      </c>
      <c r="L67" s="4">
        <f>(I67-Assumptions!$B$15)/(Assumptions!$C$15-Assumptions!$B$15)</f>
        <v/>
      </c>
      <c r="M67" s="4">
        <f>0.4*J67+0.4*K67+0.2*L67</f>
        <v/>
      </c>
    </row>
    <row r="68">
      <c r="A68" s="3" t="inlineStr">
        <is>
          <t>Normal</t>
        </is>
      </c>
      <c r="B68" s="3" t="inlineStr">
        <is>
          <t>DEL_GY</t>
        </is>
      </c>
      <c r="C68" s="3" t="inlineStr">
        <is>
          <t>SIM-00084</t>
        </is>
      </c>
      <c r="D68" s="3" t="inlineStr">
        <is>
          <t>RO-03684</t>
        </is>
      </c>
      <c r="E68" s="3" t="n">
        <v>165</v>
      </c>
      <c r="F68" s="3" t="n">
        <v>4</v>
      </c>
      <c r="G68" s="3" t="n">
        <v>521</v>
      </c>
      <c r="H68" s="4">
        <f>G68/E68</f>
        <v/>
      </c>
      <c r="I68" s="3" t="n">
        <v>1.1</v>
      </c>
      <c r="J68" s="4">
        <f>(F68-Assumptions!$B$13)/(Assumptions!$C$13-Assumptions!$B$13)</f>
        <v/>
      </c>
      <c r="K68" s="4">
        <f>(H68-Assumptions!$B$14)/(Assumptions!$C$14-Assumptions!$B$14)</f>
        <v/>
      </c>
      <c r="L68" s="4">
        <f>(I68-Assumptions!$B$15)/(Assumptions!$C$15-Assumptions!$B$15)</f>
        <v/>
      </c>
      <c r="M68" s="4">
        <f>0.4*J68+0.4*K68+0.2*L68</f>
        <v/>
      </c>
    </row>
    <row r="69">
      <c r="A69" s="3" t="inlineStr">
        <is>
          <t>Normal</t>
        </is>
      </c>
      <c r="B69" s="3" t="inlineStr">
        <is>
          <t>DEL_CT</t>
        </is>
      </c>
      <c r="C69" s="3" t="inlineStr">
        <is>
          <t>SIM-00088</t>
        </is>
      </c>
      <c r="D69" s="3" t="inlineStr">
        <is>
          <t>RO-03608</t>
        </is>
      </c>
      <c r="E69" s="3" t="n">
        <v>438</v>
      </c>
      <c r="F69" s="3" t="n">
        <v>2</v>
      </c>
      <c r="G69" s="3" t="n">
        <v>741</v>
      </c>
      <c r="H69" s="4">
        <f>G69/E69</f>
        <v/>
      </c>
      <c r="I69" s="3" t="n">
        <v>0.9</v>
      </c>
      <c r="J69" s="4">
        <f>(F69-Assumptions!$B$13)/(Assumptions!$C$13-Assumptions!$B$13)</f>
        <v/>
      </c>
      <c r="K69" s="4">
        <f>(H69-Assumptions!$B$14)/(Assumptions!$C$14-Assumptions!$B$14)</f>
        <v/>
      </c>
      <c r="L69" s="4">
        <f>(I69-Assumptions!$B$15)/(Assumptions!$C$15-Assumptions!$B$15)</f>
        <v/>
      </c>
      <c r="M69" s="4">
        <f>0.4*J69+0.4*K69+0.2*L69</f>
        <v/>
      </c>
    </row>
    <row r="70">
      <c r="A70" s="3" t="inlineStr">
        <is>
          <t>Normal</t>
        </is>
      </c>
      <c r="B70" s="3" t="inlineStr">
        <is>
          <t>DEL_HG</t>
        </is>
      </c>
      <c r="C70" s="3" t="inlineStr">
        <is>
          <t>SIM-00094</t>
        </is>
      </c>
      <c r="D70" s="3" t="inlineStr">
        <is>
          <t>RO-03614</t>
        </is>
      </c>
      <c r="E70" s="3" t="n">
        <v>4.5</v>
      </c>
      <c r="F70" s="3" t="n">
        <v>11</v>
      </c>
      <c r="G70" s="3" t="n">
        <v>205</v>
      </c>
      <c r="H70" s="4">
        <f>G70/E70</f>
        <v/>
      </c>
      <c r="I70" s="3" t="n">
        <v>2.8</v>
      </c>
      <c r="J70" s="4">
        <f>(F70-Assumptions!$B$13)/(Assumptions!$C$13-Assumptions!$B$13)</f>
        <v/>
      </c>
      <c r="K70" s="4">
        <f>(H70-Assumptions!$B$14)/(Assumptions!$C$14-Assumptions!$B$14)</f>
        <v/>
      </c>
      <c r="L70" s="4">
        <f>(I70-Assumptions!$B$15)/(Assumptions!$C$15-Assumptions!$B$15)</f>
        <v/>
      </c>
      <c r="M70" s="4">
        <f>0.4*J70+0.4*K70+0.2*L70</f>
        <v/>
      </c>
    </row>
    <row r="71">
      <c r="A71" s="3" t="inlineStr">
        <is>
          <t>Normal</t>
        </is>
      </c>
      <c r="B71" s="3" t="inlineStr">
        <is>
          <t>DEL_CU</t>
        </is>
      </c>
      <c r="C71" s="3" t="inlineStr">
        <is>
          <t>SIM-00097</t>
        </is>
      </c>
      <c r="D71" s="3" t="inlineStr">
        <is>
          <t>RO-01450</t>
        </is>
      </c>
      <c r="E71" s="3" t="n">
        <v>2635</v>
      </c>
      <c r="F71" s="3" t="n">
        <v>1</v>
      </c>
      <c r="G71" s="3" t="n">
        <v>712</v>
      </c>
      <c r="H71" s="4">
        <f>G71/E71</f>
        <v/>
      </c>
      <c r="I71" s="3" t="n">
        <v>1.5</v>
      </c>
      <c r="J71" s="4">
        <f>(F71-Assumptions!$B$13)/(Assumptions!$C$13-Assumptions!$B$13)</f>
        <v/>
      </c>
      <c r="K71" s="4">
        <f>(H71-Assumptions!$B$14)/(Assumptions!$C$14-Assumptions!$B$14)</f>
        <v/>
      </c>
      <c r="L71" s="4">
        <f>(I71-Assumptions!$B$15)/(Assumptions!$C$15-Assumptions!$B$15)</f>
        <v/>
      </c>
      <c r="M71" s="4">
        <f>0.4*J71+0.4*K71+0.2*L71</f>
        <v/>
      </c>
    </row>
    <row r="72">
      <c r="A72" s="3" t="inlineStr">
        <is>
          <t>Normal</t>
        </is>
      </c>
      <c r="B72" s="3" t="inlineStr">
        <is>
          <t>DEL_DW</t>
        </is>
      </c>
      <c r="C72" s="3" t="inlineStr">
        <is>
          <t>SIM-00097</t>
        </is>
      </c>
      <c r="D72" s="3" t="inlineStr">
        <is>
          <t>RO-01450</t>
        </is>
      </c>
      <c r="E72" s="3" t="n">
        <v>1617</v>
      </c>
      <c r="F72" s="3" t="n">
        <v>1</v>
      </c>
      <c r="G72" s="3" t="n">
        <v>712</v>
      </c>
      <c r="H72" s="4">
        <f>G72/E72</f>
        <v/>
      </c>
      <c r="I72" s="3" t="n">
        <v>1.5</v>
      </c>
      <c r="J72" s="4">
        <f>(F72-Assumptions!$B$13)/(Assumptions!$C$13-Assumptions!$B$13)</f>
        <v/>
      </c>
      <c r="K72" s="4">
        <f>(H72-Assumptions!$B$14)/(Assumptions!$C$14-Assumptions!$B$14)</f>
        <v/>
      </c>
      <c r="L72" s="4">
        <f>(I72-Assumptions!$B$15)/(Assumptions!$C$15-Assumptions!$B$15)</f>
        <v/>
      </c>
      <c r="M72" s="4">
        <f>0.4*J72+0.4*K72+0.2*L72</f>
        <v/>
      </c>
    </row>
    <row r="73">
      <c r="A73" s="3" t="inlineStr">
        <is>
          <t>Normal</t>
        </is>
      </c>
      <c r="B73" s="3" t="inlineStr">
        <is>
          <t>DEL_EZ</t>
        </is>
      </c>
      <c r="C73" s="3" t="inlineStr">
        <is>
          <t>SIM-00098</t>
        </is>
      </c>
      <c r="D73" s="3" t="inlineStr">
        <is>
          <t>RO-01465</t>
        </is>
      </c>
      <c r="E73" s="3" t="n">
        <v>5</v>
      </c>
      <c r="F73" s="3" t="n">
        <v>2</v>
      </c>
      <c r="G73" s="3" t="n">
        <v>624</v>
      </c>
      <c r="H73" s="4">
        <f>G73/E73</f>
        <v/>
      </c>
      <c r="I73" s="3" t="n">
        <v>1.5</v>
      </c>
      <c r="J73" s="4">
        <f>(F73-Assumptions!$B$13)/(Assumptions!$C$13-Assumptions!$B$13)</f>
        <v/>
      </c>
      <c r="K73" s="4">
        <f>(H73-Assumptions!$B$14)/(Assumptions!$C$14-Assumptions!$B$14)</f>
        <v/>
      </c>
      <c r="L73" s="4">
        <f>(I73-Assumptions!$B$15)/(Assumptions!$C$15-Assumptions!$B$15)</f>
        <v/>
      </c>
      <c r="M73" s="4">
        <f>0.4*J73+0.4*K73+0.2*L73</f>
        <v/>
      </c>
    </row>
    <row r="74">
      <c r="A74" s="3" t="inlineStr">
        <is>
          <t>Normal</t>
        </is>
      </c>
      <c r="B74" s="3" t="inlineStr">
        <is>
          <t>DEL_DP</t>
        </is>
      </c>
      <c r="C74" s="3" t="inlineStr">
        <is>
          <t>SIM-00100</t>
        </is>
      </c>
      <c r="D74" s="3" t="inlineStr">
        <is>
          <t>RO-03697</t>
        </is>
      </c>
      <c r="E74" s="3" t="n">
        <v>8.5</v>
      </c>
      <c r="F74" s="3" t="n">
        <v>1</v>
      </c>
      <c r="G74" s="3" t="n">
        <v>729</v>
      </c>
      <c r="H74" s="4">
        <f>G74/E74</f>
        <v/>
      </c>
      <c r="I74" s="3" t="n">
        <v>0.8</v>
      </c>
      <c r="J74" s="4">
        <f>(F74-Assumptions!$B$13)/(Assumptions!$C$13-Assumptions!$B$13)</f>
        <v/>
      </c>
      <c r="K74" s="4">
        <f>(H74-Assumptions!$B$14)/(Assumptions!$C$14-Assumptions!$B$14)</f>
        <v/>
      </c>
      <c r="L74" s="4">
        <f>(I74-Assumptions!$B$15)/(Assumptions!$C$15-Assumptions!$B$15)</f>
        <v/>
      </c>
      <c r="M74" s="4">
        <f>0.4*J74+0.4*K74+0.2*L74</f>
        <v/>
      </c>
    </row>
    <row r="75">
      <c r="A75" s="3" t="inlineStr">
        <is>
          <t>Normal</t>
        </is>
      </c>
      <c r="B75" s="3" t="inlineStr">
        <is>
          <t>DEL_HE</t>
        </is>
      </c>
      <c r="C75" s="3" t="inlineStr">
        <is>
          <t>SIM-00100</t>
        </is>
      </c>
      <c r="D75" s="3" t="inlineStr">
        <is>
          <t>RO-03697</t>
        </is>
      </c>
      <c r="E75" s="3" t="n">
        <v>374</v>
      </c>
      <c r="F75" s="3" t="n">
        <v>1</v>
      </c>
      <c r="G75" s="3" t="n">
        <v>729</v>
      </c>
      <c r="H75" s="4">
        <f>G75/E75</f>
        <v/>
      </c>
      <c r="I75" s="3" t="n">
        <v>0.8</v>
      </c>
      <c r="J75" s="4">
        <f>(F75-Assumptions!$B$13)/(Assumptions!$C$13-Assumptions!$B$13)</f>
        <v/>
      </c>
      <c r="K75" s="4">
        <f>(H75-Assumptions!$B$14)/(Assumptions!$C$14-Assumptions!$B$14)</f>
        <v/>
      </c>
      <c r="L75" s="4">
        <f>(I75-Assumptions!$B$15)/(Assumptions!$C$15-Assumptions!$B$15)</f>
        <v/>
      </c>
      <c r="M75" s="4">
        <f>0.4*J75+0.4*K75+0.2*L75</f>
        <v/>
      </c>
    </row>
    <row r="76">
      <c r="A76" s="3" t="inlineStr">
        <is>
          <t>Normal</t>
        </is>
      </c>
      <c r="B76" s="3" t="inlineStr">
        <is>
          <t>DEL_CN</t>
        </is>
      </c>
      <c r="C76" s="3" t="inlineStr">
        <is>
          <t>SIM-00102</t>
        </is>
      </c>
      <c r="D76" s="3" t="inlineStr">
        <is>
          <t>RO-01756</t>
        </is>
      </c>
      <c r="E76" s="3" t="n">
        <v>2</v>
      </c>
      <c r="F76" s="3" t="n">
        <v>4</v>
      </c>
      <c r="G76" s="3" t="n">
        <v>292</v>
      </c>
      <c r="H76" s="4">
        <f>G76/E76</f>
        <v/>
      </c>
      <c r="I76" s="3" t="n">
        <v>2.3</v>
      </c>
      <c r="J76" s="4">
        <f>(F76-Assumptions!$B$13)/(Assumptions!$C$13-Assumptions!$B$13)</f>
        <v/>
      </c>
      <c r="K76" s="4">
        <f>(H76-Assumptions!$B$14)/(Assumptions!$C$14-Assumptions!$B$14)</f>
        <v/>
      </c>
      <c r="L76" s="4">
        <f>(I76-Assumptions!$B$15)/(Assumptions!$C$15-Assumptions!$B$15)</f>
        <v/>
      </c>
      <c r="M76" s="4">
        <f>0.4*J76+0.4*K76+0.2*L76</f>
        <v/>
      </c>
    </row>
    <row r="77">
      <c r="A77" s="3" t="inlineStr">
        <is>
          <t>Normal</t>
        </is>
      </c>
      <c r="B77" s="3" t="inlineStr">
        <is>
          <t>DEL_FP</t>
        </is>
      </c>
      <c r="C77" s="3" t="inlineStr">
        <is>
          <t>SIM-00102</t>
        </is>
      </c>
      <c r="D77" s="3" t="inlineStr">
        <is>
          <t>RO-01756</t>
        </is>
      </c>
      <c r="E77" s="3" t="n">
        <v>8.5</v>
      </c>
      <c r="F77" s="3" t="n">
        <v>4</v>
      </c>
      <c r="G77" s="3" t="n">
        <v>292</v>
      </c>
      <c r="H77" s="4">
        <f>G77/E77</f>
        <v/>
      </c>
      <c r="I77" s="3" t="n">
        <v>2.3</v>
      </c>
      <c r="J77" s="4">
        <f>(F77-Assumptions!$B$13)/(Assumptions!$C$13-Assumptions!$B$13)</f>
        <v/>
      </c>
      <c r="K77" s="4">
        <f>(H77-Assumptions!$B$14)/(Assumptions!$C$14-Assumptions!$B$14)</f>
        <v/>
      </c>
      <c r="L77" s="4">
        <f>(I77-Assumptions!$B$15)/(Assumptions!$C$15-Assumptions!$B$15)</f>
        <v/>
      </c>
      <c r="M77" s="4">
        <f>0.4*J77+0.4*K77+0.2*L77</f>
        <v/>
      </c>
    </row>
    <row r="78">
      <c r="A78" s="3" t="inlineStr">
        <is>
          <t>Normal</t>
        </is>
      </c>
      <c r="B78" s="3" t="inlineStr">
        <is>
          <t>DEL_Z</t>
        </is>
      </c>
      <c r="C78" s="3" t="inlineStr">
        <is>
          <t>SIM-00104</t>
        </is>
      </c>
      <c r="D78" s="3" t="inlineStr">
        <is>
          <t>RO-03701</t>
        </is>
      </c>
      <c r="E78" s="3" t="n">
        <v>401.5</v>
      </c>
      <c r="F78" s="3" t="n">
        <v>2</v>
      </c>
      <c r="G78" s="3" t="n">
        <v>509</v>
      </c>
      <c r="H78" s="4">
        <f>G78/E78</f>
        <v/>
      </c>
      <c r="I78" s="3" t="n">
        <v>1.8</v>
      </c>
      <c r="J78" s="4">
        <f>(F78-Assumptions!$B$13)/(Assumptions!$C$13-Assumptions!$B$13)</f>
        <v/>
      </c>
      <c r="K78" s="4">
        <f>(H78-Assumptions!$B$14)/(Assumptions!$C$14-Assumptions!$B$14)</f>
        <v/>
      </c>
      <c r="L78" s="4">
        <f>(I78-Assumptions!$B$15)/(Assumptions!$C$15-Assumptions!$B$15)</f>
        <v/>
      </c>
      <c r="M78" s="4">
        <f>0.4*J78+0.4*K78+0.2*L78</f>
        <v/>
      </c>
    </row>
    <row r="79">
      <c r="A79" s="3" t="inlineStr">
        <is>
          <t>Normal</t>
        </is>
      </c>
      <c r="B79" s="3" t="inlineStr">
        <is>
          <t>DEL_EO</t>
        </is>
      </c>
      <c r="C79" s="3" t="inlineStr">
        <is>
          <t>SIM-00105</t>
        </is>
      </c>
      <c r="D79" s="3" t="inlineStr">
        <is>
          <t>RO-03702</t>
        </is>
      </c>
      <c r="E79" s="3" t="n">
        <v>42.5</v>
      </c>
      <c r="F79" s="3" t="n">
        <v>2</v>
      </c>
      <c r="G79" s="3" t="n">
        <v>521</v>
      </c>
      <c r="H79" s="4">
        <f>G79/E79</f>
        <v/>
      </c>
      <c r="I79" s="3" t="n">
        <v>1.1</v>
      </c>
      <c r="J79" s="4">
        <f>(F79-Assumptions!$B$13)/(Assumptions!$C$13-Assumptions!$B$13)</f>
        <v/>
      </c>
      <c r="K79" s="4">
        <f>(H79-Assumptions!$B$14)/(Assumptions!$C$14-Assumptions!$B$14)</f>
        <v/>
      </c>
      <c r="L79" s="4">
        <f>(I79-Assumptions!$B$15)/(Assumptions!$C$15-Assumptions!$B$15)</f>
        <v/>
      </c>
      <c r="M79" s="4">
        <f>0.4*J79+0.4*K79+0.2*L79</f>
        <v/>
      </c>
    </row>
    <row r="80">
      <c r="A80" s="3" t="inlineStr">
        <is>
          <t>Normal</t>
        </is>
      </c>
      <c r="B80" s="3" t="inlineStr">
        <is>
          <t>DEL_CZ</t>
        </is>
      </c>
      <c r="C80" s="3" t="inlineStr">
        <is>
          <t>SIM-00109</t>
        </is>
      </c>
      <c r="D80" s="3" t="inlineStr">
        <is>
          <t>RO-01633</t>
        </is>
      </c>
      <c r="E80" s="3" t="n">
        <v>21</v>
      </c>
      <c r="F80" s="3" t="n">
        <v>3</v>
      </c>
      <c r="G80" s="3" t="n">
        <v>588</v>
      </c>
      <c r="H80" s="4">
        <f>G80/E80</f>
        <v/>
      </c>
      <c r="I80" s="3" t="n">
        <v>1.5</v>
      </c>
      <c r="J80" s="4">
        <f>(F80-Assumptions!$B$13)/(Assumptions!$C$13-Assumptions!$B$13)</f>
        <v/>
      </c>
      <c r="K80" s="4">
        <f>(H80-Assumptions!$B$14)/(Assumptions!$C$14-Assumptions!$B$14)</f>
        <v/>
      </c>
      <c r="L80" s="4">
        <f>(I80-Assumptions!$B$15)/(Assumptions!$C$15-Assumptions!$B$15)</f>
        <v/>
      </c>
      <c r="M80" s="4">
        <f>0.4*J80+0.4*K80+0.2*L80</f>
        <v/>
      </c>
    </row>
    <row r="81">
      <c r="A81" s="3" t="inlineStr">
        <is>
          <t>Normal</t>
        </is>
      </c>
      <c r="B81" s="3" t="inlineStr">
        <is>
          <t>DEL_HN</t>
        </is>
      </c>
      <c r="C81" s="3" t="inlineStr">
        <is>
          <t>SIM-00109</t>
        </is>
      </c>
      <c r="D81" s="3" t="inlineStr">
        <is>
          <t>RO-01633</t>
        </is>
      </c>
      <c r="E81" s="3" t="n">
        <v>27.5</v>
      </c>
      <c r="F81" s="3" t="n">
        <v>3</v>
      </c>
      <c r="G81" s="3" t="n">
        <v>588</v>
      </c>
      <c r="H81" s="4">
        <f>G81/E81</f>
        <v/>
      </c>
      <c r="I81" s="3" t="n">
        <v>1.5</v>
      </c>
      <c r="J81" s="4">
        <f>(F81-Assumptions!$B$13)/(Assumptions!$C$13-Assumptions!$B$13)</f>
        <v/>
      </c>
      <c r="K81" s="4">
        <f>(H81-Assumptions!$B$14)/(Assumptions!$C$14-Assumptions!$B$14)</f>
        <v/>
      </c>
      <c r="L81" s="4">
        <f>(I81-Assumptions!$B$15)/(Assumptions!$C$15-Assumptions!$B$15)</f>
        <v/>
      </c>
      <c r="M81" s="4">
        <f>0.4*J81+0.4*K81+0.2*L81</f>
        <v/>
      </c>
    </row>
    <row r="82">
      <c r="A82" s="3" t="inlineStr">
        <is>
          <t>Normal</t>
        </is>
      </c>
      <c r="B82" s="3" t="inlineStr">
        <is>
          <t>DEL_HK</t>
        </is>
      </c>
      <c r="C82" s="3" t="inlineStr">
        <is>
          <t>SIM-00109</t>
        </is>
      </c>
      <c r="D82" s="3" t="inlineStr">
        <is>
          <t>RO-01633</t>
        </is>
      </c>
      <c r="E82" s="3" t="n">
        <v>20.5</v>
      </c>
      <c r="F82" s="3" t="n">
        <v>3</v>
      </c>
      <c r="G82" s="3" t="n">
        <v>588</v>
      </c>
      <c r="H82" s="4">
        <f>G82/E82</f>
        <v/>
      </c>
      <c r="I82" s="3" t="n">
        <v>1.5</v>
      </c>
      <c r="J82" s="4">
        <f>(F82-Assumptions!$B$13)/(Assumptions!$C$13-Assumptions!$B$13)</f>
        <v/>
      </c>
      <c r="K82" s="4">
        <f>(H82-Assumptions!$B$14)/(Assumptions!$C$14-Assumptions!$B$14)</f>
        <v/>
      </c>
      <c r="L82" s="4">
        <f>(I82-Assumptions!$B$15)/(Assumptions!$C$15-Assumptions!$B$15)</f>
        <v/>
      </c>
      <c r="M82" s="4">
        <f>0.4*J82+0.4*K82+0.2*L82</f>
        <v/>
      </c>
    </row>
    <row r="83">
      <c r="A83" s="3" t="inlineStr">
        <is>
          <t>Normal</t>
        </is>
      </c>
      <c r="B83" s="3" t="inlineStr">
        <is>
          <t>DEL_FD</t>
        </is>
      </c>
      <c r="C83" s="3" t="inlineStr">
        <is>
          <t>SIM-00112</t>
        </is>
      </c>
      <c r="D83" s="3" t="inlineStr">
        <is>
          <t>RO-01666</t>
        </is>
      </c>
      <c r="E83" s="3" t="n">
        <v>230.5</v>
      </c>
      <c r="F83" s="3" t="n">
        <v>1</v>
      </c>
      <c r="G83" s="3" t="n">
        <v>712</v>
      </c>
      <c r="H83" s="4">
        <f>G83/E83</f>
        <v/>
      </c>
      <c r="I83" s="3" t="n">
        <v>1.5</v>
      </c>
      <c r="J83" s="4">
        <f>(F83-Assumptions!$B$13)/(Assumptions!$C$13-Assumptions!$B$13)</f>
        <v/>
      </c>
      <c r="K83" s="4">
        <f>(H83-Assumptions!$B$14)/(Assumptions!$C$14-Assumptions!$B$14)</f>
        <v/>
      </c>
      <c r="L83" s="4">
        <f>(I83-Assumptions!$B$15)/(Assumptions!$C$15-Assumptions!$B$15)</f>
        <v/>
      </c>
      <c r="M83" s="4">
        <f>0.4*J83+0.4*K83+0.2*L83</f>
        <v/>
      </c>
    </row>
    <row r="84">
      <c r="A84" s="3" t="inlineStr">
        <is>
          <t>Normal</t>
        </is>
      </c>
      <c r="B84" s="3" t="inlineStr">
        <is>
          <t>DEL_V</t>
        </is>
      </c>
      <c r="C84" s="3" t="inlineStr">
        <is>
          <t>SIM-00114</t>
        </is>
      </c>
      <c r="D84" s="3" t="inlineStr">
        <is>
          <t>RO-03711</t>
        </is>
      </c>
      <c r="E84" s="3" t="n">
        <v>2729</v>
      </c>
      <c r="F84" s="3" t="n">
        <v>9</v>
      </c>
      <c r="G84" s="3" t="n">
        <v>181</v>
      </c>
      <c r="H84" s="4">
        <f>G84/E84</f>
        <v/>
      </c>
      <c r="I84" s="3" t="n">
        <v>2.9</v>
      </c>
      <c r="J84" s="4">
        <f>(F84-Assumptions!$B$13)/(Assumptions!$C$13-Assumptions!$B$13)</f>
        <v/>
      </c>
      <c r="K84" s="4">
        <f>(H84-Assumptions!$B$14)/(Assumptions!$C$14-Assumptions!$B$14)</f>
        <v/>
      </c>
      <c r="L84" s="4">
        <f>(I84-Assumptions!$B$15)/(Assumptions!$C$15-Assumptions!$B$15)</f>
        <v/>
      </c>
      <c r="M84" s="4">
        <f>0.4*J84+0.4*K84+0.2*L84</f>
        <v/>
      </c>
    </row>
    <row r="85">
      <c r="A85" s="3" t="inlineStr">
        <is>
          <t>Normal</t>
        </is>
      </c>
      <c r="B85" s="3" t="inlineStr">
        <is>
          <t>DEL_AP</t>
        </is>
      </c>
      <c r="C85" s="3" t="inlineStr">
        <is>
          <t>SIM-00116</t>
        </is>
      </c>
      <c r="D85" s="3" t="inlineStr">
        <is>
          <t>RO-01732</t>
        </is>
      </c>
      <c r="E85" s="3" t="n">
        <v>67.5</v>
      </c>
      <c r="F85" s="3" t="n">
        <v>4</v>
      </c>
      <c r="G85" s="3" t="n">
        <v>328</v>
      </c>
      <c r="H85" s="4">
        <f>G85/E85</f>
        <v/>
      </c>
      <c r="I85" s="3" t="n">
        <v>2.3</v>
      </c>
      <c r="J85" s="4">
        <f>(F85-Assumptions!$B$13)/(Assumptions!$C$13-Assumptions!$B$13)</f>
        <v/>
      </c>
      <c r="K85" s="4">
        <f>(H85-Assumptions!$B$14)/(Assumptions!$C$14-Assumptions!$B$14)</f>
        <v/>
      </c>
      <c r="L85" s="4">
        <f>(I85-Assumptions!$B$15)/(Assumptions!$C$15-Assumptions!$B$15)</f>
        <v/>
      </c>
      <c r="M85" s="4">
        <f>0.4*J85+0.4*K85+0.2*L85</f>
        <v/>
      </c>
    </row>
    <row r="86">
      <c r="A86" s="3" t="inlineStr">
        <is>
          <t>Normal</t>
        </is>
      </c>
      <c r="B86" s="3" t="inlineStr">
        <is>
          <t>DEL_AQ</t>
        </is>
      </c>
      <c r="C86" s="3" t="inlineStr">
        <is>
          <t>SIM-00116</t>
        </is>
      </c>
      <c r="D86" s="3" t="inlineStr">
        <is>
          <t>RO-01732</t>
        </is>
      </c>
      <c r="E86" s="3" t="n">
        <v>63</v>
      </c>
      <c r="F86" s="3" t="n">
        <v>4</v>
      </c>
      <c r="G86" s="3" t="n">
        <v>328</v>
      </c>
      <c r="H86" s="4">
        <f>G86/E86</f>
        <v/>
      </c>
      <c r="I86" s="3" t="n">
        <v>2.3</v>
      </c>
      <c r="J86" s="4">
        <f>(F86-Assumptions!$B$13)/(Assumptions!$C$13-Assumptions!$B$13)</f>
        <v/>
      </c>
      <c r="K86" s="4">
        <f>(H86-Assumptions!$B$14)/(Assumptions!$C$14-Assumptions!$B$14)</f>
        <v/>
      </c>
      <c r="L86" s="4">
        <f>(I86-Assumptions!$B$15)/(Assumptions!$C$15-Assumptions!$B$15)</f>
        <v/>
      </c>
      <c r="M86" s="4">
        <f>0.4*J86+0.4*K86+0.2*L86</f>
        <v/>
      </c>
    </row>
    <row r="87">
      <c r="A87" s="3" t="inlineStr">
        <is>
          <t>Normal</t>
        </is>
      </c>
      <c r="B87" s="3" t="inlineStr">
        <is>
          <t>DEL_BF</t>
        </is>
      </c>
      <c r="C87" s="3" t="inlineStr">
        <is>
          <t>SIM-00116</t>
        </is>
      </c>
      <c r="D87" s="3" t="inlineStr">
        <is>
          <t>RO-01732</t>
        </is>
      </c>
      <c r="E87" s="3" t="n">
        <v>3.5</v>
      </c>
      <c r="F87" s="3" t="n">
        <v>4</v>
      </c>
      <c r="G87" s="3" t="n">
        <v>328</v>
      </c>
      <c r="H87" s="4">
        <f>G87/E87</f>
        <v/>
      </c>
      <c r="I87" s="3" t="n">
        <v>2.3</v>
      </c>
      <c r="J87" s="4">
        <f>(F87-Assumptions!$B$13)/(Assumptions!$C$13-Assumptions!$B$13)</f>
        <v/>
      </c>
      <c r="K87" s="4">
        <f>(H87-Assumptions!$B$14)/(Assumptions!$C$14-Assumptions!$B$14)</f>
        <v/>
      </c>
      <c r="L87" s="4">
        <f>(I87-Assumptions!$B$15)/(Assumptions!$C$15-Assumptions!$B$15)</f>
        <v/>
      </c>
      <c r="M87" s="4">
        <f>0.4*J87+0.4*K87+0.2*L87</f>
        <v/>
      </c>
    </row>
    <row r="88">
      <c r="A88" s="3" t="inlineStr">
        <is>
          <t>Normal</t>
        </is>
      </c>
      <c r="B88" s="3" t="inlineStr">
        <is>
          <t>DEL_BE</t>
        </is>
      </c>
      <c r="C88" s="3" t="inlineStr">
        <is>
          <t>SIM-00116</t>
        </is>
      </c>
      <c r="D88" s="3" t="inlineStr">
        <is>
          <t>RO-01732</t>
        </is>
      </c>
      <c r="E88" s="3" t="n">
        <v>1980</v>
      </c>
      <c r="F88" s="3" t="n">
        <v>4</v>
      </c>
      <c r="G88" s="3" t="n">
        <v>328</v>
      </c>
      <c r="H88" s="4">
        <f>G88/E88</f>
        <v/>
      </c>
      <c r="I88" s="3" t="n">
        <v>2.3</v>
      </c>
      <c r="J88" s="4">
        <f>(F88-Assumptions!$B$13)/(Assumptions!$C$13-Assumptions!$B$13)</f>
        <v/>
      </c>
      <c r="K88" s="4">
        <f>(H88-Assumptions!$B$14)/(Assumptions!$C$14-Assumptions!$B$14)</f>
        <v/>
      </c>
      <c r="L88" s="4">
        <f>(I88-Assumptions!$B$15)/(Assumptions!$C$15-Assumptions!$B$15)</f>
        <v/>
      </c>
      <c r="M88" s="4">
        <f>0.4*J88+0.4*K88+0.2*L88</f>
        <v/>
      </c>
    </row>
    <row r="89">
      <c r="A89" s="3" t="inlineStr">
        <is>
          <t>Normal</t>
        </is>
      </c>
      <c r="B89" s="3" t="inlineStr">
        <is>
          <t>DEL_CI</t>
        </is>
      </c>
      <c r="C89" s="3" t="inlineStr">
        <is>
          <t>SIM-00116</t>
        </is>
      </c>
      <c r="D89" s="3" t="inlineStr">
        <is>
          <t>RO-01732</t>
        </is>
      </c>
      <c r="E89" s="3" t="n">
        <v>4</v>
      </c>
      <c r="F89" s="3" t="n">
        <v>4</v>
      </c>
      <c r="G89" s="3" t="n">
        <v>328</v>
      </c>
      <c r="H89" s="4">
        <f>G89/E89</f>
        <v/>
      </c>
      <c r="I89" s="3" t="n">
        <v>2.3</v>
      </c>
      <c r="J89" s="4">
        <f>(F89-Assumptions!$B$13)/(Assumptions!$C$13-Assumptions!$B$13)</f>
        <v/>
      </c>
      <c r="K89" s="4">
        <f>(H89-Assumptions!$B$14)/(Assumptions!$C$14-Assumptions!$B$14)</f>
        <v/>
      </c>
      <c r="L89" s="4">
        <f>(I89-Assumptions!$B$15)/(Assumptions!$C$15-Assumptions!$B$15)</f>
        <v/>
      </c>
      <c r="M89" s="4">
        <f>0.4*J89+0.4*K89+0.2*L89</f>
        <v/>
      </c>
    </row>
    <row r="90">
      <c r="A90" s="3" t="inlineStr">
        <is>
          <t>Normal</t>
        </is>
      </c>
      <c r="B90" s="3" t="inlineStr">
        <is>
          <t>DEL_DL</t>
        </is>
      </c>
      <c r="C90" s="3" t="inlineStr">
        <is>
          <t>SIM-00116</t>
        </is>
      </c>
      <c r="D90" s="3" t="inlineStr">
        <is>
          <t>RO-01732</t>
        </is>
      </c>
      <c r="E90" s="3" t="n">
        <v>1351</v>
      </c>
      <c r="F90" s="3" t="n">
        <v>4</v>
      </c>
      <c r="G90" s="3" t="n">
        <v>328</v>
      </c>
      <c r="H90" s="4">
        <f>G90/E90</f>
        <v/>
      </c>
      <c r="I90" s="3" t="n">
        <v>2.3</v>
      </c>
      <c r="J90" s="4">
        <f>(F90-Assumptions!$B$13)/(Assumptions!$C$13-Assumptions!$B$13)</f>
        <v/>
      </c>
      <c r="K90" s="4">
        <f>(H90-Assumptions!$B$14)/(Assumptions!$C$14-Assumptions!$B$14)</f>
        <v/>
      </c>
      <c r="L90" s="4">
        <f>(I90-Assumptions!$B$15)/(Assumptions!$C$15-Assumptions!$B$15)</f>
        <v/>
      </c>
      <c r="M90" s="4">
        <f>0.4*J90+0.4*K90+0.2*L90</f>
        <v/>
      </c>
    </row>
    <row r="91">
      <c r="A91" s="3" t="inlineStr">
        <is>
          <t>Normal</t>
        </is>
      </c>
      <c r="B91" s="3" t="inlineStr">
        <is>
          <t>DEL_FK</t>
        </is>
      </c>
      <c r="C91" s="3" t="inlineStr">
        <is>
          <t>SIM-00116</t>
        </is>
      </c>
      <c r="D91" s="3" t="inlineStr">
        <is>
          <t>RO-01732</t>
        </is>
      </c>
      <c r="E91" s="3" t="n">
        <v>72.5</v>
      </c>
      <c r="F91" s="3" t="n">
        <v>4</v>
      </c>
      <c r="G91" s="3" t="n">
        <v>328</v>
      </c>
      <c r="H91" s="4">
        <f>G91/E91</f>
        <v/>
      </c>
      <c r="I91" s="3" t="n">
        <v>2.3</v>
      </c>
      <c r="J91" s="4">
        <f>(F91-Assumptions!$B$13)/(Assumptions!$C$13-Assumptions!$B$13)</f>
        <v/>
      </c>
      <c r="K91" s="4">
        <f>(H91-Assumptions!$B$14)/(Assumptions!$C$14-Assumptions!$B$14)</f>
        <v/>
      </c>
      <c r="L91" s="4">
        <f>(I91-Assumptions!$B$15)/(Assumptions!$C$15-Assumptions!$B$15)</f>
        <v/>
      </c>
      <c r="M91" s="4">
        <f>0.4*J91+0.4*K91+0.2*L91</f>
        <v/>
      </c>
    </row>
    <row r="92">
      <c r="A92" s="3" t="inlineStr">
        <is>
          <t>Normal</t>
        </is>
      </c>
      <c r="B92" s="3" t="inlineStr">
        <is>
          <t>DEL_FQ</t>
        </is>
      </c>
      <c r="C92" s="3" t="inlineStr">
        <is>
          <t>SIM-00116</t>
        </is>
      </c>
      <c r="D92" s="3" t="inlineStr">
        <is>
          <t>RO-01732</t>
        </is>
      </c>
      <c r="E92" s="3" t="n">
        <v>234</v>
      </c>
      <c r="F92" s="3" t="n">
        <v>4</v>
      </c>
      <c r="G92" s="3" t="n">
        <v>328</v>
      </c>
      <c r="H92" s="4">
        <f>G92/E92</f>
        <v/>
      </c>
      <c r="I92" s="3" t="n">
        <v>2.3</v>
      </c>
      <c r="J92" s="4">
        <f>(F92-Assumptions!$B$13)/(Assumptions!$C$13-Assumptions!$B$13)</f>
        <v/>
      </c>
      <c r="K92" s="4">
        <f>(H92-Assumptions!$B$14)/(Assumptions!$C$14-Assumptions!$B$14)</f>
        <v/>
      </c>
      <c r="L92" s="4">
        <f>(I92-Assumptions!$B$15)/(Assumptions!$C$15-Assumptions!$B$15)</f>
        <v/>
      </c>
      <c r="M92" s="4">
        <f>0.4*J92+0.4*K92+0.2*L92</f>
        <v/>
      </c>
    </row>
    <row r="93">
      <c r="A93" s="3" t="inlineStr">
        <is>
          <t>Normal</t>
        </is>
      </c>
      <c r="B93" s="3" t="inlineStr">
        <is>
          <t>DEL_GI</t>
        </is>
      </c>
      <c r="C93" s="3" t="inlineStr">
        <is>
          <t>SIM-00120</t>
        </is>
      </c>
      <c r="D93" s="3" t="inlineStr">
        <is>
          <t>RO-03640</t>
        </is>
      </c>
      <c r="E93" s="3" t="n">
        <v>7.5</v>
      </c>
      <c r="F93" s="3" t="n">
        <v>1</v>
      </c>
      <c r="G93" s="3" t="n">
        <v>693</v>
      </c>
      <c r="H93" s="4">
        <f>G93/E93</f>
        <v/>
      </c>
      <c r="I93" s="3" t="n">
        <v>1.3</v>
      </c>
      <c r="J93" s="4">
        <f>(F93-Assumptions!$B$13)/(Assumptions!$C$13-Assumptions!$B$13)</f>
        <v/>
      </c>
      <c r="K93" s="4">
        <f>(H93-Assumptions!$B$14)/(Assumptions!$C$14-Assumptions!$B$14)</f>
        <v/>
      </c>
      <c r="L93" s="4">
        <f>(I93-Assumptions!$B$15)/(Assumptions!$C$15-Assumptions!$B$15)</f>
        <v/>
      </c>
      <c r="M93" s="4">
        <f>0.4*J93+0.4*K93+0.2*L93</f>
        <v/>
      </c>
    </row>
    <row r="94">
      <c r="A94" s="3" t="inlineStr">
        <is>
          <t>Normal</t>
        </is>
      </c>
      <c r="B94" s="3" t="inlineStr">
        <is>
          <t>DEL_CJ</t>
        </is>
      </c>
      <c r="C94" s="3" t="inlineStr">
        <is>
          <t>SIM-00121</t>
        </is>
      </c>
      <c r="D94" s="3" t="inlineStr">
        <is>
          <t>RO-03717</t>
        </is>
      </c>
      <c r="E94" s="3" t="n">
        <v>5.5</v>
      </c>
      <c r="F94" s="3" t="n">
        <v>2</v>
      </c>
      <c r="G94" s="3" t="n">
        <v>485</v>
      </c>
      <c r="H94" s="4">
        <f>G94/E94</f>
        <v/>
      </c>
      <c r="I94" s="3" t="n">
        <v>1.5</v>
      </c>
      <c r="J94" s="4">
        <f>(F94-Assumptions!$B$13)/(Assumptions!$C$13-Assumptions!$B$13)</f>
        <v/>
      </c>
      <c r="K94" s="4">
        <f>(H94-Assumptions!$B$14)/(Assumptions!$C$14-Assumptions!$B$14)</f>
        <v/>
      </c>
      <c r="L94" s="4">
        <f>(I94-Assumptions!$B$15)/(Assumptions!$C$15-Assumptions!$B$15)</f>
        <v/>
      </c>
      <c r="M94" s="4">
        <f>0.4*J94+0.4*K94+0.2*L94</f>
        <v/>
      </c>
    </row>
    <row r="95">
      <c r="A95" s="3" t="inlineStr">
        <is>
          <t>Normal</t>
        </is>
      </c>
      <c r="B95" s="3" t="inlineStr">
        <is>
          <t>DEL_FF</t>
        </is>
      </c>
      <c r="C95" s="3" t="inlineStr">
        <is>
          <t>SIM-00121</t>
        </is>
      </c>
      <c r="D95" s="3" t="inlineStr">
        <is>
          <t>RO-03717</t>
        </is>
      </c>
      <c r="E95" s="3" t="n">
        <v>28</v>
      </c>
      <c r="F95" s="3" t="n">
        <v>2</v>
      </c>
      <c r="G95" s="3" t="n">
        <v>485</v>
      </c>
      <c r="H95" s="4">
        <f>G95/E95</f>
        <v/>
      </c>
      <c r="I95" s="3" t="n">
        <v>1.5</v>
      </c>
      <c r="J95" s="4">
        <f>(F95-Assumptions!$B$13)/(Assumptions!$C$13-Assumptions!$B$13)</f>
        <v/>
      </c>
      <c r="K95" s="4">
        <f>(H95-Assumptions!$B$14)/(Assumptions!$C$14-Assumptions!$B$14)</f>
        <v/>
      </c>
      <c r="L95" s="4">
        <f>(I95-Assumptions!$B$15)/(Assumptions!$C$15-Assumptions!$B$15)</f>
        <v/>
      </c>
      <c r="M95" s="4">
        <f>0.4*J95+0.4*K95+0.2*L95</f>
        <v/>
      </c>
    </row>
    <row r="96">
      <c r="A96" s="3" t="inlineStr">
        <is>
          <t>Normal</t>
        </is>
      </c>
      <c r="B96" s="3" t="inlineStr">
        <is>
          <t>DEL_CR</t>
        </is>
      </c>
      <c r="C96" s="3" t="inlineStr">
        <is>
          <t>SIM-00123</t>
        </is>
      </c>
      <c r="D96" s="3" t="inlineStr">
        <is>
          <t>RO-01594</t>
        </is>
      </c>
      <c r="E96" s="3" t="n">
        <v>389</v>
      </c>
      <c r="F96" s="3" t="n">
        <v>3</v>
      </c>
      <c r="G96" s="3" t="n">
        <v>712</v>
      </c>
      <c r="H96" s="4">
        <f>G96/E96</f>
        <v/>
      </c>
      <c r="I96" s="3" t="n">
        <v>1.5</v>
      </c>
      <c r="J96" s="4">
        <f>(F96-Assumptions!$B$13)/(Assumptions!$C$13-Assumptions!$B$13)</f>
        <v/>
      </c>
      <c r="K96" s="4">
        <f>(H96-Assumptions!$B$14)/(Assumptions!$C$14-Assumptions!$B$14)</f>
        <v/>
      </c>
      <c r="L96" s="4">
        <f>(I96-Assumptions!$B$15)/(Assumptions!$C$15-Assumptions!$B$15)</f>
        <v/>
      </c>
      <c r="M96" s="4">
        <f>0.4*J96+0.4*K96+0.2*L96</f>
        <v/>
      </c>
    </row>
    <row r="97">
      <c r="A97" s="3" t="inlineStr">
        <is>
          <t>Normal</t>
        </is>
      </c>
      <c r="B97" s="3" t="inlineStr">
        <is>
          <t>DEL_HF</t>
        </is>
      </c>
      <c r="C97" s="3" t="inlineStr">
        <is>
          <t>SIM-00124</t>
        </is>
      </c>
      <c r="D97" s="3" t="inlineStr">
        <is>
          <t>RO-03720</t>
        </is>
      </c>
      <c r="E97" s="3" t="n">
        <v>3.5</v>
      </c>
      <c r="F97" s="3" t="n">
        <v>2</v>
      </c>
      <c r="G97" s="3" t="n">
        <v>521</v>
      </c>
      <c r="H97" s="4">
        <f>G97/E97</f>
        <v/>
      </c>
      <c r="I97" s="3" t="n">
        <v>1.1</v>
      </c>
      <c r="J97" s="4">
        <f>(F97-Assumptions!$B$13)/(Assumptions!$C$13-Assumptions!$B$13)</f>
        <v/>
      </c>
      <c r="K97" s="4">
        <f>(H97-Assumptions!$B$14)/(Assumptions!$C$14-Assumptions!$B$14)</f>
        <v/>
      </c>
      <c r="L97" s="4">
        <f>(I97-Assumptions!$B$15)/(Assumptions!$C$15-Assumptions!$B$15)</f>
        <v/>
      </c>
      <c r="M97" s="4">
        <f>0.4*J97+0.4*K97+0.2*L97</f>
        <v/>
      </c>
    </row>
    <row r="98">
      <c r="A98" s="3" t="inlineStr">
        <is>
          <t>Normal</t>
        </is>
      </c>
      <c r="B98" s="3" t="inlineStr">
        <is>
          <t>DEL_BH</t>
        </is>
      </c>
      <c r="C98" s="3" t="inlineStr">
        <is>
          <t>SIM-00125</t>
        </is>
      </c>
      <c r="D98" s="3" t="inlineStr">
        <is>
          <t>RO-03756</t>
        </is>
      </c>
      <c r="E98" s="3" t="n">
        <v>4</v>
      </c>
      <c r="F98" s="3" t="n">
        <v>2</v>
      </c>
      <c r="G98" s="3" t="n">
        <v>521</v>
      </c>
      <c r="H98" s="4">
        <f>G98/E98</f>
        <v/>
      </c>
      <c r="I98" s="3" t="n">
        <v>1.1</v>
      </c>
      <c r="J98" s="4">
        <f>(F98-Assumptions!$B$13)/(Assumptions!$C$13-Assumptions!$B$13)</f>
        <v/>
      </c>
      <c r="K98" s="4">
        <f>(H98-Assumptions!$B$14)/(Assumptions!$C$14-Assumptions!$B$14)</f>
        <v/>
      </c>
      <c r="L98" s="4">
        <f>(I98-Assumptions!$B$15)/(Assumptions!$C$15-Assumptions!$B$15)</f>
        <v/>
      </c>
      <c r="M98" s="4">
        <f>0.4*J98+0.4*K98+0.2*L98</f>
        <v/>
      </c>
    </row>
    <row r="99">
      <c r="A99" s="3" t="inlineStr">
        <is>
          <t>Normal</t>
        </is>
      </c>
      <c r="B99" s="3" t="inlineStr">
        <is>
          <t>DEL_DK</t>
        </is>
      </c>
      <c r="C99" s="3" t="inlineStr">
        <is>
          <t>SIM-00128</t>
        </is>
      </c>
      <c r="D99" s="3" t="inlineStr">
        <is>
          <t>RO-03724</t>
        </is>
      </c>
      <c r="E99" s="3" t="n">
        <v>1899.5</v>
      </c>
      <c r="F99" s="3" t="n">
        <v>3</v>
      </c>
      <c r="G99" s="3" t="n">
        <v>729</v>
      </c>
      <c r="H99" s="4">
        <f>G99/E99</f>
        <v/>
      </c>
      <c r="I99" s="3" t="n">
        <v>1.3</v>
      </c>
      <c r="J99" s="4">
        <f>(F99-Assumptions!$B$13)/(Assumptions!$C$13-Assumptions!$B$13)</f>
        <v/>
      </c>
      <c r="K99" s="4">
        <f>(H99-Assumptions!$B$14)/(Assumptions!$C$14-Assumptions!$B$14)</f>
        <v/>
      </c>
      <c r="L99" s="4">
        <f>(I99-Assumptions!$B$15)/(Assumptions!$C$15-Assumptions!$B$15)</f>
        <v/>
      </c>
      <c r="M99" s="4">
        <f>0.4*J99+0.4*K99+0.2*L99</f>
        <v/>
      </c>
    </row>
    <row r="100">
      <c r="A100" s="3" t="inlineStr">
        <is>
          <t>Normal</t>
        </is>
      </c>
      <c r="B100" s="3" t="inlineStr">
        <is>
          <t>DEL_HO</t>
        </is>
      </c>
      <c r="C100" s="3" t="inlineStr">
        <is>
          <t>SIM-00129</t>
        </is>
      </c>
      <c r="D100" s="3" t="inlineStr">
        <is>
          <t>RO-00133</t>
        </is>
      </c>
      <c r="E100" s="3" t="n">
        <v>4.5</v>
      </c>
      <c r="F100" s="3" t="n">
        <v>3</v>
      </c>
      <c r="G100" s="3" t="n">
        <v>624</v>
      </c>
      <c r="H100" s="4">
        <f>G100/E100</f>
        <v/>
      </c>
      <c r="I100" s="3" t="n">
        <v>1.5</v>
      </c>
      <c r="J100" s="4">
        <f>(F100-Assumptions!$B$13)/(Assumptions!$C$13-Assumptions!$B$13)</f>
        <v/>
      </c>
      <c r="K100" s="4">
        <f>(H100-Assumptions!$B$14)/(Assumptions!$C$14-Assumptions!$B$14)</f>
        <v/>
      </c>
      <c r="L100" s="4">
        <f>(I100-Assumptions!$B$15)/(Assumptions!$C$15-Assumptions!$B$15)</f>
        <v/>
      </c>
      <c r="M100" s="4">
        <f>0.4*J100+0.4*K100+0.2*L100</f>
        <v/>
      </c>
    </row>
    <row r="101">
      <c r="A101" s="3" t="inlineStr">
        <is>
          <t>Normal</t>
        </is>
      </c>
      <c r="B101" s="3" t="inlineStr">
        <is>
          <t>DEL_AE</t>
        </is>
      </c>
      <c r="C101" s="3" t="inlineStr">
        <is>
          <t>SIM-00130</t>
        </is>
      </c>
      <c r="D101" s="3" t="inlineStr">
        <is>
          <t>RO-03726</t>
        </is>
      </c>
      <c r="E101" s="3" t="n">
        <v>56</v>
      </c>
      <c r="F101" s="3" t="n">
        <v>4</v>
      </c>
      <c r="G101" s="3" t="n">
        <v>225</v>
      </c>
      <c r="H101" s="4">
        <f>G101/E101</f>
        <v/>
      </c>
      <c r="I101" s="3" t="n">
        <v>1.4</v>
      </c>
      <c r="J101" s="4">
        <f>(F101-Assumptions!$B$13)/(Assumptions!$C$13-Assumptions!$B$13)</f>
        <v/>
      </c>
      <c r="K101" s="4">
        <f>(H101-Assumptions!$B$14)/(Assumptions!$C$14-Assumptions!$B$14)</f>
        <v/>
      </c>
      <c r="L101" s="4">
        <f>(I101-Assumptions!$B$15)/(Assumptions!$C$15-Assumptions!$B$15)</f>
        <v/>
      </c>
      <c r="M101" s="4">
        <f>0.4*J101+0.4*K101+0.2*L101</f>
        <v/>
      </c>
    </row>
    <row r="102">
      <c r="A102" s="3" t="inlineStr">
        <is>
          <t>Normal</t>
        </is>
      </c>
      <c r="B102" s="3" t="inlineStr">
        <is>
          <t>DEL_N</t>
        </is>
      </c>
      <c r="C102" s="3" t="inlineStr">
        <is>
          <t>SIM-00137</t>
        </is>
      </c>
      <c r="D102" s="3" t="inlineStr">
        <is>
          <t>RO-03010</t>
        </is>
      </c>
      <c r="E102" s="3" t="n">
        <v>61</v>
      </c>
      <c r="F102" s="3" t="n">
        <v>1</v>
      </c>
      <c r="G102" s="3" t="n">
        <v>748</v>
      </c>
      <c r="H102" s="4">
        <f>G102/E102</f>
        <v/>
      </c>
      <c r="I102" s="3" t="n">
        <v>1.5</v>
      </c>
      <c r="J102" s="4">
        <f>(F102-Assumptions!$B$13)/(Assumptions!$C$13-Assumptions!$B$13)</f>
        <v/>
      </c>
      <c r="K102" s="4">
        <f>(H102-Assumptions!$B$14)/(Assumptions!$C$14-Assumptions!$B$14)</f>
        <v/>
      </c>
      <c r="L102" s="4">
        <f>(I102-Assumptions!$B$15)/(Assumptions!$C$15-Assumptions!$B$15)</f>
        <v/>
      </c>
      <c r="M102" s="4">
        <f>0.4*J102+0.4*K102+0.2*L102</f>
        <v/>
      </c>
    </row>
    <row r="103">
      <c r="A103" s="3" t="inlineStr">
        <is>
          <t>Normal</t>
        </is>
      </c>
      <c r="B103" s="3" t="inlineStr">
        <is>
          <t>DEL_AN</t>
        </is>
      </c>
      <c r="C103" s="3" t="inlineStr">
        <is>
          <t>SIM-00137</t>
        </is>
      </c>
      <c r="D103" s="3" t="inlineStr">
        <is>
          <t>RO-03010</t>
        </is>
      </c>
      <c r="E103" s="3" t="n">
        <v>3438</v>
      </c>
      <c r="F103" s="3" t="n">
        <v>1</v>
      </c>
      <c r="G103" s="3" t="n">
        <v>748</v>
      </c>
      <c r="H103" s="4">
        <f>G103/E103</f>
        <v/>
      </c>
      <c r="I103" s="3" t="n">
        <v>1.5</v>
      </c>
      <c r="J103" s="4">
        <f>(F103-Assumptions!$B$13)/(Assumptions!$C$13-Assumptions!$B$13)</f>
        <v/>
      </c>
      <c r="K103" s="4">
        <f>(H103-Assumptions!$B$14)/(Assumptions!$C$14-Assumptions!$B$14)</f>
        <v/>
      </c>
      <c r="L103" s="4">
        <f>(I103-Assumptions!$B$15)/(Assumptions!$C$15-Assumptions!$B$15)</f>
        <v/>
      </c>
      <c r="M103" s="4">
        <f>0.4*J103+0.4*K103+0.2*L103</f>
        <v/>
      </c>
    </row>
    <row r="104">
      <c r="A104" s="3" t="inlineStr">
        <is>
          <t>Normal</t>
        </is>
      </c>
      <c r="B104" s="3" t="inlineStr">
        <is>
          <t>DEL_CK</t>
        </is>
      </c>
      <c r="C104" s="3" t="inlineStr">
        <is>
          <t>SIM-00137</t>
        </is>
      </c>
      <c r="D104" s="3" t="inlineStr">
        <is>
          <t>RO-03010</t>
        </is>
      </c>
      <c r="E104" s="3" t="n">
        <v>12.5</v>
      </c>
      <c r="F104" s="3" t="n">
        <v>1</v>
      </c>
      <c r="G104" s="3" t="n">
        <v>748</v>
      </c>
      <c r="H104" s="4">
        <f>G104/E104</f>
        <v/>
      </c>
      <c r="I104" s="3" t="n">
        <v>1.5</v>
      </c>
      <c r="J104" s="4">
        <f>(F104-Assumptions!$B$13)/(Assumptions!$C$13-Assumptions!$B$13)</f>
        <v/>
      </c>
      <c r="K104" s="4">
        <f>(H104-Assumptions!$B$14)/(Assumptions!$C$14-Assumptions!$B$14)</f>
        <v/>
      </c>
      <c r="L104" s="4">
        <f>(I104-Assumptions!$B$15)/(Assumptions!$C$15-Assumptions!$B$15)</f>
        <v/>
      </c>
      <c r="M104" s="4">
        <f>0.4*J104+0.4*K104+0.2*L104</f>
        <v/>
      </c>
    </row>
    <row r="105">
      <c r="A105" s="3" t="inlineStr">
        <is>
          <t>Normal</t>
        </is>
      </c>
      <c r="B105" s="3" t="inlineStr">
        <is>
          <t>DEL_CQ</t>
        </is>
      </c>
      <c r="C105" s="3" t="inlineStr">
        <is>
          <t>SIM-00137</t>
        </is>
      </c>
      <c r="D105" s="3" t="inlineStr">
        <is>
          <t>RO-03010</t>
        </is>
      </c>
      <c r="E105" s="3" t="n">
        <v>2400</v>
      </c>
      <c r="F105" s="3" t="n">
        <v>1</v>
      </c>
      <c r="G105" s="3" t="n">
        <v>748</v>
      </c>
      <c r="H105" s="4">
        <f>G105/E105</f>
        <v/>
      </c>
      <c r="I105" s="3" t="n">
        <v>1.5</v>
      </c>
      <c r="J105" s="4">
        <f>(F105-Assumptions!$B$13)/(Assumptions!$C$13-Assumptions!$B$13)</f>
        <v/>
      </c>
      <c r="K105" s="4">
        <f>(H105-Assumptions!$B$14)/(Assumptions!$C$14-Assumptions!$B$14)</f>
        <v/>
      </c>
      <c r="L105" s="4">
        <f>(I105-Assumptions!$B$15)/(Assumptions!$C$15-Assumptions!$B$15)</f>
        <v/>
      </c>
      <c r="M105" s="4">
        <f>0.4*J105+0.4*K105+0.2*L105</f>
        <v/>
      </c>
    </row>
    <row r="106">
      <c r="A106" s="3" t="inlineStr">
        <is>
          <t>Normal</t>
        </is>
      </c>
      <c r="B106" s="3" t="inlineStr">
        <is>
          <t>DEL_EW</t>
        </is>
      </c>
      <c r="C106" s="3" t="inlineStr">
        <is>
          <t>SIM-00137</t>
        </is>
      </c>
      <c r="D106" s="3" t="inlineStr">
        <is>
          <t>RO-03010</t>
        </is>
      </c>
      <c r="E106" s="3" t="n">
        <v>1133</v>
      </c>
      <c r="F106" s="3" t="n">
        <v>1</v>
      </c>
      <c r="G106" s="3" t="n">
        <v>748</v>
      </c>
      <c r="H106" s="4">
        <f>G106/E106</f>
        <v/>
      </c>
      <c r="I106" s="3" t="n">
        <v>1.5</v>
      </c>
      <c r="J106" s="4">
        <f>(F106-Assumptions!$B$13)/(Assumptions!$C$13-Assumptions!$B$13)</f>
        <v/>
      </c>
      <c r="K106" s="4">
        <f>(H106-Assumptions!$B$14)/(Assumptions!$C$14-Assumptions!$B$14)</f>
        <v/>
      </c>
      <c r="L106" s="4">
        <f>(I106-Assumptions!$B$15)/(Assumptions!$C$15-Assumptions!$B$15)</f>
        <v/>
      </c>
      <c r="M106" s="4">
        <f>0.4*J106+0.4*K106+0.2*L106</f>
        <v/>
      </c>
    </row>
    <row r="107">
      <c r="A107" s="3" t="inlineStr">
        <is>
          <t>Normal</t>
        </is>
      </c>
      <c r="B107" s="3" t="inlineStr">
        <is>
          <t>DEL_GA</t>
        </is>
      </c>
      <c r="C107" s="3" t="inlineStr">
        <is>
          <t>SIM-00140</t>
        </is>
      </c>
      <c r="D107" s="3" t="inlineStr">
        <is>
          <t>RO-02098</t>
        </is>
      </c>
      <c r="E107" s="3" t="n">
        <v>1611</v>
      </c>
      <c r="F107" s="3" t="n">
        <v>2</v>
      </c>
      <c r="G107" s="3" t="n">
        <v>712</v>
      </c>
      <c r="H107" s="4">
        <f>G107/E107</f>
        <v/>
      </c>
      <c r="I107" s="3" t="n">
        <v>1.5</v>
      </c>
      <c r="J107" s="4">
        <f>(F107-Assumptions!$B$13)/(Assumptions!$C$13-Assumptions!$B$13)</f>
        <v/>
      </c>
      <c r="K107" s="4">
        <f>(H107-Assumptions!$B$14)/(Assumptions!$C$14-Assumptions!$B$14)</f>
        <v/>
      </c>
      <c r="L107" s="4">
        <f>(I107-Assumptions!$B$15)/(Assumptions!$C$15-Assumptions!$B$15)</f>
        <v/>
      </c>
      <c r="M107" s="4">
        <f>0.4*J107+0.4*K107+0.2*L107</f>
        <v/>
      </c>
    </row>
    <row r="108">
      <c r="A108" s="3" t="inlineStr">
        <is>
          <t>Normal</t>
        </is>
      </c>
      <c r="B108" s="3" t="inlineStr">
        <is>
          <t>DEL_DA</t>
        </is>
      </c>
      <c r="C108" s="3" t="inlineStr">
        <is>
          <t>SIM-00144</t>
        </is>
      </c>
      <c r="D108" s="3" t="inlineStr">
        <is>
          <t>RO-03737</t>
        </is>
      </c>
      <c r="E108" s="3" t="n">
        <v>108.5</v>
      </c>
      <c r="F108" s="3" t="n">
        <v>2</v>
      </c>
      <c r="G108" s="3" t="n">
        <v>509</v>
      </c>
      <c r="H108" s="4">
        <f>G108/E108</f>
        <v/>
      </c>
      <c r="I108" s="3" t="n">
        <v>1.8</v>
      </c>
      <c r="J108" s="4">
        <f>(F108-Assumptions!$B$13)/(Assumptions!$C$13-Assumptions!$B$13)</f>
        <v/>
      </c>
      <c r="K108" s="4">
        <f>(H108-Assumptions!$B$14)/(Assumptions!$C$14-Assumptions!$B$14)</f>
        <v/>
      </c>
      <c r="L108" s="4">
        <f>(I108-Assumptions!$B$15)/(Assumptions!$C$15-Assumptions!$B$15)</f>
        <v/>
      </c>
      <c r="M108" s="4">
        <f>0.4*J108+0.4*K108+0.2*L108</f>
        <v/>
      </c>
    </row>
    <row r="109">
      <c r="A109" s="3" t="inlineStr">
        <is>
          <t>Normal</t>
        </is>
      </c>
      <c r="B109" s="3" t="inlineStr">
        <is>
          <t>DEL_GJ</t>
        </is>
      </c>
      <c r="C109" s="3" t="inlineStr">
        <is>
          <t>SIM-00145</t>
        </is>
      </c>
      <c r="D109" s="3" t="inlineStr">
        <is>
          <t>RO-03738</t>
        </is>
      </c>
      <c r="E109" s="3" t="n">
        <v>30.5</v>
      </c>
      <c r="F109" s="3" t="n">
        <v>3</v>
      </c>
      <c r="G109" s="3" t="n">
        <v>521</v>
      </c>
      <c r="H109" s="4">
        <f>G109/E109</f>
        <v/>
      </c>
      <c r="I109" s="3" t="n">
        <v>1.1</v>
      </c>
      <c r="J109" s="4">
        <f>(F109-Assumptions!$B$13)/(Assumptions!$C$13-Assumptions!$B$13)</f>
        <v/>
      </c>
      <c r="K109" s="4">
        <f>(H109-Assumptions!$B$14)/(Assumptions!$C$14-Assumptions!$B$14)</f>
        <v/>
      </c>
      <c r="L109" s="4">
        <f>(I109-Assumptions!$B$15)/(Assumptions!$C$15-Assumptions!$B$15)</f>
        <v/>
      </c>
      <c r="M109" s="4">
        <f>0.4*J109+0.4*K109+0.2*L109</f>
        <v/>
      </c>
    </row>
    <row r="110">
      <c r="A110" s="3" t="inlineStr">
        <is>
          <t>Normal</t>
        </is>
      </c>
      <c r="B110" s="3" t="inlineStr">
        <is>
          <t>DEL_HP</t>
        </is>
      </c>
      <c r="C110" s="3" t="inlineStr">
        <is>
          <t>SIM-00149</t>
        </is>
      </c>
      <c r="D110" s="3" t="inlineStr">
        <is>
          <t>RO-03776</t>
        </is>
      </c>
      <c r="E110" s="3" t="n">
        <v>2.5</v>
      </c>
      <c r="F110" s="3" t="n">
        <v>4</v>
      </c>
      <c r="G110" s="3" t="n">
        <v>285</v>
      </c>
      <c r="H110" s="4">
        <f>G110/E110</f>
        <v/>
      </c>
      <c r="I110" s="3" t="n">
        <v>1.8</v>
      </c>
      <c r="J110" s="4">
        <f>(F110-Assumptions!$B$13)/(Assumptions!$C$13-Assumptions!$B$13)</f>
        <v/>
      </c>
      <c r="K110" s="4">
        <f>(H110-Assumptions!$B$14)/(Assumptions!$C$14-Assumptions!$B$14)</f>
        <v/>
      </c>
      <c r="L110" s="4">
        <f>(I110-Assumptions!$B$15)/(Assumptions!$C$15-Assumptions!$B$15)</f>
        <v/>
      </c>
      <c r="M110" s="4">
        <f>0.4*J110+0.4*K110+0.2*L110</f>
        <v/>
      </c>
    </row>
    <row r="111">
      <c r="A111" s="3" t="inlineStr">
        <is>
          <t>Normal</t>
        </is>
      </c>
      <c r="B111" s="3" t="inlineStr">
        <is>
          <t>DEL_H</t>
        </is>
      </c>
      <c r="C111" s="3" t="inlineStr">
        <is>
          <t>SIM-00152</t>
        </is>
      </c>
      <c r="D111" s="3" t="inlineStr">
        <is>
          <t>RO-03745</t>
        </is>
      </c>
      <c r="E111" s="3" t="n">
        <v>140</v>
      </c>
      <c r="F111" s="3" t="n">
        <v>1</v>
      </c>
      <c r="G111" s="3" t="n">
        <v>657</v>
      </c>
      <c r="H111" s="4">
        <f>G111/E111</f>
        <v/>
      </c>
      <c r="I111" s="3" t="n">
        <v>0.8</v>
      </c>
      <c r="J111" s="4">
        <f>(F111-Assumptions!$B$13)/(Assumptions!$C$13-Assumptions!$B$13)</f>
        <v/>
      </c>
      <c r="K111" s="4">
        <f>(H111-Assumptions!$B$14)/(Assumptions!$C$14-Assumptions!$B$14)</f>
        <v/>
      </c>
      <c r="L111" s="4">
        <f>(I111-Assumptions!$B$15)/(Assumptions!$C$15-Assumptions!$B$15)</f>
        <v/>
      </c>
      <c r="M111" s="4">
        <f>0.4*J111+0.4*K111+0.2*L111</f>
        <v/>
      </c>
    </row>
    <row r="112">
      <c r="A112" s="3" t="inlineStr">
        <is>
          <t>Normal</t>
        </is>
      </c>
      <c r="B112" s="3" t="inlineStr">
        <is>
          <t>DEL_P</t>
        </is>
      </c>
      <c r="C112" s="3" t="inlineStr">
        <is>
          <t>SIM-00152</t>
        </is>
      </c>
      <c r="D112" s="3" t="inlineStr">
        <is>
          <t>RO-03745</t>
        </is>
      </c>
      <c r="E112" s="3" t="n">
        <v>11</v>
      </c>
      <c r="F112" s="3" t="n">
        <v>1</v>
      </c>
      <c r="G112" s="3" t="n">
        <v>657</v>
      </c>
      <c r="H112" s="4">
        <f>G112/E112</f>
        <v/>
      </c>
      <c r="I112" s="3" t="n">
        <v>0.8</v>
      </c>
      <c r="J112" s="4">
        <f>(F112-Assumptions!$B$13)/(Assumptions!$C$13-Assumptions!$B$13)</f>
        <v/>
      </c>
      <c r="K112" s="4">
        <f>(H112-Assumptions!$B$14)/(Assumptions!$C$14-Assumptions!$B$14)</f>
        <v/>
      </c>
      <c r="L112" s="4">
        <f>(I112-Assumptions!$B$15)/(Assumptions!$C$15-Assumptions!$B$15)</f>
        <v/>
      </c>
      <c r="M112" s="4">
        <f>0.4*J112+0.4*K112+0.2*L112</f>
        <v/>
      </c>
    </row>
    <row r="113">
      <c r="A113" s="3" t="inlineStr">
        <is>
          <t>Normal</t>
        </is>
      </c>
      <c r="B113" s="3" t="inlineStr">
        <is>
          <t>DEL_DF</t>
        </is>
      </c>
      <c r="C113" s="3" t="inlineStr">
        <is>
          <t>SIM-00152</t>
        </is>
      </c>
      <c r="D113" s="3" t="inlineStr">
        <is>
          <t>RO-03745</t>
        </is>
      </c>
      <c r="E113" s="3" t="n">
        <v>767.5</v>
      </c>
      <c r="F113" s="3" t="n">
        <v>1</v>
      </c>
      <c r="G113" s="3" t="n">
        <v>657</v>
      </c>
      <c r="H113" s="4">
        <f>G113/E113</f>
        <v/>
      </c>
      <c r="I113" s="3" t="n">
        <v>0.8</v>
      </c>
      <c r="J113" s="4">
        <f>(F113-Assumptions!$B$13)/(Assumptions!$C$13-Assumptions!$B$13)</f>
        <v/>
      </c>
      <c r="K113" s="4">
        <f>(H113-Assumptions!$B$14)/(Assumptions!$C$14-Assumptions!$B$14)</f>
        <v/>
      </c>
      <c r="L113" s="4">
        <f>(I113-Assumptions!$B$15)/(Assumptions!$C$15-Assumptions!$B$15)</f>
        <v/>
      </c>
      <c r="M113" s="4">
        <f>0.4*J113+0.4*K113+0.2*L113</f>
        <v/>
      </c>
    </row>
    <row r="114">
      <c r="A114" s="3" t="inlineStr">
        <is>
          <t>Normal</t>
        </is>
      </c>
      <c r="B114" s="3" t="inlineStr">
        <is>
          <t>DEL_DU</t>
        </is>
      </c>
      <c r="C114" s="3" t="inlineStr">
        <is>
          <t>SIM-00152</t>
        </is>
      </c>
      <c r="D114" s="3" t="inlineStr">
        <is>
          <t>RO-03745</t>
        </is>
      </c>
      <c r="E114" s="3" t="n">
        <v>1200</v>
      </c>
      <c r="F114" s="3" t="n">
        <v>1</v>
      </c>
      <c r="G114" s="3" t="n">
        <v>657</v>
      </c>
      <c r="H114" s="4">
        <f>G114/E114</f>
        <v/>
      </c>
      <c r="I114" s="3" t="n">
        <v>0.8</v>
      </c>
      <c r="J114" s="4">
        <f>(F114-Assumptions!$B$13)/(Assumptions!$C$13-Assumptions!$B$13)</f>
        <v/>
      </c>
      <c r="K114" s="4">
        <f>(H114-Assumptions!$B$14)/(Assumptions!$C$14-Assumptions!$B$14)</f>
        <v/>
      </c>
      <c r="L114" s="4">
        <f>(I114-Assumptions!$B$15)/(Assumptions!$C$15-Assumptions!$B$15)</f>
        <v/>
      </c>
      <c r="M114" s="4">
        <f>0.4*J114+0.4*K114+0.2*L114</f>
        <v/>
      </c>
    </row>
    <row r="115">
      <c r="A115" s="3" t="inlineStr">
        <is>
          <t>Normal</t>
        </is>
      </c>
      <c r="B115" s="3" t="inlineStr">
        <is>
          <t>DEL_GM</t>
        </is>
      </c>
      <c r="C115" s="3" t="inlineStr">
        <is>
          <t>SIM-00152</t>
        </is>
      </c>
      <c r="D115" s="3" t="inlineStr">
        <is>
          <t>RO-03745</t>
        </is>
      </c>
      <c r="E115" s="3" t="n">
        <v>91</v>
      </c>
      <c r="F115" s="3" t="n">
        <v>1</v>
      </c>
      <c r="G115" s="3" t="n">
        <v>657</v>
      </c>
      <c r="H115" s="4">
        <f>G115/E115</f>
        <v/>
      </c>
      <c r="I115" s="3" t="n">
        <v>0.8</v>
      </c>
      <c r="J115" s="4">
        <f>(F115-Assumptions!$B$13)/(Assumptions!$C$13-Assumptions!$B$13)</f>
        <v/>
      </c>
      <c r="K115" s="4">
        <f>(H115-Assumptions!$B$14)/(Assumptions!$C$14-Assumptions!$B$14)</f>
        <v/>
      </c>
      <c r="L115" s="4">
        <f>(I115-Assumptions!$B$15)/(Assumptions!$C$15-Assumptions!$B$15)</f>
        <v/>
      </c>
      <c r="M115" s="4">
        <f>0.4*J115+0.4*K115+0.2*L115</f>
        <v/>
      </c>
    </row>
    <row r="116">
      <c r="A116" s="3" t="inlineStr">
        <is>
          <t>Normal</t>
        </is>
      </c>
      <c r="B116" s="3" t="inlineStr">
        <is>
          <t>DEL_FV</t>
        </is>
      </c>
      <c r="C116" s="3" t="inlineStr">
        <is>
          <t>SIM-00154</t>
        </is>
      </c>
      <c r="D116" s="3" t="inlineStr">
        <is>
          <t>RO-03746</t>
        </is>
      </c>
      <c r="E116" s="3" t="n">
        <v>1611</v>
      </c>
      <c r="F116" s="3" t="n">
        <v>9</v>
      </c>
      <c r="G116" s="3" t="n">
        <v>169</v>
      </c>
      <c r="H116" s="4">
        <f>G116/E116</f>
        <v/>
      </c>
      <c r="I116" s="3" t="n">
        <v>2.8</v>
      </c>
      <c r="J116" s="4">
        <f>(F116-Assumptions!$B$13)/(Assumptions!$C$13-Assumptions!$B$13)</f>
        <v/>
      </c>
      <c r="K116" s="4">
        <f>(H116-Assumptions!$B$14)/(Assumptions!$C$14-Assumptions!$B$14)</f>
        <v/>
      </c>
      <c r="L116" s="4">
        <f>(I116-Assumptions!$B$15)/(Assumptions!$C$15-Assumptions!$B$15)</f>
        <v/>
      </c>
      <c r="M116" s="4">
        <f>0.4*J116+0.4*K116+0.2*L116</f>
        <v/>
      </c>
    </row>
    <row r="117">
      <c r="A117" s="3" t="inlineStr">
        <is>
          <t>Normal</t>
        </is>
      </c>
      <c r="B117" s="3" t="inlineStr">
        <is>
          <t>DEL_U</t>
        </is>
      </c>
      <c r="C117" s="3" t="inlineStr">
        <is>
          <t>SIM-00162</t>
        </is>
      </c>
      <c r="D117" s="3" t="inlineStr">
        <is>
          <t>RO-00496</t>
        </is>
      </c>
      <c r="E117" s="3" t="n">
        <v>497.5</v>
      </c>
      <c r="F117" s="3" t="n">
        <v>4</v>
      </c>
      <c r="G117" s="3" t="n">
        <v>292</v>
      </c>
      <c r="H117" s="4">
        <f>G117/E117</f>
        <v/>
      </c>
      <c r="I117" s="3" t="n">
        <v>2.3</v>
      </c>
      <c r="J117" s="4">
        <f>(F117-Assumptions!$B$13)/(Assumptions!$C$13-Assumptions!$B$13)</f>
        <v/>
      </c>
      <c r="K117" s="4">
        <f>(H117-Assumptions!$B$14)/(Assumptions!$C$14-Assumptions!$B$14)</f>
        <v/>
      </c>
      <c r="L117" s="4">
        <f>(I117-Assumptions!$B$15)/(Assumptions!$C$15-Assumptions!$B$15)</f>
        <v/>
      </c>
      <c r="M117" s="4">
        <f>0.4*J117+0.4*K117+0.2*L117</f>
        <v/>
      </c>
    </row>
    <row r="118">
      <c r="A118" s="3" t="inlineStr">
        <is>
          <t>Normal</t>
        </is>
      </c>
      <c r="B118" s="3" t="inlineStr">
        <is>
          <t>DEL_DE</t>
        </is>
      </c>
      <c r="C118" s="3" t="inlineStr">
        <is>
          <t>SIM-00165</t>
        </is>
      </c>
      <c r="D118" s="3" t="inlineStr">
        <is>
          <t>RO-03756</t>
        </is>
      </c>
      <c r="E118" s="3" t="n">
        <v>5</v>
      </c>
      <c r="F118" s="3" t="n">
        <v>2</v>
      </c>
      <c r="G118" s="3" t="n">
        <v>521</v>
      </c>
      <c r="H118" s="4">
        <f>G118/E118</f>
        <v/>
      </c>
      <c r="I118" s="3" t="n">
        <v>1.1</v>
      </c>
      <c r="J118" s="4">
        <f>(F118-Assumptions!$B$13)/(Assumptions!$C$13-Assumptions!$B$13)</f>
        <v/>
      </c>
      <c r="K118" s="4">
        <f>(H118-Assumptions!$B$14)/(Assumptions!$C$14-Assumptions!$B$14)</f>
        <v/>
      </c>
      <c r="L118" s="4">
        <f>(I118-Assumptions!$B$15)/(Assumptions!$C$15-Assumptions!$B$15)</f>
        <v/>
      </c>
      <c r="M118" s="4">
        <f>0.4*J118+0.4*K118+0.2*L118</f>
        <v/>
      </c>
    </row>
    <row r="119">
      <c r="A119" s="3" t="inlineStr">
        <is>
          <t>Normal</t>
        </is>
      </c>
      <c r="B119" s="3" t="inlineStr">
        <is>
          <t>DEL_GD</t>
        </is>
      </c>
      <c r="C119" s="3" t="inlineStr">
        <is>
          <t>SIM-00168</t>
        </is>
      </c>
      <c r="D119" s="3" t="inlineStr">
        <is>
          <t>RO-03759</t>
        </is>
      </c>
      <c r="E119" s="3" t="n">
        <v>1020</v>
      </c>
      <c r="F119" s="3" t="n">
        <v>3</v>
      </c>
      <c r="G119" s="3" t="n">
        <v>717</v>
      </c>
      <c r="H119" s="4">
        <f>G119/E119</f>
        <v/>
      </c>
      <c r="I119" s="3" t="n">
        <v>1.1</v>
      </c>
      <c r="J119" s="4">
        <f>(F119-Assumptions!$B$13)/(Assumptions!$C$13-Assumptions!$B$13)</f>
        <v/>
      </c>
      <c r="K119" s="4">
        <f>(H119-Assumptions!$B$14)/(Assumptions!$C$14-Assumptions!$B$14)</f>
        <v/>
      </c>
      <c r="L119" s="4">
        <f>(I119-Assumptions!$B$15)/(Assumptions!$C$15-Assumptions!$B$15)</f>
        <v/>
      </c>
      <c r="M119" s="4">
        <f>0.4*J119+0.4*K119+0.2*L119</f>
        <v/>
      </c>
    </row>
    <row r="120">
      <c r="A120" s="3" t="inlineStr">
        <is>
          <t>Normal</t>
        </is>
      </c>
      <c r="B120" s="3" t="inlineStr">
        <is>
          <t>DEL_Y</t>
        </is>
      </c>
      <c r="C120" s="3" t="inlineStr">
        <is>
          <t>SIM-00170</t>
        </is>
      </c>
      <c r="D120" s="3" t="inlineStr">
        <is>
          <t>RO-02548</t>
        </is>
      </c>
      <c r="E120" s="3" t="n">
        <v>139</v>
      </c>
      <c r="F120" s="3" t="n">
        <v>5</v>
      </c>
      <c r="G120" s="3" t="n">
        <v>292</v>
      </c>
      <c r="H120" s="4">
        <f>G120/E120</f>
        <v/>
      </c>
      <c r="I120" s="3" t="n">
        <v>2.3</v>
      </c>
      <c r="J120" s="4">
        <f>(F120-Assumptions!$B$13)/(Assumptions!$C$13-Assumptions!$B$13)</f>
        <v/>
      </c>
      <c r="K120" s="4">
        <f>(H120-Assumptions!$B$14)/(Assumptions!$C$14-Assumptions!$B$14)</f>
        <v/>
      </c>
      <c r="L120" s="4">
        <f>(I120-Assumptions!$B$15)/(Assumptions!$C$15-Assumptions!$B$15)</f>
        <v/>
      </c>
      <c r="M120" s="4">
        <f>0.4*J120+0.4*K120+0.2*L120</f>
        <v/>
      </c>
    </row>
    <row r="121">
      <c r="A121" s="3" t="inlineStr">
        <is>
          <t>Normal</t>
        </is>
      </c>
      <c r="B121" s="3" t="inlineStr">
        <is>
          <t>DEL_DN</t>
        </is>
      </c>
      <c r="C121" s="3" t="inlineStr">
        <is>
          <t>SIM-00170</t>
        </is>
      </c>
      <c r="D121" s="3" t="inlineStr">
        <is>
          <t>RO-02548</t>
        </is>
      </c>
      <c r="E121" s="3" t="n">
        <v>342</v>
      </c>
      <c r="F121" s="3" t="n">
        <v>5</v>
      </c>
      <c r="G121" s="3" t="n">
        <v>292</v>
      </c>
      <c r="H121" s="4">
        <f>G121/E121</f>
        <v/>
      </c>
      <c r="I121" s="3" t="n">
        <v>2.3</v>
      </c>
      <c r="J121" s="4">
        <f>(F121-Assumptions!$B$13)/(Assumptions!$C$13-Assumptions!$B$13)</f>
        <v/>
      </c>
      <c r="K121" s="4">
        <f>(H121-Assumptions!$B$14)/(Assumptions!$C$14-Assumptions!$B$14)</f>
        <v/>
      </c>
      <c r="L121" s="4">
        <f>(I121-Assumptions!$B$15)/(Assumptions!$C$15-Assumptions!$B$15)</f>
        <v/>
      </c>
      <c r="M121" s="4">
        <f>0.4*J121+0.4*K121+0.2*L121</f>
        <v/>
      </c>
    </row>
    <row r="122">
      <c r="A122" s="3" t="inlineStr">
        <is>
          <t>Normal</t>
        </is>
      </c>
      <c r="B122" s="3" t="inlineStr">
        <is>
          <t>DEL_GQ</t>
        </is>
      </c>
      <c r="C122" s="3" t="inlineStr">
        <is>
          <t>SIM-00173</t>
        </is>
      </c>
      <c r="D122" s="3" t="inlineStr">
        <is>
          <t>RO-03763</t>
        </is>
      </c>
      <c r="E122" s="3" t="n">
        <v>13.5</v>
      </c>
      <c r="F122" s="3" t="n">
        <v>3</v>
      </c>
      <c r="G122" s="3" t="n">
        <v>497</v>
      </c>
      <c r="H122" s="4">
        <f>G122/E122</f>
        <v/>
      </c>
      <c r="I122" s="3" t="n">
        <v>1.2</v>
      </c>
      <c r="J122" s="4">
        <f>(F122-Assumptions!$B$13)/(Assumptions!$C$13-Assumptions!$B$13)</f>
        <v/>
      </c>
      <c r="K122" s="4">
        <f>(H122-Assumptions!$B$14)/(Assumptions!$C$14-Assumptions!$B$14)</f>
        <v/>
      </c>
      <c r="L122" s="4">
        <f>(I122-Assumptions!$B$15)/(Assumptions!$C$15-Assumptions!$B$15)</f>
        <v/>
      </c>
      <c r="M122" s="4">
        <f>0.4*J122+0.4*K122+0.2*L122</f>
        <v/>
      </c>
    </row>
    <row r="123">
      <c r="A123" s="3" t="inlineStr">
        <is>
          <t>Normal</t>
        </is>
      </c>
      <c r="B123" s="3" t="inlineStr">
        <is>
          <t>DEL_AT</t>
        </is>
      </c>
      <c r="C123" s="3" t="inlineStr">
        <is>
          <t>SIM-00174</t>
        </is>
      </c>
      <c r="D123" s="3" t="inlineStr">
        <is>
          <t>RO-03764</t>
        </is>
      </c>
      <c r="E123" s="3" t="n">
        <v>19.5</v>
      </c>
      <c r="F123" s="3" t="n">
        <v>11</v>
      </c>
      <c r="G123" s="3" t="n">
        <v>169</v>
      </c>
      <c r="H123" s="4">
        <f>G123/E123</f>
        <v/>
      </c>
      <c r="I123" s="3" t="n">
        <v>2.8</v>
      </c>
      <c r="J123" s="4">
        <f>(F123-Assumptions!$B$13)/(Assumptions!$C$13-Assumptions!$B$13)</f>
        <v/>
      </c>
      <c r="K123" s="4">
        <f>(H123-Assumptions!$B$14)/(Assumptions!$C$14-Assumptions!$B$14)</f>
        <v/>
      </c>
      <c r="L123" s="4">
        <f>(I123-Assumptions!$B$15)/(Assumptions!$C$15-Assumptions!$B$15)</f>
        <v/>
      </c>
      <c r="M123" s="4">
        <f>0.4*J123+0.4*K123+0.2*L123</f>
        <v/>
      </c>
    </row>
    <row r="124">
      <c r="A124" s="3" t="inlineStr">
        <is>
          <t>Normal</t>
        </is>
      </c>
      <c r="B124" s="3" t="inlineStr">
        <is>
          <t>DEL_BP</t>
        </is>
      </c>
      <c r="C124" s="3" t="inlineStr">
        <is>
          <t>SIM-00174</t>
        </is>
      </c>
      <c r="D124" s="3" t="inlineStr">
        <is>
          <t>RO-03764</t>
        </is>
      </c>
      <c r="E124" s="3" t="n">
        <v>4.5</v>
      </c>
      <c r="F124" s="3" t="n">
        <v>11</v>
      </c>
      <c r="G124" s="3" t="n">
        <v>169</v>
      </c>
      <c r="H124" s="4">
        <f>G124/E124</f>
        <v/>
      </c>
      <c r="I124" s="3" t="n">
        <v>2.8</v>
      </c>
      <c r="J124" s="4">
        <f>(F124-Assumptions!$B$13)/(Assumptions!$C$13-Assumptions!$B$13)</f>
        <v/>
      </c>
      <c r="K124" s="4">
        <f>(H124-Assumptions!$B$14)/(Assumptions!$C$14-Assumptions!$B$14)</f>
        <v/>
      </c>
      <c r="L124" s="4">
        <f>(I124-Assumptions!$B$15)/(Assumptions!$C$15-Assumptions!$B$15)</f>
        <v/>
      </c>
      <c r="M124" s="4">
        <f>0.4*J124+0.4*K124+0.2*L124</f>
        <v/>
      </c>
    </row>
    <row r="125">
      <c r="A125" s="3" t="inlineStr">
        <is>
          <t>Normal</t>
        </is>
      </c>
      <c r="B125" s="3" t="inlineStr">
        <is>
          <t>DEL_AI</t>
        </is>
      </c>
      <c r="C125" s="3" t="inlineStr">
        <is>
          <t>SIM-00176</t>
        </is>
      </c>
      <c r="D125" s="3" t="inlineStr">
        <is>
          <t>RO-01912</t>
        </is>
      </c>
      <c r="E125" s="3" t="n">
        <v>361</v>
      </c>
      <c r="F125" s="3" t="n">
        <v>4</v>
      </c>
      <c r="G125" s="3" t="n">
        <v>328</v>
      </c>
      <c r="H125" s="4">
        <f>G125/E125</f>
        <v/>
      </c>
      <c r="I125" s="3" t="n">
        <v>2.3</v>
      </c>
      <c r="J125" s="4">
        <f>(F125-Assumptions!$B$13)/(Assumptions!$C$13-Assumptions!$B$13)</f>
        <v/>
      </c>
      <c r="K125" s="4">
        <f>(H125-Assumptions!$B$14)/(Assumptions!$C$14-Assumptions!$B$14)</f>
        <v/>
      </c>
      <c r="L125" s="4">
        <f>(I125-Assumptions!$B$15)/(Assumptions!$C$15-Assumptions!$B$15)</f>
        <v/>
      </c>
      <c r="M125" s="4">
        <f>0.4*J125+0.4*K125+0.2*L125</f>
        <v/>
      </c>
    </row>
    <row r="126">
      <c r="A126" s="3" t="inlineStr">
        <is>
          <t>Normal</t>
        </is>
      </c>
      <c r="B126" s="3" t="inlineStr">
        <is>
          <t>DEL_GK</t>
        </is>
      </c>
      <c r="C126" s="3" t="inlineStr">
        <is>
          <t>SIM-00180</t>
        </is>
      </c>
      <c r="D126" s="3" t="inlineStr">
        <is>
          <t>RO-02578</t>
        </is>
      </c>
      <c r="E126" s="3" t="n">
        <v>1023</v>
      </c>
      <c r="F126" s="3" t="n">
        <v>2</v>
      </c>
      <c r="G126" s="3" t="n">
        <v>748</v>
      </c>
      <c r="H126" s="4">
        <f>G126/E126</f>
        <v/>
      </c>
      <c r="I126" s="3" t="n">
        <v>1.5</v>
      </c>
      <c r="J126" s="4">
        <f>(F126-Assumptions!$B$13)/(Assumptions!$C$13-Assumptions!$B$13)</f>
        <v/>
      </c>
      <c r="K126" s="4">
        <f>(H126-Assumptions!$B$14)/(Assumptions!$C$14-Assumptions!$B$14)</f>
        <v/>
      </c>
      <c r="L126" s="4">
        <f>(I126-Assumptions!$B$15)/(Assumptions!$C$15-Assumptions!$B$15)</f>
        <v/>
      </c>
      <c r="M126" s="4">
        <f>0.4*J126+0.4*K126+0.2*L126</f>
        <v/>
      </c>
    </row>
    <row r="127">
      <c r="A127" s="3" t="inlineStr">
        <is>
          <t>Normal</t>
        </is>
      </c>
      <c r="B127" s="3" t="inlineStr">
        <is>
          <t>DEL_S</t>
        </is>
      </c>
      <c r="C127" s="3" t="inlineStr">
        <is>
          <t>SIM-00183</t>
        </is>
      </c>
      <c r="D127" s="3" t="inlineStr">
        <is>
          <t>RO-02134</t>
        </is>
      </c>
      <c r="E127" s="3" t="n">
        <v>6.5</v>
      </c>
      <c r="F127" s="3" t="n">
        <v>3</v>
      </c>
      <c r="G127" s="3" t="n">
        <v>712</v>
      </c>
      <c r="H127" s="4">
        <f>G127/E127</f>
        <v/>
      </c>
      <c r="I127" s="3" t="n">
        <v>1.5</v>
      </c>
      <c r="J127" s="4">
        <f>(F127-Assumptions!$B$13)/(Assumptions!$C$13-Assumptions!$B$13)</f>
        <v/>
      </c>
      <c r="K127" s="4">
        <f>(H127-Assumptions!$B$14)/(Assumptions!$C$14-Assumptions!$B$14)</f>
        <v/>
      </c>
      <c r="L127" s="4">
        <f>(I127-Assumptions!$B$15)/(Assumptions!$C$15-Assumptions!$B$15)</f>
        <v/>
      </c>
      <c r="M127" s="4">
        <f>0.4*J127+0.4*K127+0.2*L127</f>
        <v/>
      </c>
    </row>
    <row r="128">
      <c r="A128" s="3" t="inlineStr">
        <is>
          <t>Normal</t>
        </is>
      </c>
      <c r="B128" s="3" t="inlineStr">
        <is>
          <t>DEL_EA</t>
        </is>
      </c>
      <c r="C128" s="3" t="inlineStr">
        <is>
          <t>SIM-00184</t>
        </is>
      </c>
      <c r="D128" s="3" t="inlineStr">
        <is>
          <t>RO-03701</t>
        </is>
      </c>
      <c r="E128" s="3" t="n">
        <v>254.5</v>
      </c>
      <c r="F128" s="3" t="n">
        <v>2</v>
      </c>
      <c r="G128" s="3" t="n">
        <v>509</v>
      </c>
      <c r="H128" s="4">
        <f>G128/E128</f>
        <v/>
      </c>
      <c r="I128" s="3" t="n">
        <v>1.8</v>
      </c>
      <c r="J128" s="4">
        <f>(F128-Assumptions!$B$13)/(Assumptions!$C$13-Assumptions!$B$13)</f>
        <v/>
      </c>
      <c r="K128" s="4">
        <f>(H128-Assumptions!$B$14)/(Assumptions!$C$14-Assumptions!$B$14)</f>
        <v/>
      </c>
      <c r="L128" s="4">
        <f>(I128-Assumptions!$B$15)/(Assumptions!$C$15-Assumptions!$B$15)</f>
        <v/>
      </c>
      <c r="M128" s="4">
        <f>0.4*J128+0.4*K128+0.2*L128</f>
        <v/>
      </c>
    </row>
    <row r="129">
      <c r="A129" s="3" t="inlineStr">
        <is>
          <t>Normal</t>
        </is>
      </c>
      <c r="B129" s="3" t="inlineStr">
        <is>
          <t>DEL_BW</t>
        </is>
      </c>
      <c r="C129" s="3" t="inlineStr">
        <is>
          <t>SIM-00185</t>
        </is>
      </c>
      <c r="D129" s="3" t="inlineStr">
        <is>
          <t>RO-03772</t>
        </is>
      </c>
      <c r="E129" s="3" t="n">
        <v>4.5</v>
      </c>
      <c r="F129" s="3" t="n">
        <v>2</v>
      </c>
      <c r="G129" s="3" t="n">
        <v>497</v>
      </c>
      <c r="H129" s="4">
        <f>G129/E129</f>
        <v/>
      </c>
      <c r="I129" s="3" t="n">
        <v>1.7</v>
      </c>
      <c r="J129" s="4">
        <f>(F129-Assumptions!$B$13)/(Assumptions!$C$13-Assumptions!$B$13)</f>
        <v/>
      </c>
      <c r="K129" s="4">
        <f>(H129-Assumptions!$B$14)/(Assumptions!$C$14-Assumptions!$B$14)</f>
        <v/>
      </c>
      <c r="L129" s="4">
        <f>(I129-Assumptions!$B$15)/(Assumptions!$C$15-Assumptions!$B$15)</f>
        <v/>
      </c>
      <c r="M129" s="4">
        <f>0.4*J129+0.4*K129+0.2*L129</f>
        <v/>
      </c>
    </row>
    <row r="130">
      <c r="A130" s="3" t="inlineStr">
        <is>
          <t>Normal</t>
        </is>
      </c>
      <c r="B130" s="3" t="inlineStr">
        <is>
          <t>DEL_EM</t>
        </is>
      </c>
      <c r="C130" s="3" t="inlineStr">
        <is>
          <t>SIM-00189</t>
        </is>
      </c>
      <c r="D130" s="3" t="inlineStr">
        <is>
          <t>RO-02953</t>
        </is>
      </c>
      <c r="E130" s="3" t="n">
        <v>154.5</v>
      </c>
      <c r="F130" s="3" t="n">
        <v>3</v>
      </c>
      <c r="G130" s="3" t="n">
        <v>552</v>
      </c>
      <c r="H130" s="4">
        <f>G130/E130</f>
        <v/>
      </c>
      <c r="I130" s="3" t="n">
        <v>1.5</v>
      </c>
      <c r="J130" s="4">
        <f>(F130-Assumptions!$B$13)/(Assumptions!$C$13-Assumptions!$B$13)</f>
        <v/>
      </c>
      <c r="K130" s="4">
        <f>(H130-Assumptions!$B$14)/(Assumptions!$C$14-Assumptions!$B$14)</f>
        <v/>
      </c>
      <c r="L130" s="4">
        <f>(I130-Assumptions!$B$15)/(Assumptions!$C$15-Assumptions!$B$15)</f>
        <v/>
      </c>
      <c r="M130" s="4">
        <f>0.4*J130+0.4*K130+0.2*L130</f>
        <v/>
      </c>
    </row>
    <row r="131">
      <c r="A131" s="3" t="inlineStr">
        <is>
          <t>Normal</t>
        </is>
      </c>
      <c r="B131" s="3" t="inlineStr">
        <is>
          <t>DEL_HC</t>
        </is>
      </c>
      <c r="C131" s="3" t="inlineStr">
        <is>
          <t>SIM-00192</t>
        </is>
      </c>
      <c r="D131" s="3" t="inlineStr">
        <is>
          <t>RO-00226</t>
        </is>
      </c>
      <c r="E131" s="3" t="n">
        <v>64.5</v>
      </c>
      <c r="F131" s="3" t="n">
        <v>1</v>
      </c>
      <c r="G131" s="3" t="n">
        <v>712</v>
      </c>
      <c r="H131" s="4">
        <f>G131/E131</f>
        <v/>
      </c>
      <c r="I131" s="3" t="n">
        <v>1.5</v>
      </c>
      <c r="J131" s="4">
        <f>(F131-Assumptions!$B$13)/(Assumptions!$C$13-Assumptions!$B$13)</f>
        <v/>
      </c>
      <c r="K131" s="4">
        <f>(H131-Assumptions!$B$14)/(Assumptions!$C$14-Assumptions!$B$14)</f>
        <v/>
      </c>
      <c r="L131" s="4">
        <f>(I131-Assumptions!$B$15)/(Assumptions!$C$15-Assumptions!$B$15)</f>
        <v/>
      </c>
      <c r="M131" s="4">
        <f>0.4*J131+0.4*K131+0.2*L131</f>
        <v/>
      </c>
    </row>
    <row r="132">
      <c r="A132" s="3" t="inlineStr">
        <is>
          <t>Normal</t>
        </is>
      </c>
      <c r="B132" s="3" t="inlineStr">
        <is>
          <t>DEL_FH</t>
        </is>
      </c>
      <c r="C132" s="3" t="inlineStr">
        <is>
          <t>SIM-00196</t>
        </is>
      </c>
      <c r="D132" s="3" t="inlineStr">
        <is>
          <t>RO-02452</t>
        </is>
      </c>
      <c r="E132" s="3" t="n">
        <v>4.5</v>
      </c>
      <c r="F132" s="3" t="n">
        <v>4</v>
      </c>
      <c r="G132" s="3" t="n">
        <v>328</v>
      </c>
      <c r="H132" s="4">
        <f>G132/E132</f>
        <v/>
      </c>
      <c r="I132" s="3" t="n">
        <v>2.3</v>
      </c>
      <c r="J132" s="4">
        <f>(F132-Assumptions!$B$13)/(Assumptions!$C$13-Assumptions!$B$13)</f>
        <v/>
      </c>
      <c r="K132" s="4">
        <f>(H132-Assumptions!$B$14)/(Assumptions!$C$14-Assumptions!$B$14)</f>
        <v/>
      </c>
      <c r="L132" s="4">
        <f>(I132-Assumptions!$B$15)/(Assumptions!$C$15-Assumptions!$B$15)</f>
        <v/>
      </c>
      <c r="M132" s="4">
        <f>0.4*J132+0.4*K132+0.2*L132</f>
        <v/>
      </c>
    </row>
    <row r="133">
      <c r="A133" s="3" t="inlineStr">
        <is>
          <t>Normal</t>
        </is>
      </c>
      <c r="B133" s="3" t="inlineStr">
        <is>
          <t>DEL_B</t>
        </is>
      </c>
      <c r="C133" s="3" t="inlineStr">
        <is>
          <t>SIM-00200</t>
        </is>
      </c>
      <c r="D133" s="3" t="inlineStr">
        <is>
          <t>RO-03786</t>
        </is>
      </c>
      <c r="E133" s="3" t="n">
        <v>335</v>
      </c>
      <c r="F133" s="3" t="n">
        <v>1</v>
      </c>
      <c r="G133" s="3" t="n">
        <v>717</v>
      </c>
      <c r="H133" s="4">
        <f>G133/E133</f>
        <v/>
      </c>
      <c r="I133" s="3" t="n">
        <v>0.6</v>
      </c>
      <c r="J133" s="4">
        <f>(F133-Assumptions!$B$13)/(Assumptions!$C$13-Assumptions!$B$13)</f>
        <v/>
      </c>
      <c r="K133" s="4">
        <f>(H133-Assumptions!$B$14)/(Assumptions!$C$14-Assumptions!$B$14)</f>
        <v/>
      </c>
      <c r="L133" s="4">
        <f>(I133-Assumptions!$B$15)/(Assumptions!$C$15-Assumptions!$B$15)</f>
        <v/>
      </c>
      <c r="M133" s="4">
        <f>0.4*J133+0.4*K133+0.2*L133</f>
        <v/>
      </c>
    </row>
    <row r="134">
      <c r="A134" s="3" t="inlineStr">
        <is>
          <t>Normal</t>
        </is>
      </c>
      <c r="B134" s="3" t="inlineStr">
        <is>
          <t>DEL_AW</t>
        </is>
      </c>
      <c r="C134" s="3" t="inlineStr">
        <is>
          <t>SIM-00201</t>
        </is>
      </c>
      <c r="D134" s="3" t="inlineStr">
        <is>
          <t>RO-03787</t>
        </is>
      </c>
      <c r="E134" s="3" t="n">
        <v>15.5</v>
      </c>
      <c r="F134" s="3" t="n">
        <v>2</v>
      </c>
      <c r="G134" s="3" t="n">
        <v>569</v>
      </c>
      <c r="H134" s="4">
        <f>G134/E134</f>
        <v/>
      </c>
      <c r="I134" s="3" t="n">
        <v>1.2</v>
      </c>
      <c r="J134" s="4">
        <f>(F134-Assumptions!$B$13)/(Assumptions!$C$13-Assumptions!$B$13)</f>
        <v/>
      </c>
      <c r="K134" s="4">
        <f>(H134-Assumptions!$B$14)/(Assumptions!$C$14-Assumptions!$B$14)</f>
        <v/>
      </c>
      <c r="L134" s="4">
        <f>(I134-Assumptions!$B$15)/(Assumptions!$C$15-Assumptions!$B$15)</f>
        <v/>
      </c>
      <c r="M134" s="4">
        <f>0.4*J134+0.4*K134+0.2*L134</f>
        <v/>
      </c>
    </row>
    <row r="135">
      <c r="A135" s="3" t="inlineStr">
        <is>
          <t>Normal</t>
        </is>
      </c>
      <c r="B135" s="3" t="inlineStr">
        <is>
          <t>DEL_DB</t>
        </is>
      </c>
      <c r="C135" s="3" t="inlineStr">
        <is>
          <t>SIM-00201</t>
        </is>
      </c>
      <c r="D135" s="3" t="inlineStr">
        <is>
          <t>RO-03787</t>
        </is>
      </c>
      <c r="E135" s="3" t="n">
        <v>9.5</v>
      </c>
      <c r="F135" s="3" t="n">
        <v>2</v>
      </c>
      <c r="G135" s="3" t="n">
        <v>569</v>
      </c>
      <c r="H135" s="4">
        <f>G135/E135</f>
        <v/>
      </c>
      <c r="I135" s="3" t="n">
        <v>1.2</v>
      </c>
      <c r="J135" s="4">
        <f>(F135-Assumptions!$B$13)/(Assumptions!$C$13-Assumptions!$B$13)</f>
        <v/>
      </c>
      <c r="K135" s="4">
        <f>(H135-Assumptions!$B$14)/(Assumptions!$C$14-Assumptions!$B$14)</f>
        <v/>
      </c>
      <c r="L135" s="4">
        <f>(I135-Assumptions!$B$15)/(Assumptions!$C$15-Assumptions!$B$15)</f>
        <v/>
      </c>
      <c r="M135" s="4">
        <f>0.4*J135+0.4*K135+0.2*L135</f>
        <v/>
      </c>
    </row>
    <row r="136">
      <c r="A136" s="3" t="inlineStr">
        <is>
          <t>Normal</t>
        </is>
      </c>
      <c r="B136" s="3" t="inlineStr">
        <is>
          <t>DEL_BO</t>
        </is>
      </c>
      <c r="C136" s="3" t="inlineStr">
        <is>
          <t>SIM-00202</t>
        </is>
      </c>
      <c r="D136" s="3" t="inlineStr">
        <is>
          <t>RO-03642</t>
        </is>
      </c>
      <c r="E136" s="3" t="n">
        <v>455.5</v>
      </c>
      <c r="F136" s="3" t="n">
        <v>4</v>
      </c>
      <c r="G136" s="3" t="n">
        <v>297</v>
      </c>
      <c r="H136" s="4">
        <f>G136/E136</f>
        <v/>
      </c>
      <c r="I136" s="3" t="n">
        <v>1.4</v>
      </c>
      <c r="J136" s="4">
        <f>(F136-Assumptions!$B$13)/(Assumptions!$C$13-Assumptions!$B$13)</f>
        <v/>
      </c>
      <c r="K136" s="4">
        <f>(H136-Assumptions!$B$14)/(Assumptions!$C$14-Assumptions!$B$14)</f>
        <v/>
      </c>
      <c r="L136" s="4">
        <f>(I136-Assumptions!$B$15)/(Assumptions!$C$15-Assumptions!$B$15)</f>
        <v/>
      </c>
      <c r="M136" s="4">
        <f>0.4*J136+0.4*K136+0.2*L136</f>
        <v/>
      </c>
    </row>
    <row r="137">
      <c r="A137" s="3" t="inlineStr">
        <is>
          <t>Normal</t>
        </is>
      </c>
      <c r="B137" s="3" t="inlineStr">
        <is>
          <t>DEL_M</t>
        </is>
      </c>
      <c r="C137" s="3" t="inlineStr">
        <is>
          <t>SIM-00203</t>
        </is>
      </c>
      <c r="D137" s="3" t="inlineStr">
        <is>
          <t>RO-03643</t>
        </is>
      </c>
      <c r="E137" s="3" t="n">
        <v>11</v>
      </c>
      <c r="F137" s="3" t="n">
        <v>10</v>
      </c>
      <c r="G137" s="3" t="n">
        <v>229</v>
      </c>
      <c r="H137" s="4">
        <f>G137/E137</f>
        <v/>
      </c>
      <c r="I137" s="3" t="n">
        <v>2.6</v>
      </c>
      <c r="J137" s="4">
        <f>(F137-Assumptions!$B$13)/(Assumptions!$C$13-Assumptions!$B$13)</f>
        <v/>
      </c>
      <c r="K137" s="4">
        <f>(H137-Assumptions!$B$14)/(Assumptions!$C$14-Assumptions!$B$14)</f>
        <v/>
      </c>
      <c r="L137" s="4">
        <f>(I137-Assumptions!$B$15)/(Assumptions!$C$15-Assumptions!$B$15)</f>
        <v/>
      </c>
      <c r="M137" s="4">
        <f>0.4*J137+0.4*K137+0.2*L137</f>
        <v/>
      </c>
    </row>
    <row r="138">
      <c r="A138" s="3" t="inlineStr">
        <is>
          <t>Normal</t>
        </is>
      </c>
      <c r="B138" s="3" t="inlineStr">
        <is>
          <t>DEL_Q</t>
        </is>
      </c>
      <c r="C138" s="3" t="inlineStr">
        <is>
          <t>SIM-00205</t>
        </is>
      </c>
      <c r="D138" s="3" t="inlineStr">
        <is>
          <t>RO-03645</t>
        </is>
      </c>
      <c r="E138" s="3" t="n">
        <v>392</v>
      </c>
      <c r="F138" s="3" t="n">
        <v>2</v>
      </c>
      <c r="G138" s="3" t="n">
        <v>485</v>
      </c>
      <c r="H138" s="4">
        <f>G138/E138</f>
        <v/>
      </c>
      <c r="I138" s="3" t="n">
        <v>1.5</v>
      </c>
      <c r="J138" s="4">
        <f>(F138-Assumptions!$B$13)/(Assumptions!$C$13-Assumptions!$B$13)</f>
        <v/>
      </c>
      <c r="K138" s="4">
        <f>(H138-Assumptions!$B$14)/(Assumptions!$C$14-Assumptions!$B$14)</f>
        <v/>
      </c>
      <c r="L138" s="4">
        <f>(I138-Assumptions!$B$15)/(Assumptions!$C$15-Assumptions!$B$15)</f>
        <v/>
      </c>
      <c r="M138" s="4">
        <f>0.4*J138+0.4*K138+0.2*L138</f>
        <v/>
      </c>
    </row>
    <row r="139">
      <c r="A139" s="3" t="inlineStr">
        <is>
          <t>Normal</t>
        </is>
      </c>
      <c r="B139" s="3" t="inlineStr">
        <is>
          <t>DEL_DT</t>
        </is>
      </c>
      <c r="C139" s="3" t="inlineStr">
        <is>
          <t>SIM-00205</t>
        </is>
      </c>
      <c r="D139" s="3" t="inlineStr">
        <is>
          <t>RO-03645</t>
        </is>
      </c>
      <c r="E139" s="3" t="n">
        <v>951.5</v>
      </c>
      <c r="F139" s="3" t="n">
        <v>2</v>
      </c>
      <c r="G139" s="3" t="n">
        <v>485</v>
      </c>
      <c r="H139" s="4">
        <f>G139/E139</f>
        <v/>
      </c>
      <c r="I139" s="3" t="n">
        <v>1.5</v>
      </c>
      <c r="J139" s="4">
        <f>(F139-Assumptions!$B$13)/(Assumptions!$C$13-Assumptions!$B$13)</f>
        <v/>
      </c>
      <c r="K139" s="4">
        <f>(H139-Assumptions!$B$14)/(Assumptions!$C$14-Assumptions!$B$14)</f>
        <v/>
      </c>
      <c r="L139" s="4">
        <f>(I139-Assumptions!$B$15)/(Assumptions!$C$15-Assumptions!$B$15)</f>
        <v/>
      </c>
      <c r="M139" s="4">
        <f>0.4*J139+0.4*K139+0.2*L139</f>
        <v/>
      </c>
    </row>
    <row r="140">
      <c r="A140" s="3" t="inlineStr">
        <is>
          <t>Normal</t>
        </is>
      </c>
      <c r="B140" s="3" t="inlineStr">
        <is>
          <t>DEL_T</t>
        </is>
      </c>
      <c r="C140" s="3" t="inlineStr">
        <is>
          <t>SIM-00209</t>
        </is>
      </c>
      <c r="D140" s="3" t="inlineStr">
        <is>
          <t>RO-03133</t>
        </is>
      </c>
      <c r="E140" s="3" t="n">
        <v>236</v>
      </c>
      <c r="F140" s="3" t="n">
        <v>3</v>
      </c>
      <c r="G140" s="3" t="n">
        <v>552</v>
      </c>
      <c r="H140" s="4">
        <f>G140/E140</f>
        <v/>
      </c>
      <c r="I140" s="3" t="n">
        <v>1.5</v>
      </c>
      <c r="J140" s="4">
        <f>(F140-Assumptions!$B$13)/(Assumptions!$C$13-Assumptions!$B$13)</f>
        <v/>
      </c>
      <c r="K140" s="4">
        <f>(H140-Assumptions!$B$14)/(Assumptions!$C$14-Assumptions!$B$14)</f>
        <v/>
      </c>
      <c r="L140" s="4">
        <f>(I140-Assumptions!$B$15)/(Assumptions!$C$15-Assumptions!$B$15)</f>
        <v/>
      </c>
      <c r="M140" s="4">
        <f>0.4*J140+0.4*K140+0.2*L140</f>
        <v/>
      </c>
    </row>
    <row r="141">
      <c r="A141" s="3" t="inlineStr">
        <is>
          <t>Normal</t>
        </is>
      </c>
      <c r="B141" s="3" t="inlineStr">
        <is>
          <t>DEL_EC</t>
        </is>
      </c>
      <c r="C141" s="3" t="inlineStr">
        <is>
          <t>SIM-00212</t>
        </is>
      </c>
      <c r="D141" s="3" t="inlineStr">
        <is>
          <t>RO-03791</t>
        </is>
      </c>
      <c r="E141" s="3" t="n">
        <v>402.5</v>
      </c>
      <c r="F141" s="3" t="n">
        <v>1</v>
      </c>
      <c r="G141" s="3" t="n">
        <v>669</v>
      </c>
      <c r="H141" s="4">
        <f>G141/E141</f>
        <v/>
      </c>
      <c r="I141" s="3" t="n">
        <v>1.4</v>
      </c>
      <c r="J141" s="4">
        <f>(F141-Assumptions!$B$13)/(Assumptions!$C$13-Assumptions!$B$13)</f>
        <v/>
      </c>
      <c r="K141" s="4">
        <f>(H141-Assumptions!$B$14)/(Assumptions!$C$14-Assumptions!$B$14)</f>
        <v/>
      </c>
      <c r="L141" s="4">
        <f>(I141-Assumptions!$B$15)/(Assumptions!$C$15-Assumptions!$B$15)</f>
        <v/>
      </c>
      <c r="M141" s="4">
        <f>0.4*J141+0.4*K141+0.2*L141</f>
        <v/>
      </c>
    </row>
    <row r="142">
      <c r="A142" s="3" t="inlineStr">
        <is>
          <t>Normal</t>
        </is>
      </c>
      <c r="B142" s="3" t="inlineStr">
        <is>
          <t>DEL_W</t>
        </is>
      </c>
      <c r="C142" s="3" t="inlineStr">
        <is>
          <t>SIM-00217</t>
        </is>
      </c>
      <c r="D142" s="3" t="inlineStr">
        <is>
          <t>RO-03250</t>
        </is>
      </c>
      <c r="E142" s="3" t="n">
        <v>65</v>
      </c>
      <c r="F142" s="3" t="n">
        <v>1</v>
      </c>
      <c r="G142" s="3" t="n">
        <v>712</v>
      </c>
      <c r="H142" s="4">
        <f>G142/E142</f>
        <v/>
      </c>
      <c r="I142" s="3" t="n">
        <v>1.5</v>
      </c>
      <c r="J142" s="4">
        <f>(F142-Assumptions!$B$13)/(Assumptions!$C$13-Assumptions!$B$13)</f>
        <v/>
      </c>
      <c r="K142" s="4">
        <f>(H142-Assumptions!$B$14)/(Assumptions!$C$14-Assumptions!$B$14)</f>
        <v/>
      </c>
      <c r="L142" s="4">
        <f>(I142-Assumptions!$B$15)/(Assumptions!$C$15-Assumptions!$B$15)</f>
        <v/>
      </c>
      <c r="M142" s="4">
        <f>0.4*J142+0.4*K142+0.2*L142</f>
        <v/>
      </c>
    </row>
    <row r="143">
      <c r="A143" s="3" t="inlineStr">
        <is>
          <t>Normal</t>
        </is>
      </c>
      <c r="B143" s="3" t="inlineStr">
        <is>
          <t>DEL_AF</t>
        </is>
      </c>
      <c r="C143" s="3" t="inlineStr">
        <is>
          <t>SIM-00218</t>
        </is>
      </c>
      <c r="D143" s="3" t="inlineStr">
        <is>
          <t>RO-01585</t>
        </is>
      </c>
      <c r="E143" s="3" t="n">
        <v>663</v>
      </c>
      <c r="F143" s="3" t="n">
        <v>2</v>
      </c>
      <c r="G143" s="3" t="n">
        <v>552</v>
      </c>
      <c r="H143" s="4">
        <f>G143/E143</f>
        <v/>
      </c>
      <c r="I143" s="3" t="n">
        <v>1.5</v>
      </c>
      <c r="J143" s="4">
        <f>(F143-Assumptions!$B$13)/(Assumptions!$C$13-Assumptions!$B$13)</f>
        <v/>
      </c>
      <c r="K143" s="4">
        <f>(H143-Assumptions!$B$14)/(Assumptions!$C$14-Assumptions!$B$14)</f>
        <v/>
      </c>
      <c r="L143" s="4">
        <f>(I143-Assumptions!$B$15)/(Assumptions!$C$15-Assumptions!$B$15)</f>
        <v/>
      </c>
      <c r="M143" s="4">
        <f>0.4*J143+0.4*K143+0.2*L143</f>
        <v/>
      </c>
    </row>
    <row r="144">
      <c r="A144" s="3" t="inlineStr">
        <is>
          <t>Normal</t>
        </is>
      </c>
      <c r="B144" s="3" t="inlineStr">
        <is>
          <t>DEL_EH</t>
        </is>
      </c>
      <c r="C144" s="3" t="inlineStr">
        <is>
          <t>SIM-00219</t>
        </is>
      </c>
      <c r="D144" s="3" t="inlineStr">
        <is>
          <t>RO-01243</t>
        </is>
      </c>
      <c r="E144" s="3" t="n">
        <v>4.5</v>
      </c>
      <c r="F144" s="3" t="n">
        <v>10</v>
      </c>
      <c r="G144" s="3" t="n">
        <v>212</v>
      </c>
      <c r="H144" s="4">
        <f>G144/E144</f>
        <v/>
      </c>
      <c r="I144" s="3" t="n">
        <v>2.9</v>
      </c>
      <c r="J144" s="4">
        <f>(F144-Assumptions!$B$13)/(Assumptions!$C$13-Assumptions!$B$13)</f>
        <v/>
      </c>
      <c r="K144" s="4">
        <f>(H144-Assumptions!$B$14)/(Assumptions!$C$14-Assumptions!$B$14)</f>
        <v/>
      </c>
      <c r="L144" s="4">
        <f>(I144-Assumptions!$B$15)/(Assumptions!$C$15-Assumptions!$B$15)</f>
        <v/>
      </c>
      <c r="M144" s="4">
        <f>0.4*J144+0.4*K144+0.2*L144</f>
        <v/>
      </c>
    </row>
    <row r="145">
      <c r="A145" s="3" t="inlineStr">
        <is>
          <t>Normal</t>
        </is>
      </c>
      <c r="B145" s="3" t="inlineStr">
        <is>
          <t>DEL_AG</t>
        </is>
      </c>
      <c r="C145" s="3" t="inlineStr">
        <is>
          <t>SIM-00222</t>
        </is>
      </c>
      <c r="D145" s="3" t="inlineStr">
        <is>
          <t>RO-03801</t>
        </is>
      </c>
      <c r="E145" s="3" t="n">
        <v>29.5</v>
      </c>
      <c r="F145" s="3" t="n">
        <v>4</v>
      </c>
      <c r="G145" s="3" t="n">
        <v>261</v>
      </c>
      <c r="H145" s="4">
        <f>G145/E145</f>
        <v/>
      </c>
      <c r="I145" s="3" t="n">
        <v>1.9</v>
      </c>
      <c r="J145" s="4">
        <f>(F145-Assumptions!$B$13)/(Assumptions!$C$13-Assumptions!$B$13)</f>
        <v/>
      </c>
      <c r="K145" s="4">
        <f>(H145-Assumptions!$B$14)/(Assumptions!$C$14-Assumptions!$B$14)</f>
        <v/>
      </c>
      <c r="L145" s="4">
        <f>(I145-Assumptions!$B$15)/(Assumptions!$C$15-Assumptions!$B$15)</f>
        <v/>
      </c>
      <c r="M145" s="4">
        <f>0.4*J145+0.4*K145+0.2*L145</f>
        <v/>
      </c>
    </row>
    <row r="146">
      <c r="A146" s="3" t="inlineStr">
        <is>
          <t>Normal</t>
        </is>
      </c>
      <c r="B146" s="3" t="inlineStr">
        <is>
          <t>DEL_BY</t>
        </is>
      </c>
      <c r="C146" s="3" t="inlineStr">
        <is>
          <t>SIM-00222</t>
        </is>
      </c>
      <c r="D146" s="3" t="inlineStr">
        <is>
          <t>RO-03801</t>
        </is>
      </c>
      <c r="E146" s="3" t="n">
        <v>19.5</v>
      </c>
      <c r="F146" s="3" t="n">
        <v>4</v>
      </c>
      <c r="G146" s="3" t="n">
        <v>261</v>
      </c>
      <c r="H146" s="4">
        <f>G146/E146</f>
        <v/>
      </c>
      <c r="I146" s="3" t="n">
        <v>1.9</v>
      </c>
      <c r="J146" s="4">
        <f>(F146-Assumptions!$B$13)/(Assumptions!$C$13-Assumptions!$B$13)</f>
        <v/>
      </c>
      <c r="K146" s="4">
        <f>(H146-Assumptions!$B$14)/(Assumptions!$C$14-Assumptions!$B$14)</f>
        <v/>
      </c>
      <c r="L146" s="4">
        <f>(I146-Assumptions!$B$15)/(Assumptions!$C$15-Assumptions!$B$15)</f>
        <v/>
      </c>
      <c r="M146" s="4">
        <f>0.4*J146+0.4*K146+0.2*L146</f>
        <v/>
      </c>
    </row>
    <row r="147">
      <c r="A147" s="3" t="inlineStr">
        <is>
          <t>Normal</t>
        </is>
      </c>
      <c r="B147" s="3" t="inlineStr">
        <is>
          <t>DEL_FR</t>
        </is>
      </c>
      <c r="C147" s="3" t="inlineStr">
        <is>
          <t>SIM-00222</t>
        </is>
      </c>
      <c r="D147" s="3" t="inlineStr">
        <is>
          <t>RO-03801</t>
        </is>
      </c>
      <c r="E147" s="3" t="n">
        <v>4</v>
      </c>
      <c r="F147" s="3" t="n">
        <v>4</v>
      </c>
      <c r="G147" s="3" t="n">
        <v>261</v>
      </c>
      <c r="H147" s="4">
        <f>G147/E147</f>
        <v/>
      </c>
      <c r="I147" s="3" t="n">
        <v>1.9</v>
      </c>
      <c r="J147" s="4">
        <f>(F147-Assumptions!$B$13)/(Assumptions!$C$13-Assumptions!$B$13)</f>
        <v/>
      </c>
      <c r="K147" s="4">
        <f>(H147-Assumptions!$B$14)/(Assumptions!$C$14-Assumptions!$B$14)</f>
        <v/>
      </c>
      <c r="L147" s="4">
        <f>(I147-Assumptions!$B$15)/(Assumptions!$C$15-Assumptions!$B$15)</f>
        <v/>
      </c>
      <c r="M147" s="4">
        <f>0.4*J147+0.4*K147+0.2*L147</f>
        <v/>
      </c>
    </row>
    <row r="148">
      <c r="A148" s="3" t="inlineStr">
        <is>
          <t>Normal</t>
        </is>
      </c>
      <c r="B148" s="3" t="inlineStr">
        <is>
          <t>DEL_GZ</t>
        </is>
      </c>
      <c r="C148" s="3" t="inlineStr">
        <is>
          <t>SIM-00222</t>
        </is>
      </c>
      <c r="D148" s="3" t="inlineStr">
        <is>
          <t>RO-03801</t>
        </is>
      </c>
      <c r="E148" s="3" t="n">
        <v>6</v>
      </c>
      <c r="F148" s="3" t="n">
        <v>4</v>
      </c>
      <c r="G148" s="3" t="n">
        <v>261</v>
      </c>
      <c r="H148" s="4">
        <f>G148/E148</f>
        <v/>
      </c>
      <c r="I148" s="3" t="n">
        <v>1.9</v>
      </c>
      <c r="J148" s="4">
        <f>(F148-Assumptions!$B$13)/(Assumptions!$C$13-Assumptions!$B$13)</f>
        <v/>
      </c>
      <c r="K148" s="4">
        <f>(H148-Assumptions!$B$14)/(Assumptions!$C$14-Assumptions!$B$14)</f>
        <v/>
      </c>
      <c r="L148" s="4">
        <f>(I148-Assumptions!$B$15)/(Assumptions!$C$15-Assumptions!$B$15)</f>
        <v/>
      </c>
      <c r="M148" s="4">
        <f>0.4*J148+0.4*K148+0.2*L148</f>
        <v/>
      </c>
    </row>
    <row r="149">
      <c r="A149" s="3" t="inlineStr">
        <is>
          <t>Normal</t>
        </is>
      </c>
      <c r="B149" s="3" t="inlineStr">
        <is>
          <t>DEL_GX</t>
        </is>
      </c>
      <c r="C149" s="3" t="inlineStr">
        <is>
          <t>SIM-00222</t>
        </is>
      </c>
      <c r="D149" s="3" t="inlineStr">
        <is>
          <t>RO-03801</t>
        </is>
      </c>
      <c r="E149" s="3" t="n">
        <v>29.5</v>
      </c>
      <c r="F149" s="3" t="n">
        <v>4</v>
      </c>
      <c r="G149" s="3" t="n">
        <v>261</v>
      </c>
      <c r="H149" s="4">
        <f>G149/E149</f>
        <v/>
      </c>
      <c r="I149" s="3" t="n">
        <v>1.9</v>
      </c>
      <c r="J149" s="4">
        <f>(F149-Assumptions!$B$13)/(Assumptions!$C$13-Assumptions!$B$13)</f>
        <v/>
      </c>
      <c r="K149" s="4">
        <f>(H149-Assumptions!$B$14)/(Assumptions!$C$14-Assumptions!$B$14)</f>
        <v/>
      </c>
      <c r="L149" s="4">
        <f>(I149-Assumptions!$B$15)/(Assumptions!$C$15-Assumptions!$B$15)</f>
        <v/>
      </c>
      <c r="M149" s="4">
        <f>0.4*J149+0.4*K149+0.2*L149</f>
        <v/>
      </c>
    </row>
    <row r="150">
      <c r="A150" s="3" t="inlineStr">
        <is>
          <t>Normal</t>
        </is>
      </c>
      <c r="B150" s="3" t="inlineStr">
        <is>
          <t>DEL_GV</t>
        </is>
      </c>
      <c r="C150" s="3" t="inlineStr">
        <is>
          <t>SIM-00222</t>
        </is>
      </c>
      <c r="D150" s="3" t="inlineStr">
        <is>
          <t>RO-03801</t>
        </is>
      </c>
      <c r="E150" s="3" t="n">
        <v>411</v>
      </c>
      <c r="F150" s="3" t="n">
        <v>4</v>
      </c>
      <c r="G150" s="3" t="n">
        <v>261</v>
      </c>
      <c r="H150" s="4">
        <f>G150/E150</f>
        <v/>
      </c>
      <c r="I150" s="3" t="n">
        <v>1.9</v>
      </c>
      <c r="J150" s="4">
        <f>(F150-Assumptions!$B$13)/(Assumptions!$C$13-Assumptions!$B$13)</f>
        <v/>
      </c>
      <c r="K150" s="4">
        <f>(H150-Assumptions!$B$14)/(Assumptions!$C$14-Assumptions!$B$14)</f>
        <v/>
      </c>
      <c r="L150" s="4">
        <f>(I150-Assumptions!$B$15)/(Assumptions!$C$15-Assumptions!$B$15)</f>
        <v/>
      </c>
      <c r="M150" s="4">
        <f>0.4*J150+0.4*K150+0.2*L150</f>
        <v/>
      </c>
    </row>
    <row r="151">
      <c r="A151" s="3" t="inlineStr">
        <is>
          <t>Normal</t>
        </is>
      </c>
      <c r="B151" s="3" t="inlineStr">
        <is>
          <t>DEL_BS</t>
        </is>
      </c>
      <c r="C151" s="3" t="inlineStr">
        <is>
          <t>SIM-00223</t>
        </is>
      </c>
      <c r="D151" s="3" t="inlineStr">
        <is>
          <t>RO-03802</t>
        </is>
      </c>
      <c r="E151" s="3" t="n">
        <v>177</v>
      </c>
      <c r="F151" s="3" t="n">
        <v>9</v>
      </c>
      <c r="G151" s="3" t="n">
        <v>193</v>
      </c>
      <c r="H151" s="4">
        <f>G151/E151</f>
        <v/>
      </c>
      <c r="I151" s="3" t="n">
        <v>3</v>
      </c>
      <c r="J151" s="4">
        <f>(F151-Assumptions!$B$13)/(Assumptions!$C$13-Assumptions!$B$13)</f>
        <v/>
      </c>
      <c r="K151" s="4">
        <f>(H151-Assumptions!$B$14)/(Assumptions!$C$14-Assumptions!$B$14)</f>
        <v/>
      </c>
      <c r="L151" s="4">
        <f>(I151-Assumptions!$B$15)/(Assumptions!$C$15-Assumptions!$B$15)</f>
        <v/>
      </c>
      <c r="M151" s="4">
        <f>0.4*J151+0.4*K151+0.2*L151</f>
        <v/>
      </c>
    </row>
    <row r="152">
      <c r="A152" s="3" t="inlineStr">
        <is>
          <t>Normal</t>
        </is>
      </c>
      <c r="B152" s="3" t="inlineStr">
        <is>
          <t>DEL_X</t>
        </is>
      </c>
      <c r="C152" s="3" t="inlineStr">
        <is>
          <t>SIM-00230</t>
        </is>
      </c>
      <c r="D152" s="3" t="inlineStr">
        <is>
          <t>RO-03448</t>
        </is>
      </c>
      <c r="E152" s="3" t="n">
        <v>6.5</v>
      </c>
      <c r="F152" s="3" t="n">
        <v>5</v>
      </c>
      <c r="G152" s="3" t="n">
        <v>292</v>
      </c>
      <c r="H152" s="4">
        <f>G152/E152</f>
        <v/>
      </c>
      <c r="I152" s="3" t="n">
        <v>2.3</v>
      </c>
      <c r="J152" s="4">
        <f>(F152-Assumptions!$B$13)/(Assumptions!$C$13-Assumptions!$B$13)</f>
        <v/>
      </c>
      <c r="K152" s="4">
        <f>(H152-Assumptions!$B$14)/(Assumptions!$C$14-Assumptions!$B$14)</f>
        <v/>
      </c>
      <c r="L152" s="4">
        <f>(I152-Assumptions!$B$15)/(Assumptions!$C$15-Assumptions!$B$15)</f>
        <v/>
      </c>
      <c r="M152" s="4">
        <f>0.4*J152+0.4*K152+0.2*L152</f>
        <v/>
      </c>
    </row>
    <row r="153">
      <c r="A153" s="3" t="inlineStr">
        <is>
          <t>Normal</t>
        </is>
      </c>
      <c r="B153" s="3" t="inlineStr">
        <is>
          <t>DEL_CL</t>
        </is>
      </c>
      <c r="C153" s="3" t="inlineStr">
        <is>
          <t>SIM-00230</t>
        </is>
      </c>
      <c r="D153" s="3" t="inlineStr">
        <is>
          <t>RO-03448</t>
        </is>
      </c>
      <c r="E153" s="3" t="n">
        <v>27.5</v>
      </c>
      <c r="F153" s="3" t="n">
        <v>5</v>
      </c>
      <c r="G153" s="3" t="n">
        <v>292</v>
      </c>
      <c r="H153" s="4">
        <f>G153/E153</f>
        <v/>
      </c>
      <c r="I153" s="3" t="n">
        <v>2.3</v>
      </c>
      <c r="J153" s="4">
        <f>(F153-Assumptions!$B$13)/(Assumptions!$C$13-Assumptions!$B$13)</f>
        <v/>
      </c>
      <c r="K153" s="4">
        <f>(H153-Assumptions!$B$14)/(Assumptions!$C$14-Assumptions!$B$14)</f>
        <v/>
      </c>
      <c r="L153" s="4">
        <f>(I153-Assumptions!$B$15)/(Assumptions!$C$15-Assumptions!$B$15)</f>
        <v/>
      </c>
      <c r="M153" s="4">
        <f>0.4*J153+0.4*K153+0.2*L153</f>
        <v/>
      </c>
    </row>
    <row r="154">
      <c r="A154" s="3" t="inlineStr">
        <is>
          <t>Normal</t>
        </is>
      </c>
      <c r="B154" s="3" t="inlineStr">
        <is>
          <t>DEL_DM</t>
        </is>
      </c>
      <c r="C154" s="3" t="inlineStr">
        <is>
          <t>SIM-00230</t>
        </is>
      </c>
      <c r="D154" s="3" t="inlineStr">
        <is>
          <t>RO-03448</t>
        </is>
      </c>
      <c r="E154" s="3" t="n">
        <v>8</v>
      </c>
      <c r="F154" s="3" t="n">
        <v>5</v>
      </c>
      <c r="G154" s="3" t="n">
        <v>292</v>
      </c>
      <c r="H154" s="4">
        <f>G154/E154</f>
        <v/>
      </c>
      <c r="I154" s="3" t="n">
        <v>2.3</v>
      </c>
      <c r="J154" s="4">
        <f>(F154-Assumptions!$B$13)/(Assumptions!$C$13-Assumptions!$B$13)</f>
        <v/>
      </c>
      <c r="K154" s="4">
        <f>(H154-Assumptions!$B$14)/(Assumptions!$C$14-Assumptions!$B$14)</f>
        <v/>
      </c>
      <c r="L154" s="4">
        <f>(I154-Assumptions!$B$15)/(Assumptions!$C$15-Assumptions!$B$15)</f>
        <v/>
      </c>
      <c r="M154" s="4">
        <f>0.4*J154+0.4*K154+0.2*L154</f>
        <v/>
      </c>
    </row>
    <row r="155">
      <c r="A155" s="3" t="inlineStr">
        <is>
          <t>Normal</t>
        </is>
      </c>
      <c r="B155" s="3" t="inlineStr">
        <is>
          <t>DEL_HQ</t>
        </is>
      </c>
      <c r="C155" s="3" t="inlineStr">
        <is>
          <t>SIM-00230</t>
        </is>
      </c>
      <c r="D155" s="3" t="inlineStr">
        <is>
          <t>RO-03448</t>
        </is>
      </c>
      <c r="E155" s="3" t="n">
        <v>5</v>
      </c>
      <c r="F155" s="3" t="n">
        <v>5</v>
      </c>
      <c r="G155" s="3" t="n">
        <v>292</v>
      </c>
      <c r="H155" s="4">
        <f>G155/E155</f>
        <v/>
      </c>
      <c r="I155" s="3" t="n">
        <v>2.3</v>
      </c>
      <c r="J155" s="4">
        <f>(F155-Assumptions!$B$13)/(Assumptions!$C$13-Assumptions!$B$13)</f>
        <v/>
      </c>
      <c r="K155" s="4">
        <f>(H155-Assumptions!$B$14)/(Assumptions!$C$14-Assumptions!$B$14)</f>
        <v/>
      </c>
      <c r="L155" s="4">
        <f>(I155-Assumptions!$B$15)/(Assumptions!$C$15-Assumptions!$B$15)</f>
        <v/>
      </c>
      <c r="M155" s="4">
        <f>0.4*J155+0.4*K155+0.2*L155</f>
        <v/>
      </c>
    </row>
    <row r="156">
      <c r="A156" s="3" t="inlineStr">
        <is>
          <t>Normal</t>
        </is>
      </c>
      <c r="B156" s="3" t="inlineStr">
        <is>
          <t>DEL_GT</t>
        </is>
      </c>
      <c r="C156" s="3" t="inlineStr">
        <is>
          <t>SIM-00230</t>
        </is>
      </c>
      <c r="D156" s="3" t="inlineStr">
        <is>
          <t>RO-03448</t>
        </is>
      </c>
      <c r="E156" s="3" t="n">
        <v>1</v>
      </c>
      <c r="F156" s="3" t="n">
        <v>5</v>
      </c>
      <c r="G156" s="3" t="n">
        <v>292</v>
      </c>
      <c r="H156" s="4">
        <f>G156/E156</f>
        <v/>
      </c>
      <c r="I156" s="3" t="n">
        <v>2.3</v>
      </c>
      <c r="J156" s="4">
        <f>(F156-Assumptions!$B$13)/(Assumptions!$C$13-Assumptions!$B$13)</f>
        <v/>
      </c>
      <c r="K156" s="4">
        <f>(H156-Assumptions!$B$14)/(Assumptions!$C$14-Assumptions!$B$14)</f>
        <v/>
      </c>
      <c r="L156" s="4">
        <f>(I156-Assumptions!$B$15)/(Assumptions!$C$15-Assumptions!$B$15)</f>
        <v/>
      </c>
      <c r="M156" s="4">
        <f>0.4*J156+0.4*K156+0.2*L156</f>
        <v/>
      </c>
    </row>
    <row r="157">
      <c r="A157" s="3" t="inlineStr">
        <is>
          <t>Normal</t>
        </is>
      </c>
      <c r="B157" s="3" t="inlineStr">
        <is>
          <t>DEL_AO</t>
        </is>
      </c>
      <c r="C157" s="3" t="inlineStr">
        <is>
          <t>SIM-00232</t>
        </is>
      </c>
      <c r="D157" s="3" t="inlineStr">
        <is>
          <t>RO-03811</t>
        </is>
      </c>
      <c r="E157" s="3" t="n">
        <v>3.5</v>
      </c>
      <c r="F157" s="3" t="n">
        <v>1</v>
      </c>
      <c r="G157" s="3" t="n">
        <v>693</v>
      </c>
      <c r="H157" s="4">
        <f>G157/E157</f>
        <v/>
      </c>
      <c r="I157" s="3" t="n">
        <v>0.8</v>
      </c>
      <c r="J157" s="4">
        <f>(F157-Assumptions!$B$13)/(Assumptions!$C$13-Assumptions!$B$13)</f>
        <v/>
      </c>
      <c r="K157" s="4">
        <f>(H157-Assumptions!$B$14)/(Assumptions!$C$14-Assumptions!$B$14)</f>
        <v/>
      </c>
      <c r="L157" s="4">
        <f>(I157-Assumptions!$B$15)/(Assumptions!$C$15-Assumptions!$B$15)</f>
        <v/>
      </c>
      <c r="M157" s="4">
        <f>0.4*J157+0.4*K157+0.2*L157</f>
        <v/>
      </c>
    </row>
    <row r="158">
      <c r="A158" s="3" t="inlineStr">
        <is>
          <t>Normal</t>
        </is>
      </c>
      <c r="B158" s="3" t="inlineStr">
        <is>
          <t>DEL_EQ</t>
        </is>
      </c>
      <c r="C158" s="3" t="inlineStr">
        <is>
          <t>SIM-00232</t>
        </is>
      </c>
      <c r="D158" s="3" t="inlineStr">
        <is>
          <t>RO-03811</t>
        </is>
      </c>
      <c r="E158" s="3" t="n">
        <v>40.5</v>
      </c>
      <c r="F158" s="3" t="n">
        <v>1</v>
      </c>
      <c r="G158" s="3" t="n">
        <v>693</v>
      </c>
      <c r="H158" s="4">
        <f>G158/E158</f>
        <v/>
      </c>
      <c r="I158" s="3" t="n">
        <v>0.8</v>
      </c>
      <c r="J158" s="4">
        <f>(F158-Assumptions!$B$13)/(Assumptions!$C$13-Assumptions!$B$13)</f>
        <v/>
      </c>
      <c r="K158" s="4">
        <f>(H158-Assumptions!$B$14)/(Assumptions!$C$14-Assumptions!$B$14)</f>
        <v/>
      </c>
      <c r="L158" s="4">
        <f>(I158-Assumptions!$B$15)/(Assumptions!$C$15-Assumptions!$B$15)</f>
        <v/>
      </c>
      <c r="M158" s="4">
        <f>0.4*J158+0.4*K158+0.2*L158</f>
        <v/>
      </c>
    </row>
    <row r="159">
      <c r="A159" s="3" t="inlineStr">
        <is>
          <t>Normal</t>
        </is>
      </c>
      <c r="B159" s="3" t="inlineStr">
        <is>
          <t>DEL_HD</t>
        </is>
      </c>
      <c r="C159" s="3" t="inlineStr">
        <is>
          <t>SIM-00232</t>
        </is>
      </c>
      <c r="D159" s="3" t="inlineStr">
        <is>
          <t>RO-03811</t>
        </is>
      </c>
      <c r="E159" s="3" t="n">
        <v>20.5</v>
      </c>
      <c r="F159" s="3" t="n">
        <v>1</v>
      </c>
      <c r="G159" s="3" t="n">
        <v>693</v>
      </c>
      <c r="H159" s="4">
        <f>G159/E159</f>
        <v/>
      </c>
      <c r="I159" s="3" t="n">
        <v>0.8</v>
      </c>
      <c r="J159" s="4">
        <f>(F159-Assumptions!$B$13)/(Assumptions!$C$13-Assumptions!$B$13)</f>
        <v/>
      </c>
      <c r="K159" s="4">
        <f>(H159-Assumptions!$B$14)/(Assumptions!$C$14-Assumptions!$B$14)</f>
        <v/>
      </c>
      <c r="L159" s="4">
        <f>(I159-Assumptions!$B$15)/(Assumptions!$C$15-Assumptions!$B$15)</f>
        <v/>
      </c>
      <c r="M159" s="4">
        <f>0.4*J159+0.4*K159+0.2*L159</f>
        <v/>
      </c>
    </row>
    <row r="160">
      <c r="A160" s="3" t="inlineStr">
        <is>
          <t>Normal</t>
        </is>
      </c>
      <c r="B160" s="3" t="inlineStr">
        <is>
          <t>DEL_HH</t>
        </is>
      </c>
      <c r="C160" s="3" t="inlineStr">
        <is>
          <t>SIM-00232</t>
        </is>
      </c>
      <c r="D160" s="3" t="inlineStr">
        <is>
          <t>RO-03811</t>
        </is>
      </c>
      <c r="E160" s="3" t="n">
        <v>7</v>
      </c>
      <c r="F160" s="3" t="n">
        <v>1</v>
      </c>
      <c r="G160" s="3" t="n">
        <v>693</v>
      </c>
      <c r="H160" s="4">
        <f>G160/E160</f>
        <v/>
      </c>
      <c r="I160" s="3" t="n">
        <v>0.8</v>
      </c>
      <c r="J160" s="4">
        <f>(F160-Assumptions!$B$13)/(Assumptions!$C$13-Assumptions!$B$13)</f>
        <v/>
      </c>
      <c r="K160" s="4">
        <f>(H160-Assumptions!$B$14)/(Assumptions!$C$14-Assumptions!$B$14)</f>
        <v/>
      </c>
      <c r="L160" s="4">
        <f>(I160-Assumptions!$B$15)/(Assumptions!$C$15-Assumptions!$B$15)</f>
        <v/>
      </c>
      <c r="M160" s="4">
        <f>0.4*J160+0.4*K160+0.2*L160</f>
        <v/>
      </c>
    </row>
    <row r="161">
      <c r="A161" s="3" t="inlineStr">
        <is>
          <t>Normal</t>
        </is>
      </c>
      <c r="B161" s="3" t="inlineStr">
        <is>
          <t>DEL_AJ</t>
        </is>
      </c>
      <c r="C161" s="3" t="inlineStr">
        <is>
          <t>SIM-00233</t>
        </is>
      </c>
      <c r="D161" s="3" t="inlineStr">
        <is>
          <t>RO-03484</t>
        </is>
      </c>
      <c r="E161" s="3" t="n">
        <v>165.5</v>
      </c>
      <c r="F161" s="3" t="n">
        <v>6</v>
      </c>
      <c r="G161" s="3" t="n">
        <v>292</v>
      </c>
      <c r="H161" s="4">
        <f>G161/E161</f>
        <v/>
      </c>
      <c r="I161" s="3" t="n">
        <v>2.3</v>
      </c>
      <c r="J161" s="4">
        <f>(F161-Assumptions!$B$13)/(Assumptions!$C$13-Assumptions!$B$13)</f>
        <v/>
      </c>
      <c r="K161" s="4">
        <f>(H161-Assumptions!$B$14)/(Assumptions!$C$14-Assumptions!$B$14)</f>
        <v/>
      </c>
      <c r="L161" s="4">
        <f>(I161-Assumptions!$B$15)/(Assumptions!$C$15-Assumptions!$B$15)</f>
        <v/>
      </c>
      <c r="M161" s="4">
        <f>0.4*J161+0.4*K161+0.2*L161</f>
        <v/>
      </c>
    </row>
    <row r="162">
      <c r="A162" s="3" t="inlineStr">
        <is>
          <t>Normal</t>
        </is>
      </c>
      <c r="B162" s="3" t="inlineStr">
        <is>
          <t>DEL_AX</t>
        </is>
      </c>
      <c r="C162" s="3" t="inlineStr">
        <is>
          <t>SIM-00233</t>
        </is>
      </c>
      <c r="D162" s="3" t="inlineStr">
        <is>
          <t>RO-03484</t>
        </is>
      </c>
      <c r="E162" s="3" t="n">
        <v>762</v>
      </c>
      <c r="F162" s="3" t="n">
        <v>6</v>
      </c>
      <c r="G162" s="3" t="n">
        <v>292</v>
      </c>
      <c r="H162" s="4">
        <f>G162/E162</f>
        <v/>
      </c>
      <c r="I162" s="3" t="n">
        <v>2.3</v>
      </c>
      <c r="J162" s="4">
        <f>(F162-Assumptions!$B$13)/(Assumptions!$C$13-Assumptions!$B$13)</f>
        <v/>
      </c>
      <c r="K162" s="4">
        <f>(H162-Assumptions!$B$14)/(Assumptions!$C$14-Assumptions!$B$14)</f>
        <v/>
      </c>
      <c r="L162" s="4">
        <f>(I162-Assumptions!$B$15)/(Assumptions!$C$15-Assumptions!$B$15)</f>
        <v/>
      </c>
      <c r="M162" s="4">
        <f>0.4*J162+0.4*K162+0.2*L162</f>
        <v/>
      </c>
    </row>
    <row r="163">
      <c r="A163" s="3" t="inlineStr">
        <is>
          <t>Normal</t>
        </is>
      </c>
      <c r="B163" s="3" t="inlineStr">
        <is>
          <t>DEL_CW</t>
        </is>
      </c>
      <c r="C163" s="3" t="inlineStr">
        <is>
          <t>SIM-00233</t>
        </is>
      </c>
      <c r="D163" s="3" t="inlineStr">
        <is>
          <t>RO-03484</t>
        </is>
      </c>
      <c r="E163" s="3" t="n">
        <v>152</v>
      </c>
      <c r="F163" s="3" t="n">
        <v>6</v>
      </c>
      <c r="G163" s="3" t="n">
        <v>292</v>
      </c>
      <c r="H163" s="4">
        <f>G163/E163</f>
        <v/>
      </c>
      <c r="I163" s="3" t="n">
        <v>2.3</v>
      </c>
      <c r="J163" s="4">
        <f>(F163-Assumptions!$B$13)/(Assumptions!$C$13-Assumptions!$B$13)</f>
        <v/>
      </c>
      <c r="K163" s="4">
        <f>(H163-Assumptions!$B$14)/(Assumptions!$C$14-Assumptions!$B$14)</f>
        <v/>
      </c>
      <c r="L163" s="4">
        <f>(I163-Assumptions!$B$15)/(Assumptions!$C$15-Assumptions!$B$15)</f>
        <v/>
      </c>
      <c r="M163" s="4">
        <f>0.4*J163+0.4*K163+0.2*L163</f>
        <v/>
      </c>
    </row>
    <row r="164">
      <c r="A164" s="3" t="inlineStr">
        <is>
          <t>Normal</t>
        </is>
      </c>
      <c r="B164" s="3" t="inlineStr">
        <is>
          <t>DEL_BU</t>
        </is>
      </c>
      <c r="C164" s="3" t="inlineStr">
        <is>
          <t>SIM-00237</t>
        </is>
      </c>
      <c r="D164" s="3" t="inlineStr">
        <is>
          <t>RO-01390</t>
        </is>
      </c>
      <c r="E164" s="3" t="n">
        <v>32</v>
      </c>
      <c r="F164" s="3" t="n">
        <v>1</v>
      </c>
      <c r="G164" s="3" t="n">
        <v>748</v>
      </c>
      <c r="H164" s="4">
        <f>G164/E164</f>
        <v/>
      </c>
      <c r="I164" s="3" t="n">
        <v>1.5</v>
      </c>
      <c r="J164" s="4">
        <f>(F164-Assumptions!$B$13)/(Assumptions!$C$13-Assumptions!$B$13)</f>
        <v/>
      </c>
      <c r="K164" s="4">
        <f>(H164-Assumptions!$B$14)/(Assumptions!$C$14-Assumptions!$B$14)</f>
        <v/>
      </c>
      <c r="L164" s="4">
        <f>(I164-Assumptions!$B$15)/(Assumptions!$C$15-Assumptions!$B$15)</f>
        <v/>
      </c>
      <c r="M164" s="4">
        <f>0.4*J164+0.4*K164+0.2*L164</f>
        <v/>
      </c>
    </row>
    <row r="165">
      <c r="A165" s="3" t="inlineStr">
        <is>
          <t>Normal</t>
        </is>
      </c>
      <c r="B165" s="3" t="inlineStr">
        <is>
          <t>DEL_EN</t>
        </is>
      </c>
      <c r="C165" s="3" t="inlineStr">
        <is>
          <t>SIM-00238</t>
        </is>
      </c>
      <c r="D165" s="3" t="inlineStr">
        <is>
          <t>RO-03205</t>
        </is>
      </c>
      <c r="E165" s="3" t="n">
        <v>839.5</v>
      </c>
      <c r="F165" s="3" t="n">
        <v>2</v>
      </c>
      <c r="G165" s="3" t="n">
        <v>552</v>
      </c>
      <c r="H165" s="4">
        <f>G165/E165</f>
        <v/>
      </c>
      <c r="I165" s="3" t="n">
        <v>1.5</v>
      </c>
      <c r="J165" s="4">
        <f>(F165-Assumptions!$B$13)/(Assumptions!$C$13-Assumptions!$B$13)</f>
        <v/>
      </c>
      <c r="K165" s="4">
        <f>(H165-Assumptions!$B$14)/(Assumptions!$C$14-Assumptions!$B$14)</f>
        <v/>
      </c>
      <c r="L165" s="4">
        <f>(I165-Assumptions!$B$15)/(Assumptions!$C$15-Assumptions!$B$15)</f>
        <v/>
      </c>
      <c r="M165" s="4">
        <f>0.4*J165+0.4*K165+0.2*L165</f>
        <v/>
      </c>
    </row>
    <row r="166">
      <c r="A166" s="3" t="inlineStr">
        <is>
          <t>Normal</t>
        </is>
      </c>
      <c r="B166" s="3" t="inlineStr">
        <is>
          <t>DEL_DY</t>
        </is>
      </c>
      <c r="C166" s="3" t="inlineStr">
        <is>
          <t>SIM-00240</t>
        </is>
      </c>
      <c r="D166" s="3" t="inlineStr">
        <is>
          <t>RO-03358</t>
        </is>
      </c>
      <c r="E166" s="3" t="n">
        <v>78</v>
      </c>
      <c r="F166" s="3" t="n">
        <v>2</v>
      </c>
      <c r="G166" s="3" t="n">
        <v>712</v>
      </c>
      <c r="H166" s="4">
        <f>G166/E166</f>
        <v/>
      </c>
      <c r="I166" s="3" t="n">
        <v>1.5</v>
      </c>
      <c r="J166" s="4">
        <f>(F166-Assumptions!$B$13)/(Assumptions!$C$13-Assumptions!$B$13)</f>
        <v/>
      </c>
      <c r="K166" s="4">
        <f>(H166-Assumptions!$B$14)/(Assumptions!$C$14-Assumptions!$B$14)</f>
        <v/>
      </c>
      <c r="L166" s="4">
        <f>(I166-Assumptions!$B$15)/(Assumptions!$C$15-Assumptions!$B$15)</f>
        <v/>
      </c>
      <c r="M166" s="4">
        <f>0.4*J166+0.4*K166+0.2*L166</f>
        <v/>
      </c>
    </row>
    <row r="167">
      <c r="A167" s="3" t="inlineStr">
        <is>
          <t>PrimaryHubDown</t>
        </is>
      </c>
      <c r="B167" s="3" t="inlineStr">
        <is>
          <t>DEL_CX</t>
        </is>
      </c>
      <c r="C167" s="3" t="inlineStr">
        <is>
          <t>SIM-00001</t>
        </is>
      </c>
      <c r="D167" s="3" t="inlineStr">
        <is>
          <t>RO-00002</t>
        </is>
      </c>
      <c r="E167" s="3" t="n">
        <v>4</v>
      </c>
      <c r="F167" s="3" t="n">
        <v>6</v>
      </c>
      <c r="G167" s="3" t="n">
        <v>394</v>
      </c>
      <c r="H167" s="4">
        <f>G167/E167</f>
        <v/>
      </c>
      <c r="I167" s="3" t="n">
        <v>3.2</v>
      </c>
      <c r="J167" s="4">
        <f>(F167-Assumptions!$B$13)/(Assumptions!$C$13-Assumptions!$B$13)</f>
        <v/>
      </c>
      <c r="K167" s="4">
        <f>(H167-Assumptions!$B$14)/(Assumptions!$C$14-Assumptions!$B$14)</f>
        <v/>
      </c>
      <c r="L167" s="4">
        <f>(I167-Assumptions!$B$15)/(Assumptions!$C$15-Assumptions!$B$15)</f>
        <v/>
      </c>
      <c r="M167" s="4">
        <f>0.4*J167+0.4*K167+0.2*L167</f>
        <v/>
      </c>
    </row>
    <row r="168">
      <c r="A168" s="3" t="inlineStr">
        <is>
          <t>PrimaryHubDown</t>
        </is>
      </c>
      <c r="B168" s="3" t="inlineStr">
        <is>
          <t>DEL_GH</t>
        </is>
      </c>
      <c r="C168" s="3" t="inlineStr">
        <is>
          <t>SIM-00001</t>
        </is>
      </c>
      <c r="D168" s="3" t="inlineStr">
        <is>
          <t>RO-00002</t>
        </is>
      </c>
      <c r="E168" s="3" t="n">
        <v>1</v>
      </c>
      <c r="F168" s="3" t="n">
        <v>6</v>
      </c>
      <c r="G168" s="3" t="n">
        <v>394</v>
      </c>
      <c r="H168" s="4">
        <f>G168/E168</f>
        <v/>
      </c>
      <c r="I168" s="3" t="n">
        <v>3.2</v>
      </c>
      <c r="J168" s="4">
        <f>(F168-Assumptions!$B$13)/(Assumptions!$C$13-Assumptions!$B$13)</f>
        <v/>
      </c>
      <c r="K168" s="4">
        <f>(H168-Assumptions!$B$14)/(Assumptions!$C$14-Assumptions!$B$14)</f>
        <v/>
      </c>
      <c r="L168" s="4">
        <f>(I168-Assumptions!$B$15)/(Assumptions!$C$15-Assumptions!$B$15)</f>
        <v/>
      </c>
      <c r="M168" s="4">
        <f>0.4*J168+0.4*K168+0.2*L168</f>
        <v/>
      </c>
    </row>
    <row r="169">
      <c r="A169" s="3" t="inlineStr">
        <is>
          <t>PrimaryHubDown</t>
        </is>
      </c>
      <c r="B169" s="3" t="inlineStr">
        <is>
          <t>DEL_CO</t>
        </is>
      </c>
      <c r="C169" s="3" t="inlineStr">
        <is>
          <t>SIM-00002</t>
        </is>
      </c>
      <c r="D169" s="3" t="inlineStr">
        <is>
          <t>RO-00017</t>
        </is>
      </c>
      <c r="E169" s="3" t="n">
        <v>1063.5</v>
      </c>
      <c r="F169" s="3" t="n">
        <v>11</v>
      </c>
      <c r="G169" s="3" t="n">
        <v>386</v>
      </c>
      <c r="H169" s="4">
        <f>G169/E169</f>
        <v/>
      </c>
      <c r="I169" s="3" t="n">
        <v>4.7</v>
      </c>
      <c r="J169" s="4">
        <f>(F169-Assumptions!$B$13)/(Assumptions!$C$13-Assumptions!$B$13)</f>
        <v/>
      </c>
      <c r="K169" s="4">
        <f>(H169-Assumptions!$B$14)/(Assumptions!$C$14-Assumptions!$B$14)</f>
        <v/>
      </c>
      <c r="L169" s="4">
        <f>(I169-Assumptions!$B$15)/(Assumptions!$C$15-Assumptions!$B$15)</f>
        <v/>
      </c>
      <c r="M169" s="4">
        <f>0.4*J169+0.4*K169+0.2*L169</f>
        <v/>
      </c>
    </row>
    <row r="170">
      <c r="A170" s="3" t="inlineStr">
        <is>
          <t>PrimaryHubDown</t>
        </is>
      </c>
      <c r="B170" s="3" t="inlineStr">
        <is>
          <t>DEL_GU</t>
        </is>
      </c>
      <c r="C170" s="3" t="inlineStr">
        <is>
          <t>SIM-00002</t>
        </is>
      </c>
      <c r="D170" s="3" t="inlineStr">
        <is>
          <t>RO-00017</t>
        </is>
      </c>
      <c r="E170" s="3" t="n">
        <v>36</v>
      </c>
      <c r="F170" s="3" t="n">
        <v>11</v>
      </c>
      <c r="G170" s="3" t="n">
        <v>386</v>
      </c>
      <c r="H170" s="4">
        <f>G170/E170</f>
        <v/>
      </c>
      <c r="I170" s="3" t="n">
        <v>4.7</v>
      </c>
      <c r="J170" s="4">
        <f>(F170-Assumptions!$B$13)/(Assumptions!$C$13-Assumptions!$B$13)</f>
        <v/>
      </c>
      <c r="K170" s="4">
        <f>(H170-Assumptions!$B$14)/(Assumptions!$C$14-Assumptions!$B$14)</f>
        <v/>
      </c>
      <c r="L170" s="4">
        <f>(I170-Assumptions!$B$15)/(Assumptions!$C$15-Assumptions!$B$15)</f>
        <v/>
      </c>
      <c r="M170" s="4">
        <f>0.4*J170+0.4*K170+0.2*L170</f>
        <v/>
      </c>
    </row>
    <row r="171">
      <c r="A171" s="3" t="inlineStr">
        <is>
          <t>PrimaryHubDown</t>
        </is>
      </c>
      <c r="B171" s="3" t="inlineStr">
        <is>
          <t>DEL_DI</t>
        </is>
      </c>
      <c r="C171" s="3" t="inlineStr">
        <is>
          <t>SIM-00003</t>
        </is>
      </c>
      <c r="D171" s="3" t="inlineStr">
        <is>
          <t>RO-00515</t>
        </is>
      </c>
      <c r="E171" s="3" t="n">
        <v>2113.5</v>
      </c>
      <c r="F171" s="3" t="n">
        <v>4</v>
      </c>
      <c r="G171" s="3" t="n">
        <v>654</v>
      </c>
      <c r="H171" s="4">
        <f>G171/E171</f>
        <v/>
      </c>
      <c r="I171" s="3" t="n">
        <v>3.3</v>
      </c>
      <c r="J171" s="4">
        <f>(F171-Assumptions!$B$13)/(Assumptions!$C$13-Assumptions!$B$13)</f>
        <v/>
      </c>
      <c r="K171" s="4">
        <f>(H171-Assumptions!$B$14)/(Assumptions!$C$14-Assumptions!$B$14)</f>
        <v/>
      </c>
      <c r="L171" s="4">
        <f>(I171-Assumptions!$B$15)/(Assumptions!$C$15-Assumptions!$B$15)</f>
        <v/>
      </c>
      <c r="M171" s="4">
        <f>0.4*J171+0.4*K171+0.2*L171</f>
        <v/>
      </c>
    </row>
    <row r="172">
      <c r="A172" s="3" t="inlineStr">
        <is>
          <t>PrimaryHubDown</t>
        </is>
      </c>
      <c r="B172" s="3" t="inlineStr">
        <is>
          <t>DEL_GW</t>
        </is>
      </c>
      <c r="C172" s="3" t="inlineStr">
        <is>
          <t>SIM-00003</t>
        </is>
      </c>
      <c r="D172" s="3" t="inlineStr">
        <is>
          <t>RO-00515</t>
        </is>
      </c>
      <c r="E172" s="3" t="n">
        <v>4.5</v>
      </c>
      <c r="F172" s="3" t="n">
        <v>4</v>
      </c>
      <c r="G172" s="3" t="n">
        <v>654</v>
      </c>
      <c r="H172" s="4">
        <f>G172/E172</f>
        <v/>
      </c>
      <c r="I172" s="3" t="n">
        <v>3.3</v>
      </c>
      <c r="J172" s="4">
        <f>(F172-Assumptions!$B$13)/(Assumptions!$C$13-Assumptions!$B$13)</f>
        <v/>
      </c>
      <c r="K172" s="4">
        <f>(H172-Assumptions!$B$14)/(Assumptions!$C$14-Assumptions!$B$14)</f>
        <v/>
      </c>
      <c r="L172" s="4">
        <f>(I172-Assumptions!$B$15)/(Assumptions!$C$15-Assumptions!$B$15)</f>
        <v/>
      </c>
      <c r="M172" s="4">
        <f>0.4*J172+0.4*K172+0.2*L172</f>
        <v/>
      </c>
    </row>
    <row r="173">
      <c r="A173" s="3" t="inlineStr">
        <is>
          <t>PrimaryHubDown</t>
        </is>
      </c>
      <c r="B173" s="3" t="inlineStr">
        <is>
          <t>DEL_F</t>
        </is>
      </c>
      <c r="C173" s="3" t="inlineStr">
        <is>
          <t>SIM-00004</t>
        </is>
      </c>
      <c r="D173" s="3" t="inlineStr">
        <is>
          <t>RO-00050</t>
        </is>
      </c>
      <c r="E173" s="3" t="n">
        <v>208</v>
      </c>
      <c r="F173" s="3" t="n">
        <v>6</v>
      </c>
      <c r="G173" s="3" t="n">
        <v>430</v>
      </c>
      <c r="H173" s="4">
        <f>G173/E173</f>
        <v/>
      </c>
      <c r="I173" s="3" t="n">
        <v>3.2</v>
      </c>
      <c r="J173" s="4">
        <f>(F173-Assumptions!$B$13)/(Assumptions!$C$13-Assumptions!$B$13)</f>
        <v/>
      </c>
      <c r="K173" s="4">
        <f>(H173-Assumptions!$B$14)/(Assumptions!$C$14-Assumptions!$B$14)</f>
        <v/>
      </c>
      <c r="L173" s="4">
        <f>(I173-Assumptions!$B$15)/(Assumptions!$C$15-Assumptions!$B$15)</f>
        <v/>
      </c>
      <c r="M173" s="4">
        <f>0.4*J173+0.4*K173+0.2*L173</f>
        <v/>
      </c>
    </row>
    <row r="174">
      <c r="A174" s="3" t="inlineStr">
        <is>
          <t>PrimaryHubDown</t>
        </is>
      </c>
      <c r="B174" s="3" t="inlineStr">
        <is>
          <t>DEL_BK</t>
        </is>
      </c>
      <c r="C174" s="3" t="inlineStr">
        <is>
          <t>SIM-00004</t>
        </is>
      </c>
      <c r="D174" s="3" t="inlineStr">
        <is>
          <t>RO-00050</t>
        </is>
      </c>
      <c r="E174" s="3" t="n">
        <v>168.5</v>
      </c>
      <c r="F174" s="3" t="n">
        <v>6</v>
      </c>
      <c r="G174" s="3" t="n">
        <v>430</v>
      </c>
      <c r="H174" s="4">
        <f>G174/E174</f>
        <v/>
      </c>
      <c r="I174" s="3" t="n">
        <v>3.2</v>
      </c>
      <c r="J174" s="4">
        <f>(F174-Assumptions!$B$13)/(Assumptions!$C$13-Assumptions!$B$13)</f>
        <v/>
      </c>
      <c r="K174" s="4">
        <f>(H174-Assumptions!$B$14)/(Assumptions!$C$14-Assumptions!$B$14)</f>
        <v/>
      </c>
      <c r="L174" s="4">
        <f>(I174-Assumptions!$B$15)/(Assumptions!$C$15-Assumptions!$B$15)</f>
        <v/>
      </c>
      <c r="M174" s="4">
        <f>0.4*J174+0.4*K174+0.2*L174</f>
        <v/>
      </c>
    </row>
    <row r="175">
      <c r="A175" s="3" t="inlineStr">
        <is>
          <t>PrimaryHubDown</t>
        </is>
      </c>
      <c r="B175" s="3" t="inlineStr">
        <is>
          <t>DEL_ED</t>
        </is>
      </c>
      <c r="C175" s="3" t="inlineStr">
        <is>
          <t>SIM-00004</t>
        </is>
      </c>
      <c r="D175" s="3" t="inlineStr">
        <is>
          <t>RO-00050</t>
        </is>
      </c>
      <c r="E175" s="3" t="n">
        <v>187</v>
      </c>
      <c r="F175" s="3" t="n">
        <v>6</v>
      </c>
      <c r="G175" s="3" t="n">
        <v>430</v>
      </c>
      <c r="H175" s="4">
        <f>G175/E175</f>
        <v/>
      </c>
      <c r="I175" s="3" t="n">
        <v>3.2</v>
      </c>
      <c r="J175" s="4">
        <f>(F175-Assumptions!$B$13)/(Assumptions!$C$13-Assumptions!$B$13)</f>
        <v/>
      </c>
      <c r="K175" s="4">
        <f>(H175-Assumptions!$B$14)/(Assumptions!$C$14-Assumptions!$B$14)</f>
        <v/>
      </c>
      <c r="L175" s="4">
        <f>(I175-Assumptions!$B$15)/(Assumptions!$C$15-Assumptions!$B$15)</f>
        <v/>
      </c>
      <c r="M175" s="4">
        <f>0.4*J175+0.4*K175+0.2*L175</f>
        <v/>
      </c>
    </row>
    <row r="176">
      <c r="A176" s="3" t="inlineStr">
        <is>
          <t>PrimaryHubDown</t>
        </is>
      </c>
      <c r="B176" s="3" t="inlineStr">
        <is>
          <t>DEL_BT</t>
        </is>
      </c>
      <c r="C176" s="3" t="inlineStr">
        <is>
          <t>SIM-00005</t>
        </is>
      </c>
      <c r="D176" s="3" t="inlineStr">
        <is>
          <t>RO-00068</t>
        </is>
      </c>
      <c r="E176" s="3" t="n">
        <v>4</v>
      </c>
      <c r="F176" s="3" t="n">
        <v>4</v>
      </c>
      <c r="G176" s="3" t="n">
        <v>850</v>
      </c>
      <c r="H176" s="4">
        <f>G176/E176</f>
        <v/>
      </c>
      <c r="I176" s="3" t="n">
        <v>2.4</v>
      </c>
      <c r="J176" s="4">
        <f>(F176-Assumptions!$B$13)/(Assumptions!$C$13-Assumptions!$B$13)</f>
        <v/>
      </c>
      <c r="K176" s="4">
        <f>(H176-Assumptions!$B$14)/(Assumptions!$C$14-Assumptions!$B$14)</f>
        <v/>
      </c>
      <c r="L176" s="4">
        <f>(I176-Assumptions!$B$15)/(Assumptions!$C$15-Assumptions!$B$15)</f>
        <v/>
      </c>
      <c r="M176" s="4">
        <f>0.4*J176+0.4*K176+0.2*L176</f>
        <v/>
      </c>
    </row>
    <row r="177">
      <c r="A177" s="3" t="inlineStr">
        <is>
          <t>PrimaryHubDown</t>
        </is>
      </c>
      <c r="B177" s="3" t="inlineStr">
        <is>
          <t>DEL_CE</t>
        </is>
      </c>
      <c r="C177" s="3" t="inlineStr">
        <is>
          <t>SIM-00005</t>
        </is>
      </c>
      <c r="D177" s="3" t="inlineStr">
        <is>
          <t>RO-00068</t>
        </is>
      </c>
      <c r="E177" s="3" t="n">
        <v>1395</v>
      </c>
      <c r="F177" s="3" t="n">
        <v>4</v>
      </c>
      <c r="G177" s="3" t="n">
        <v>850</v>
      </c>
      <c r="H177" s="4">
        <f>G177/E177</f>
        <v/>
      </c>
      <c r="I177" s="3" t="n">
        <v>2.4</v>
      </c>
      <c r="J177" s="4">
        <f>(F177-Assumptions!$B$13)/(Assumptions!$C$13-Assumptions!$B$13)</f>
        <v/>
      </c>
      <c r="K177" s="4">
        <f>(H177-Assumptions!$B$14)/(Assumptions!$C$14-Assumptions!$B$14)</f>
        <v/>
      </c>
      <c r="L177" s="4">
        <f>(I177-Assumptions!$B$15)/(Assumptions!$C$15-Assumptions!$B$15)</f>
        <v/>
      </c>
      <c r="M177" s="4">
        <f>0.4*J177+0.4*K177+0.2*L177</f>
        <v/>
      </c>
    </row>
    <row r="178">
      <c r="A178" s="3" t="inlineStr">
        <is>
          <t>PrimaryHubDown</t>
        </is>
      </c>
      <c r="B178" s="3" t="inlineStr">
        <is>
          <t>DEL_FN</t>
        </is>
      </c>
      <c r="C178" s="3" t="inlineStr">
        <is>
          <t>SIM-00005</t>
        </is>
      </c>
      <c r="D178" s="3" t="inlineStr">
        <is>
          <t>RO-00068</t>
        </is>
      </c>
      <c r="E178" s="3" t="n">
        <v>518.5</v>
      </c>
      <c r="F178" s="3" t="n">
        <v>4</v>
      </c>
      <c r="G178" s="3" t="n">
        <v>850</v>
      </c>
      <c r="H178" s="4">
        <f>G178/E178</f>
        <v/>
      </c>
      <c r="I178" s="3" t="n">
        <v>2.4</v>
      </c>
      <c r="J178" s="4">
        <f>(F178-Assumptions!$B$13)/(Assumptions!$C$13-Assumptions!$B$13)</f>
        <v/>
      </c>
      <c r="K178" s="4">
        <f>(H178-Assumptions!$B$14)/(Assumptions!$C$14-Assumptions!$B$14)</f>
        <v/>
      </c>
      <c r="L178" s="4">
        <f>(I178-Assumptions!$B$15)/(Assumptions!$C$15-Assumptions!$B$15)</f>
        <v/>
      </c>
      <c r="M178" s="4">
        <f>0.4*J178+0.4*K178+0.2*L178</f>
        <v/>
      </c>
    </row>
    <row r="179">
      <c r="A179" s="3" t="inlineStr">
        <is>
          <t>PrimaryHubDown</t>
        </is>
      </c>
      <c r="B179" s="3" t="inlineStr">
        <is>
          <t>DEL_EU</t>
        </is>
      </c>
      <c r="C179" s="3" t="inlineStr">
        <is>
          <t>SIM-00005</t>
        </is>
      </c>
      <c r="D179" s="3" t="inlineStr">
        <is>
          <t>RO-00068</t>
        </is>
      </c>
      <c r="E179" s="3" t="n">
        <v>451</v>
      </c>
      <c r="F179" s="3" t="n">
        <v>4</v>
      </c>
      <c r="G179" s="3" t="n">
        <v>850</v>
      </c>
      <c r="H179" s="4">
        <f>G179/E179</f>
        <v/>
      </c>
      <c r="I179" s="3" t="n">
        <v>2.4</v>
      </c>
      <c r="J179" s="4">
        <f>(F179-Assumptions!$B$13)/(Assumptions!$C$13-Assumptions!$B$13)</f>
        <v/>
      </c>
      <c r="K179" s="4">
        <f>(H179-Assumptions!$B$14)/(Assumptions!$C$14-Assumptions!$B$14)</f>
        <v/>
      </c>
      <c r="L179" s="4">
        <f>(I179-Assumptions!$B$15)/(Assumptions!$C$15-Assumptions!$B$15)</f>
        <v/>
      </c>
      <c r="M179" s="4">
        <f>0.4*J179+0.4*K179+0.2*L179</f>
        <v/>
      </c>
    </row>
    <row r="180">
      <c r="A180" s="3" t="inlineStr">
        <is>
          <t>PrimaryHubDown</t>
        </is>
      </c>
      <c r="B180" s="3" t="inlineStr">
        <is>
          <t>DEL_HI</t>
        </is>
      </c>
      <c r="C180" s="3" t="inlineStr">
        <is>
          <t>SIM-00005</t>
        </is>
      </c>
      <c r="D180" s="3" t="inlineStr">
        <is>
          <t>RO-00068</t>
        </is>
      </c>
      <c r="E180" s="3" t="n">
        <v>3.5</v>
      </c>
      <c r="F180" s="3" t="n">
        <v>4</v>
      </c>
      <c r="G180" s="3" t="n">
        <v>850</v>
      </c>
      <c r="H180" s="4">
        <f>G180/E180</f>
        <v/>
      </c>
      <c r="I180" s="3" t="n">
        <v>2.4</v>
      </c>
      <c r="J180" s="4">
        <f>(F180-Assumptions!$B$13)/(Assumptions!$C$13-Assumptions!$B$13)</f>
        <v/>
      </c>
      <c r="K180" s="4">
        <f>(H180-Assumptions!$B$14)/(Assumptions!$C$14-Assumptions!$B$14)</f>
        <v/>
      </c>
      <c r="L180" s="4">
        <f>(I180-Assumptions!$B$15)/(Assumptions!$C$15-Assumptions!$B$15)</f>
        <v/>
      </c>
      <c r="M180" s="4">
        <f>0.4*J180+0.4*K180+0.2*L180</f>
        <v/>
      </c>
    </row>
    <row r="181">
      <c r="A181" s="3" t="inlineStr">
        <is>
          <t>PrimaryHubDown</t>
        </is>
      </c>
      <c r="B181" s="3" t="inlineStr">
        <is>
          <t>DEL_GL</t>
        </is>
      </c>
      <c r="C181" s="3" t="inlineStr">
        <is>
          <t>SIM-00010</t>
        </is>
      </c>
      <c r="D181" s="3" t="inlineStr">
        <is>
          <t>RO-01109</t>
        </is>
      </c>
      <c r="E181" s="3" t="n">
        <v>96</v>
      </c>
      <c r="F181" s="3" t="n">
        <v>12</v>
      </c>
      <c r="G181" s="3" t="n">
        <v>314</v>
      </c>
      <c r="H181" s="4">
        <f>G181/E181</f>
        <v/>
      </c>
      <c r="I181" s="3" t="n">
        <v>4.7</v>
      </c>
      <c r="J181" s="4">
        <f>(F181-Assumptions!$B$13)/(Assumptions!$C$13-Assumptions!$B$13)</f>
        <v/>
      </c>
      <c r="K181" s="4">
        <f>(H181-Assumptions!$B$14)/(Assumptions!$C$14-Assumptions!$B$14)</f>
        <v/>
      </c>
      <c r="L181" s="4">
        <f>(I181-Assumptions!$B$15)/(Assumptions!$C$15-Assumptions!$B$15)</f>
        <v/>
      </c>
      <c r="M181" s="4">
        <f>0.4*J181+0.4*K181+0.2*L181</f>
        <v/>
      </c>
    </row>
    <row r="182">
      <c r="A182" s="3" t="inlineStr">
        <is>
          <t>PrimaryHubDown</t>
        </is>
      </c>
      <c r="B182" s="3" t="inlineStr">
        <is>
          <t>DEL_FL</t>
        </is>
      </c>
      <c r="C182" s="3" t="inlineStr">
        <is>
          <t>SIM-00012</t>
        </is>
      </c>
      <c r="D182" s="3" t="inlineStr">
        <is>
          <t>RO-01487</t>
        </is>
      </c>
      <c r="E182" s="3" t="n">
        <v>265.5</v>
      </c>
      <c r="F182" s="3" t="n">
        <v>4</v>
      </c>
      <c r="G182" s="3" t="n">
        <v>654</v>
      </c>
      <c r="H182" s="4">
        <f>G182/E182</f>
        <v/>
      </c>
      <c r="I182" s="3" t="n">
        <v>3.3</v>
      </c>
      <c r="J182" s="4">
        <f>(F182-Assumptions!$B$13)/(Assumptions!$C$13-Assumptions!$B$13)</f>
        <v/>
      </c>
      <c r="K182" s="4">
        <f>(H182-Assumptions!$B$14)/(Assumptions!$C$14-Assumptions!$B$14)</f>
        <v/>
      </c>
      <c r="L182" s="4">
        <f>(I182-Assumptions!$B$15)/(Assumptions!$C$15-Assumptions!$B$15)</f>
        <v/>
      </c>
      <c r="M182" s="4">
        <f>0.4*J182+0.4*K182+0.2*L182</f>
        <v/>
      </c>
    </row>
    <row r="183">
      <c r="A183" s="3" t="inlineStr">
        <is>
          <t>PrimaryHubDown</t>
        </is>
      </c>
      <c r="B183" s="3" t="inlineStr">
        <is>
          <t>DEL_FI</t>
        </is>
      </c>
      <c r="C183" s="3" t="inlineStr">
        <is>
          <t>SIM-00012</t>
        </is>
      </c>
      <c r="D183" s="3" t="inlineStr">
        <is>
          <t>RO-01487</t>
        </is>
      </c>
      <c r="E183" s="3" t="n">
        <v>4</v>
      </c>
      <c r="F183" s="3" t="n">
        <v>4</v>
      </c>
      <c r="G183" s="3" t="n">
        <v>654</v>
      </c>
      <c r="H183" s="4">
        <f>G183/E183</f>
        <v/>
      </c>
      <c r="I183" s="3" t="n">
        <v>3.3</v>
      </c>
      <c r="J183" s="4">
        <f>(F183-Assumptions!$B$13)/(Assumptions!$C$13-Assumptions!$B$13)</f>
        <v/>
      </c>
      <c r="K183" s="4">
        <f>(H183-Assumptions!$B$14)/(Assumptions!$C$14-Assumptions!$B$14)</f>
        <v/>
      </c>
      <c r="L183" s="4">
        <f>(I183-Assumptions!$B$15)/(Assumptions!$C$15-Assumptions!$B$15)</f>
        <v/>
      </c>
      <c r="M183" s="4">
        <f>0.4*J183+0.4*K183+0.2*L183</f>
        <v/>
      </c>
    </row>
    <row r="184">
      <c r="A184" s="3" t="inlineStr">
        <is>
          <t>PrimaryHubDown</t>
        </is>
      </c>
      <c r="B184" s="3" t="inlineStr">
        <is>
          <t>DEL_FJ</t>
        </is>
      </c>
      <c r="C184" s="3" t="inlineStr">
        <is>
          <t>SIM-00012</t>
        </is>
      </c>
      <c r="D184" s="3" t="inlineStr">
        <is>
          <t>RO-01487</t>
        </is>
      </c>
      <c r="E184" s="3" t="n">
        <v>6.5</v>
      </c>
      <c r="F184" s="3" t="n">
        <v>4</v>
      </c>
      <c r="G184" s="3" t="n">
        <v>654</v>
      </c>
      <c r="H184" s="4">
        <f>G184/E184</f>
        <v/>
      </c>
      <c r="I184" s="3" t="n">
        <v>3.3</v>
      </c>
      <c r="J184" s="4">
        <f>(F184-Assumptions!$B$13)/(Assumptions!$C$13-Assumptions!$B$13)</f>
        <v/>
      </c>
      <c r="K184" s="4">
        <f>(H184-Assumptions!$B$14)/(Assumptions!$C$14-Assumptions!$B$14)</f>
        <v/>
      </c>
      <c r="L184" s="4">
        <f>(I184-Assumptions!$B$15)/(Assumptions!$C$15-Assumptions!$B$15)</f>
        <v/>
      </c>
      <c r="M184" s="4">
        <f>0.4*J184+0.4*K184+0.2*L184</f>
        <v/>
      </c>
    </row>
    <row r="185">
      <c r="A185" s="3" t="inlineStr">
        <is>
          <t>PrimaryHubDown</t>
        </is>
      </c>
      <c r="B185" s="3" t="inlineStr">
        <is>
          <t>DEL_CF</t>
        </is>
      </c>
      <c r="C185" s="3" t="inlineStr">
        <is>
          <t>SIM-00016</t>
        </is>
      </c>
      <c r="D185" s="3" t="inlineStr">
        <is>
          <t>RO-00233</t>
        </is>
      </c>
      <c r="E185" s="3" t="n">
        <v>7</v>
      </c>
      <c r="F185" s="3" t="n">
        <v>12</v>
      </c>
      <c r="G185" s="3" t="n">
        <v>386</v>
      </c>
      <c r="H185" s="4">
        <f>G185/E185</f>
        <v/>
      </c>
      <c r="I185" s="3" t="n">
        <v>4.7</v>
      </c>
      <c r="J185" s="4">
        <f>(F185-Assumptions!$B$13)/(Assumptions!$C$13-Assumptions!$B$13)</f>
        <v/>
      </c>
      <c r="K185" s="4">
        <f>(H185-Assumptions!$B$14)/(Assumptions!$C$14-Assumptions!$B$14)</f>
        <v/>
      </c>
      <c r="L185" s="4">
        <f>(I185-Assumptions!$B$15)/(Assumptions!$C$15-Assumptions!$B$15)</f>
        <v/>
      </c>
      <c r="M185" s="4">
        <f>0.4*J185+0.4*K185+0.2*L185</f>
        <v/>
      </c>
    </row>
    <row r="186">
      <c r="A186" s="3" t="inlineStr">
        <is>
          <t>PrimaryHubDown</t>
        </is>
      </c>
      <c r="B186" s="3" t="inlineStr">
        <is>
          <t>DEL_G</t>
        </is>
      </c>
      <c r="C186" s="3" t="inlineStr">
        <is>
          <t>SIM-00018</t>
        </is>
      </c>
      <c r="D186" s="3" t="inlineStr">
        <is>
          <t>RO-00266</t>
        </is>
      </c>
      <c r="E186" s="3" t="n">
        <v>334</v>
      </c>
      <c r="F186" s="3" t="n">
        <v>6</v>
      </c>
      <c r="G186" s="3" t="n">
        <v>430</v>
      </c>
      <c r="H186" s="4">
        <f>G186/E186</f>
        <v/>
      </c>
      <c r="I186" s="3" t="n">
        <v>3.2</v>
      </c>
      <c r="J186" s="4">
        <f>(F186-Assumptions!$B$13)/(Assumptions!$C$13-Assumptions!$B$13)</f>
        <v/>
      </c>
      <c r="K186" s="4">
        <f>(H186-Assumptions!$B$14)/(Assumptions!$C$14-Assumptions!$B$14)</f>
        <v/>
      </c>
      <c r="L186" s="4">
        <f>(I186-Assumptions!$B$15)/(Assumptions!$C$15-Assumptions!$B$15)</f>
        <v/>
      </c>
      <c r="M186" s="4">
        <f>0.4*J186+0.4*K186+0.2*L186</f>
        <v/>
      </c>
    </row>
    <row r="187">
      <c r="A187" s="3" t="inlineStr">
        <is>
          <t>PrimaryHubDown</t>
        </is>
      </c>
      <c r="B187" s="3" t="inlineStr">
        <is>
          <t>DEL_EJ</t>
        </is>
      </c>
      <c r="C187" s="3" t="inlineStr">
        <is>
          <t>SIM-00019</t>
        </is>
      </c>
      <c r="D187" s="3" t="inlineStr">
        <is>
          <t>RO-00284</t>
        </is>
      </c>
      <c r="E187" s="3" t="n">
        <v>12.5</v>
      </c>
      <c r="F187" s="3" t="n">
        <v>5</v>
      </c>
      <c r="G187" s="3" t="n">
        <v>850</v>
      </c>
      <c r="H187" s="4">
        <f>G187/E187</f>
        <v/>
      </c>
      <c r="I187" s="3" t="n">
        <v>2.4</v>
      </c>
      <c r="J187" s="4">
        <f>(F187-Assumptions!$B$13)/(Assumptions!$C$13-Assumptions!$B$13)</f>
        <v/>
      </c>
      <c r="K187" s="4">
        <f>(H187-Assumptions!$B$14)/(Assumptions!$C$14-Assumptions!$B$14)</f>
        <v/>
      </c>
      <c r="L187" s="4">
        <f>(I187-Assumptions!$B$15)/(Assumptions!$C$15-Assumptions!$B$15)</f>
        <v/>
      </c>
      <c r="M187" s="4">
        <f>0.4*J187+0.4*K187+0.2*L187</f>
        <v/>
      </c>
    </row>
    <row r="188">
      <c r="A188" s="3" t="inlineStr">
        <is>
          <t>PrimaryHubDown</t>
        </is>
      </c>
      <c r="B188" s="3" t="inlineStr">
        <is>
          <t>DEL_EV</t>
        </is>
      </c>
      <c r="C188" s="3" t="inlineStr">
        <is>
          <t>SIM-00019</t>
        </is>
      </c>
      <c r="D188" s="3" t="inlineStr">
        <is>
          <t>RO-00284</t>
        </is>
      </c>
      <c r="E188" s="3" t="n">
        <v>8.5</v>
      </c>
      <c r="F188" s="3" t="n">
        <v>5</v>
      </c>
      <c r="G188" s="3" t="n">
        <v>850</v>
      </c>
      <c r="H188" s="4">
        <f>G188/E188</f>
        <v/>
      </c>
      <c r="I188" s="3" t="n">
        <v>2.4</v>
      </c>
      <c r="J188" s="4">
        <f>(F188-Assumptions!$B$13)/(Assumptions!$C$13-Assumptions!$B$13)</f>
        <v/>
      </c>
      <c r="K188" s="4">
        <f>(H188-Assumptions!$B$14)/(Assumptions!$C$14-Assumptions!$B$14)</f>
        <v/>
      </c>
      <c r="L188" s="4">
        <f>(I188-Assumptions!$B$15)/(Assumptions!$C$15-Assumptions!$B$15)</f>
        <v/>
      </c>
      <c r="M188" s="4">
        <f>0.4*J188+0.4*K188+0.2*L188</f>
        <v/>
      </c>
    </row>
    <row r="189">
      <c r="A189" s="3" t="inlineStr">
        <is>
          <t>PrimaryHubDown</t>
        </is>
      </c>
      <c r="B189" s="3" t="inlineStr">
        <is>
          <t>DEL_BD</t>
        </is>
      </c>
      <c r="C189" s="3" t="inlineStr">
        <is>
          <t>SIM-00021</t>
        </is>
      </c>
      <c r="D189" s="3" t="inlineStr">
        <is>
          <t>RO-00542</t>
        </is>
      </c>
      <c r="E189" s="3" t="n">
        <v>137</v>
      </c>
      <c r="F189" s="3" t="n">
        <v>6</v>
      </c>
      <c r="G189" s="3" t="n">
        <v>394</v>
      </c>
      <c r="H189" s="4">
        <f>G189/E189</f>
        <v/>
      </c>
      <c r="I189" s="3" t="n">
        <v>3.2</v>
      </c>
      <c r="J189" s="4">
        <f>(F189-Assumptions!$B$13)/(Assumptions!$C$13-Assumptions!$B$13)</f>
        <v/>
      </c>
      <c r="K189" s="4">
        <f>(H189-Assumptions!$B$14)/(Assumptions!$C$14-Assumptions!$B$14)</f>
        <v/>
      </c>
      <c r="L189" s="4">
        <f>(I189-Assumptions!$B$15)/(Assumptions!$C$15-Assumptions!$B$15)</f>
        <v/>
      </c>
      <c r="M189" s="4">
        <f>0.4*J189+0.4*K189+0.2*L189</f>
        <v/>
      </c>
    </row>
    <row r="190">
      <c r="A190" s="3" t="inlineStr">
        <is>
          <t>PrimaryHubDown</t>
        </is>
      </c>
      <c r="B190" s="3" t="inlineStr">
        <is>
          <t>DEL_BM</t>
        </is>
      </c>
      <c r="C190" s="3" t="inlineStr">
        <is>
          <t>SIM-00021</t>
        </is>
      </c>
      <c r="D190" s="3" t="inlineStr">
        <is>
          <t>RO-00542</t>
        </is>
      </c>
      <c r="E190" s="3" t="n">
        <v>22</v>
      </c>
      <c r="F190" s="3" t="n">
        <v>6</v>
      </c>
      <c r="G190" s="3" t="n">
        <v>394</v>
      </c>
      <c r="H190" s="4">
        <f>G190/E190</f>
        <v/>
      </c>
      <c r="I190" s="3" t="n">
        <v>3.2</v>
      </c>
      <c r="J190" s="4">
        <f>(F190-Assumptions!$B$13)/(Assumptions!$C$13-Assumptions!$B$13)</f>
        <v/>
      </c>
      <c r="K190" s="4">
        <f>(H190-Assumptions!$B$14)/(Assumptions!$C$14-Assumptions!$B$14)</f>
        <v/>
      </c>
      <c r="L190" s="4">
        <f>(I190-Assumptions!$B$15)/(Assumptions!$C$15-Assumptions!$B$15)</f>
        <v/>
      </c>
      <c r="M190" s="4">
        <f>0.4*J190+0.4*K190+0.2*L190</f>
        <v/>
      </c>
    </row>
    <row r="191">
      <c r="A191" s="3" t="inlineStr">
        <is>
          <t>PrimaryHubDown</t>
        </is>
      </c>
      <c r="B191" s="3" t="inlineStr">
        <is>
          <t>DEL_DX</t>
        </is>
      </c>
      <c r="C191" s="3" t="inlineStr">
        <is>
          <t>SIM-00021</t>
        </is>
      </c>
      <c r="D191" s="3" t="inlineStr">
        <is>
          <t>RO-00542</t>
        </is>
      </c>
      <c r="E191" s="3" t="n">
        <v>2553</v>
      </c>
      <c r="F191" s="3" t="n">
        <v>6</v>
      </c>
      <c r="G191" s="3" t="n">
        <v>394</v>
      </c>
      <c r="H191" s="4">
        <f>G191/E191</f>
        <v/>
      </c>
      <c r="I191" s="3" t="n">
        <v>3.2</v>
      </c>
      <c r="J191" s="4">
        <f>(F191-Assumptions!$B$13)/(Assumptions!$C$13-Assumptions!$B$13)</f>
        <v/>
      </c>
      <c r="K191" s="4">
        <f>(H191-Assumptions!$B$14)/(Assumptions!$C$14-Assumptions!$B$14)</f>
        <v/>
      </c>
      <c r="L191" s="4">
        <f>(I191-Assumptions!$B$15)/(Assumptions!$C$15-Assumptions!$B$15)</f>
        <v/>
      </c>
      <c r="M191" s="4">
        <f>0.4*J191+0.4*K191+0.2*L191</f>
        <v/>
      </c>
    </row>
    <row r="192">
      <c r="A192" s="3" t="inlineStr">
        <is>
          <t>PrimaryHubDown</t>
        </is>
      </c>
      <c r="B192" s="3" t="inlineStr">
        <is>
          <t>DEL_GE</t>
        </is>
      </c>
      <c r="C192" s="3" t="inlineStr">
        <is>
          <t>SIM-00021</t>
        </is>
      </c>
      <c r="D192" s="3" t="inlineStr">
        <is>
          <t>RO-00542</t>
        </is>
      </c>
      <c r="E192" s="3" t="n">
        <v>8</v>
      </c>
      <c r="F192" s="3" t="n">
        <v>6</v>
      </c>
      <c r="G192" s="3" t="n">
        <v>394</v>
      </c>
      <c r="H192" s="4">
        <f>G192/E192</f>
        <v/>
      </c>
      <c r="I192" s="3" t="n">
        <v>3.2</v>
      </c>
      <c r="J192" s="4">
        <f>(F192-Assumptions!$B$13)/(Assumptions!$C$13-Assumptions!$B$13)</f>
        <v/>
      </c>
      <c r="K192" s="4">
        <f>(H192-Assumptions!$B$14)/(Assumptions!$C$14-Assumptions!$B$14)</f>
        <v/>
      </c>
      <c r="L192" s="4">
        <f>(I192-Assumptions!$B$15)/(Assumptions!$C$15-Assumptions!$B$15)</f>
        <v/>
      </c>
      <c r="M192" s="4">
        <f>0.4*J192+0.4*K192+0.2*L192</f>
        <v/>
      </c>
    </row>
    <row r="193">
      <c r="A193" s="3" t="inlineStr">
        <is>
          <t>PrimaryHubDown</t>
        </is>
      </c>
      <c r="B193" s="3" t="inlineStr">
        <is>
          <t>DEL_HM</t>
        </is>
      </c>
      <c r="C193" s="3" t="inlineStr">
        <is>
          <t>SIM-00021</t>
        </is>
      </c>
      <c r="D193" s="3" t="inlineStr">
        <is>
          <t>RO-00542</t>
        </is>
      </c>
      <c r="E193" s="3" t="n">
        <v>8</v>
      </c>
      <c r="F193" s="3" t="n">
        <v>6</v>
      </c>
      <c r="G193" s="3" t="n">
        <v>394</v>
      </c>
      <c r="H193" s="4">
        <f>G193/E193</f>
        <v/>
      </c>
      <c r="I193" s="3" t="n">
        <v>3.2</v>
      </c>
      <c r="J193" s="4">
        <f>(F193-Assumptions!$B$13)/(Assumptions!$C$13-Assumptions!$B$13)</f>
        <v/>
      </c>
      <c r="K193" s="4">
        <f>(H193-Assumptions!$B$14)/(Assumptions!$C$14-Assumptions!$B$14)</f>
        <v/>
      </c>
      <c r="L193" s="4">
        <f>(I193-Assumptions!$B$15)/(Assumptions!$C$15-Assumptions!$B$15)</f>
        <v/>
      </c>
      <c r="M193" s="4">
        <f>0.4*J193+0.4*K193+0.2*L193</f>
        <v/>
      </c>
    </row>
    <row r="194">
      <c r="A194" s="3" t="inlineStr">
        <is>
          <t>PrimaryHubDown</t>
        </is>
      </c>
      <c r="B194" s="3" t="inlineStr">
        <is>
          <t>DEL_GO</t>
        </is>
      </c>
      <c r="C194" s="3" t="inlineStr">
        <is>
          <t>SIM-00022</t>
        </is>
      </c>
      <c r="D194" s="3" t="inlineStr">
        <is>
          <t>RO-00317</t>
        </is>
      </c>
      <c r="E194" s="3" t="n">
        <v>6.5</v>
      </c>
      <c r="F194" s="3" t="n">
        <v>11</v>
      </c>
      <c r="G194" s="3" t="n">
        <v>314</v>
      </c>
      <c r="H194" s="4">
        <f>G194/E194</f>
        <v/>
      </c>
      <c r="I194" s="3" t="n">
        <v>4.7</v>
      </c>
      <c r="J194" s="4">
        <f>(F194-Assumptions!$B$13)/(Assumptions!$C$13-Assumptions!$B$13)</f>
        <v/>
      </c>
      <c r="K194" s="4">
        <f>(H194-Assumptions!$B$14)/(Assumptions!$C$14-Assumptions!$B$14)</f>
        <v/>
      </c>
      <c r="L194" s="4">
        <f>(I194-Assumptions!$B$15)/(Assumptions!$C$15-Assumptions!$B$15)</f>
        <v/>
      </c>
      <c r="M194" s="4">
        <f>0.4*J194+0.4*K194+0.2*L194</f>
        <v/>
      </c>
    </row>
    <row r="195">
      <c r="A195" s="3" t="inlineStr">
        <is>
          <t>PrimaryHubDown</t>
        </is>
      </c>
      <c r="B195" s="3" t="inlineStr">
        <is>
          <t>DEL_CG</t>
        </is>
      </c>
      <c r="C195" s="3" t="inlineStr">
        <is>
          <t>SIM-00023</t>
        </is>
      </c>
      <c r="D195" s="3" t="inlineStr">
        <is>
          <t>RO-00335</t>
        </is>
      </c>
      <c r="E195" s="3" t="n">
        <v>4</v>
      </c>
      <c r="F195" s="3" t="n">
        <v>4</v>
      </c>
      <c r="G195" s="3" t="n">
        <v>654</v>
      </c>
      <c r="H195" s="4">
        <f>G195/E195</f>
        <v/>
      </c>
      <c r="I195" s="3" t="n">
        <v>3.3</v>
      </c>
      <c r="J195" s="4">
        <f>(F195-Assumptions!$B$13)/(Assumptions!$C$13-Assumptions!$B$13)</f>
        <v/>
      </c>
      <c r="K195" s="4">
        <f>(H195-Assumptions!$B$14)/(Assumptions!$C$14-Assumptions!$B$14)</f>
        <v/>
      </c>
      <c r="L195" s="4">
        <f>(I195-Assumptions!$B$15)/(Assumptions!$C$15-Assumptions!$B$15)</f>
        <v/>
      </c>
      <c r="M195" s="4">
        <f>0.4*J195+0.4*K195+0.2*L195</f>
        <v/>
      </c>
    </row>
    <row r="196">
      <c r="A196" s="3" t="inlineStr">
        <is>
          <t>PrimaryHubDown</t>
        </is>
      </c>
      <c r="B196" s="3" t="inlineStr">
        <is>
          <t>DEL_FA</t>
        </is>
      </c>
      <c r="C196" s="3" t="inlineStr">
        <is>
          <t>SIM-00024</t>
        </is>
      </c>
      <c r="D196" s="3" t="inlineStr">
        <is>
          <t>RO-00830</t>
        </is>
      </c>
      <c r="E196" s="3" t="n">
        <v>152.5</v>
      </c>
      <c r="F196" s="3" t="n">
        <v>6</v>
      </c>
      <c r="G196" s="3" t="n">
        <v>394</v>
      </c>
      <c r="H196" s="4">
        <f>G196/E196</f>
        <v/>
      </c>
      <c r="I196" s="3" t="n">
        <v>3.2</v>
      </c>
      <c r="J196" s="4">
        <f>(F196-Assumptions!$B$13)/(Assumptions!$C$13-Assumptions!$B$13)</f>
        <v/>
      </c>
      <c r="K196" s="4">
        <f>(H196-Assumptions!$B$14)/(Assumptions!$C$14-Assumptions!$B$14)</f>
        <v/>
      </c>
      <c r="L196" s="4">
        <f>(I196-Assumptions!$B$15)/(Assumptions!$C$15-Assumptions!$B$15)</f>
        <v/>
      </c>
      <c r="M196" s="4">
        <f>0.4*J196+0.4*K196+0.2*L196</f>
        <v/>
      </c>
    </row>
    <row r="197">
      <c r="A197" s="3" t="inlineStr">
        <is>
          <t>PrimaryHubDown</t>
        </is>
      </c>
      <c r="B197" s="3" t="inlineStr">
        <is>
          <t>DEL_AB</t>
        </is>
      </c>
      <c r="C197" s="3" t="inlineStr">
        <is>
          <t>SIM-00025</t>
        </is>
      </c>
      <c r="D197" s="3" t="inlineStr">
        <is>
          <t>RO-00368</t>
        </is>
      </c>
      <c r="E197" s="3" t="n">
        <v>2575</v>
      </c>
      <c r="F197" s="3" t="n">
        <v>4</v>
      </c>
      <c r="G197" s="3" t="n">
        <v>886</v>
      </c>
      <c r="H197" s="4">
        <f>G197/E197</f>
        <v/>
      </c>
      <c r="I197" s="3" t="n">
        <v>2.4</v>
      </c>
      <c r="J197" s="4">
        <f>(F197-Assumptions!$B$13)/(Assumptions!$C$13-Assumptions!$B$13)</f>
        <v/>
      </c>
      <c r="K197" s="4">
        <f>(H197-Assumptions!$B$14)/(Assumptions!$C$14-Assumptions!$B$14)</f>
        <v/>
      </c>
      <c r="L197" s="4">
        <f>(I197-Assumptions!$B$15)/(Assumptions!$C$15-Assumptions!$B$15)</f>
        <v/>
      </c>
      <c r="M197" s="4">
        <f>0.4*J197+0.4*K197+0.2*L197</f>
        <v/>
      </c>
    </row>
    <row r="198">
      <c r="A198" s="3" t="inlineStr">
        <is>
          <t>PrimaryHubDown</t>
        </is>
      </c>
      <c r="B198" s="3" t="inlineStr">
        <is>
          <t>DEL_CD</t>
        </is>
      </c>
      <c r="C198" s="3" t="inlineStr">
        <is>
          <t>SIM-00025</t>
        </is>
      </c>
      <c r="D198" s="3" t="inlineStr">
        <is>
          <t>RO-00368</t>
        </is>
      </c>
      <c r="E198" s="3" t="n">
        <v>616</v>
      </c>
      <c r="F198" s="3" t="n">
        <v>4</v>
      </c>
      <c r="G198" s="3" t="n">
        <v>886</v>
      </c>
      <c r="H198" s="4">
        <f>G198/E198</f>
        <v/>
      </c>
      <c r="I198" s="3" t="n">
        <v>2.4</v>
      </c>
      <c r="J198" s="4">
        <f>(F198-Assumptions!$B$13)/(Assumptions!$C$13-Assumptions!$B$13)</f>
        <v/>
      </c>
      <c r="K198" s="4">
        <f>(H198-Assumptions!$B$14)/(Assumptions!$C$14-Assumptions!$B$14)</f>
        <v/>
      </c>
      <c r="L198" s="4">
        <f>(I198-Assumptions!$B$15)/(Assumptions!$C$15-Assumptions!$B$15)</f>
        <v/>
      </c>
      <c r="M198" s="4">
        <f>0.4*J198+0.4*K198+0.2*L198</f>
        <v/>
      </c>
    </row>
    <row r="199">
      <c r="A199" s="3" t="inlineStr">
        <is>
          <t>PrimaryHubDown</t>
        </is>
      </c>
      <c r="B199" s="3" t="inlineStr">
        <is>
          <t>DEL_DS</t>
        </is>
      </c>
      <c r="C199" s="3" t="inlineStr">
        <is>
          <t>SIM-00028</t>
        </is>
      </c>
      <c r="D199" s="3" t="inlineStr">
        <is>
          <t>RO-00416</t>
        </is>
      </c>
      <c r="E199" s="3" t="n">
        <v>3.5</v>
      </c>
      <c r="F199" s="3" t="n">
        <v>3</v>
      </c>
      <c r="G199" s="3" t="n">
        <v>814</v>
      </c>
      <c r="H199" s="4">
        <f>G199/E199</f>
        <v/>
      </c>
      <c r="I199" s="3" t="n">
        <v>2.4</v>
      </c>
      <c r="J199" s="4">
        <f>(F199-Assumptions!$B$13)/(Assumptions!$C$13-Assumptions!$B$13)</f>
        <v/>
      </c>
      <c r="K199" s="4">
        <f>(H199-Assumptions!$B$14)/(Assumptions!$C$14-Assumptions!$B$14)</f>
        <v/>
      </c>
      <c r="L199" s="4">
        <f>(I199-Assumptions!$B$15)/(Assumptions!$C$15-Assumptions!$B$15)</f>
        <v/>
      </c>
      <c r="M199" s="4">
        <f>0.4*J199+0.4*K199+0.2*L199</f>
        <v/>
      </c>
    </row>
    <row r="200">
      <c r="A200" s="3" t="inlineStr">
        <is>
          <t>PrimaryHubDown</t>
        </is>
      </c>
      <c r="B200" s="3" t="inlineStr">
        <is>
          <t>DEL_EP</t>
        </is>
      </c>
      <c r="C200" s="3" t="inlineStr">
        <is>
          <t>SIM-00028</t>
        </is>
      </c>
      <c r="D200" s="3" t="inlineStr">
        <is>
          <t>RO-00416</t>
        </is>
      </c>
      <c r="E200" s="3" t="n">
        <v>20.5</v>
      </c>
      <c r="F200" s="3" t="n">
        <v>3</v>
      </c>
      <c r="G200" s="3" t="n">
        <v>814</v>
      </c>
      <c r="H200" s="4">
        <f>G200/E200</f>
        <v/>
      </c>
      <c r="I200" s="3" t="n">
        <v>2.4</v>
      </c>
      <c r="J200" s="4">
        <f>(F200-Assumptions!$B$13)/(Assumptions!$C$13-Assumptions!$B$13)</f>
        <v/>
      </c>
      <c r="K200" s="4">
        <f>(H200-Assumptions!$B$14)/(Assumptions!$C$14-Assumptions!$B$14)</f>
        <v/>
      </c>
      <c r="L200" s="4">
        <f>(I200-Assumptions!$B$15)/(Assumptions!$C$15-Assumptions!$B$15)</f>
        <v/>
      </c>
      <c r="M200" s="4">
        <f>0.4*J200+0.4*K200+0.2*L200</f>
        <v/>
      </c>
    </row>
    <row r="201">
      <c r="A201" s="3" t="inlineStr">
        <is>
          <t>PrimaryHubDown</t>
        </is>
      </c>
      <c r="B201" s="3" t="inlineStr">
        <is>
          <t>DEL_E</t>
        </is>
      </c>
      <c r="C201" s="3" t="inlineStr">
        <is>
          <t>SIM-00029</t>
        </is>
      </c>
      <c r="D201" s="3" t="inlineStr">
        <is>
          <t>RO-00434</t>
        </is>
      </c>
      <c r="E201" s="3" t="n">
        <v>115</v>
      </c>
      <c r="F201" s="3" t="n">
        <v>8</v>
      </c>
      <c r="G201" s="3" t="n">
        <v>394</v>
      </c>
      <c r="H201" s="4">
        <f>G201/E201</f>
        <v/>
      </c>
      <c r="I201" s="3" t="n">
        <v>3.2</v>
      </c>
      <c r="J201" s="4">
        <f>(F201-Assumptions!$B$13)/(Assumptions!$C$13-Assumptions!$B$13)</f>
        <v/>
      </c>
      <c r="K201" s="4">
        <f>(H201-Assumptions!$B$14)/(Assumptions!$C$14-Assumptions!$B$14)</f>
        <v/>
      </c>
      <c r="L201" s="4">
        <f>(I201-Assumptions!$B$15)/(Assumptions!$C$15-Assumptions!$B$15)</f>
        <v/>
      </c>
      <c r="M201" s="4">
        <f>0.4*J201+0.4*K201+0.2*L201</f>
        <v/>
      </c>
    </row>
    <row r="202">
      <c r="A202" s="3" t="inlineStr">
        <is>
          <t>PrimaryHubDown</t>
        </is>
      </c>
      <c r="B202" s="3" t="inlineStr">
        <is>
          <t>DEL_DJ</t>
        </is>
      </c>
      <c r="C202" s="3" t="inlineStr">
        <is>
          <t>SIM-00029</t>
        </is>
      </c>
      <c r="D202" s="3" t="inlineStr">
        <is>
          <t>RO-00434</t>
        </is>
      </c>
      <c r="E202" s="3" t="n">
        <v>1</v>
      </c>
      <c r="F202" s="3" t="n">
        <v>8</v>
      </c>
      <c r="G202" s="3" t="n">
        <v>394</v>
      </c>
      <c r="H202" s="4">
        <f>G202/E202</f>
        <v/>
      </c>
      <c r="I202" s="3" t="n">
        <v>3.2</v>
      </c>
      <c r="J202" s="4">
        <f>(F202-Assumptions!$B$13)/(Assumptions!$C$13-Assumptions!$B$13)</f>
        <v/>
      </c>
      <c r="K202" s="4">
        <f>(H202-Assumptions!$B$14)/(Assumptions!$C$14-Assumptions!$B$14)</f>
        <v/>
      </c>
      <c r="L202" s="4">
        <f>(I202-Assumptions!$B$15)/(Assumptions!$C$15-Assumptions!$B$15)</f>
        <v/>
      </c>
      <c r="M202" s="4">
        <f>0.4*J202+0.4*K202+0.2*L202</f>
        <v/>
      </c>
    </row>
    <row r="203">
      <c r="A203" s="3" t="inlineStr">
        <is>
          <t>PrimaryHubDown</t>
        </is>
      </c>
      <c r="B203" s="3" t="inlineStr">
        <is>
          <t>DEL_HB</t>
        </is>
      </c>
      <c r="C203" s="3" t="inlineStr">
        <is>
          <t>SIM-00029</t>
        </is>
      </c>
      <c r="D203" s="3" t="inlineStr">
        <is>
          <t>RO-00434</t>
        </is>
      </c>
      <c r="E203" s="3" t="n">
        <v>241</v>
      </c>
      <c r="F203" s="3" t="n">
        <v>8</v>
      </c>
      <c r="G203" s="3" t="n">
        <v>394</v>
      </c>
      <c r="H203" s="4">
        <f>G203/E203</f>
        <v/>
      </c>
      <c r="I203" s="3" t="n">
        <v>3.2</v>
      </c>
      <c r="J203" s="4">
        <f>(F203-Assumptions!$B$13)/(Assumptions!$C$13-Assumptions!$B$13)</f>
        <v/>
      </c>
      <c r="K203" s="4">
        <f>(H203-Assumptions!$B$14)/(Assumptions!$C$14-Assumptions!$B$14)</f>
        <v/>
      </c>
      <c r="L203" s="4">
        <f>(I203-Assumptions!$B$15)/(Assumptions!$C$15-Assumptions!$B$15)</f>
        <v/>
      </c>
      <c r="M203" s="4">
        <f>0.4*J203+0.4*K203+0.2*L203</f>
        <v/>
      </c>
    </row>
    <row r="204">
      <c r="A204" s="3" t="inlineStr">
        <is>
          <t>PrimaryHubDown</t>
        </is>
      </c>
      <c r="B204" s="3" t="inlineStr">
        <is>
          <t>DEL_BJ</t>
        </is>
      </c>
      <c r="C204" s="3" t="inlineStr">
        <is>
          <t>SIM-00032</t>
        </is>
      </c>
      <c r="D204" s="3" t="inlineStr">
        <is>
          <t>RO-02747</t>
        </is>
      </c>
      <c r="E204" s="3" t="n">
        <v>78</v>
      </c>
      <c r="F204" s="3" t="n">
        <v>4</v>
      </c>
      <c r="G204" s="3" t="n">
        <v>654</v>
      </c>
      <c r="H204" s="4">
        <f>G204/E204</f>
        <v/>
      </c>
      <c r="I204" s="3" t="n">
        <v>3.3</v>
      </c>
      <c r="J204" s="4">
        <f>(F204-Assumptions!$B$13)/(Assumptions!$C$13-Assumptions!$B$13)</f>
        <v/>
      </c>
      <c r="K204" s="4">
        <f>(H204-Assumptions!$B$14)/(Assumptions!$C$14-Assumptions!$B$14)</f>
        <v/>
      </c>
      <c r="L204" s="4">
        <f>(I204-Assumptions!$B$15)/(Assumptions!$C$15-Assumptions!$B$15)</f>
        <v/>
      </c>
      <c r="M204" s="4">
        <f>0.4*J204+0.4*K204+0.2*L204</f>
        <v/>
      </c>
    </row>
    <row r="205">
      <c r="A205" s="3" t="inlineStr">
        <is>
          <t>PrimaryHubDown</t>
        </is>
      </c>
      <c r="B205" s="3" t="inlineStr">
        <is>
          <t>DEL_AV</t>
        </is>
      </c>
      <c r="C205" s="3" t="inlineStr">
        <is>
          <t>SIM-00034</t>
        </is>
      </c>
      <c r="D205" s="3" t="inlineStr">
        <is>
          <t>RO-00740</t>
        </is>
      </c>
      <c r="E205" s="3" t="n">
        <v>5.5</v>
      </c>
      <c r="F205" s="3" t="n">
        <v>3</v>
      </c>
      <c r="G205" s="3" t="n">
        <v>814</v>
      </c>
      <c r="H205" s="4">
        <f>G205/E205</f>
        <v/>
      </c>
      <c r="I205" s="3" t="n">
        <v>2.4</v>
      </c>
      <c r="J205" s="4">
        <f>(F205-Assumptions!$B$13)/(Assumptions!$C$13-Assumptions!$B$13)</f>
        <v/>
      </c>
      <c r="K205" s="4">
        <f>(H205-Assumptions!$B$14)/(Assumptions!$C$14-Assumptions!$B$14)</f>
        <v/>
      </c>
      <c r="L205" s="4">
        <f>(I205-Assumptions!$B$15)/(Assumptions!$C$15-Assumptions!$B$15)</f>
        <v/>
      </c>
      <c r="M205" s="4">
        <f>0.4*J205+0.4*K205+0.2*L205</f>
        <v/>
      </c>
    </row>
    <row r="206">
      <c r="A206" s="3" t="inlineStr">
        <is>
          <t>PrimaryHubDown</t>
        </is>
      </c>
      <c r="B206" s="3" t="inlineStr">
        <is>
          <t>DEL_DH</t>
        </is>
      </c>
      <c r="C206" s="3" t="inlineStr">
        <is>
          <t>SIM-00037</t>
        </is>
      </c>
      <c r="D206" s="3" t="inlineStr">
        <is>
          <t>RO-00551</t>
        </is>
      </c>
      <c r="E206" s="3" t="n">
        <v>4.5</v>
      </c>
      <c r="F206" s="3" t="n">
        <v>4</v>
      </c>
      <c r="G206" s="3" t="n">
        <v>654</v>
      </c>
      <c r="H206" s="4">
        <f>G206/E206</f>
        <v/>
      </c>
      <c r="I206" s="3" t="n">
        <v>3.3</v>
      </c>
      <c r="J206" s="4">
        <f>(F206-Assumptions!$B$13)/(Assumptions!$C$13-Assumptions!$B$13)</f>
        <v/>
      </c>
      <c r="K206" s="4">
        <f>(H206-Assumptions!$B$14)/(Assumptions!$C$14-Assumptions!$B$14)</f>
        <v/>
      </c>
      <c r="L206" s="4">
        <f>(I206-Assumptions!$B$15)/(Assumptions!$C$15-Assumptions!$B$15)</f>
        <v/>
      </c>
      <c r="M206" s="4">
        <f>0.4*J206+0.4*K206+0.2*L206</f>
        <v/>
      </c>
    </row>
    <row r="207">
      <c r="A207" s="3" t="inlineStr">
        <is>
          <t>PrimaryHubDown</t>
        </is>
      </c>
      <c r="B207" s="3" t="inlineStr">
        <is>
          <t>DEL_CC</t>
        </is>
      </c>
      <c r="C207" s="3" t="inlineStr">
        <is>
          <t>SIM-00039</t>
        </is>
      </c>
      <c r="D207" s="3" t="inlineStr">
        <is>
          <t>RO-00584</t>
        </is>
      </c>
      <c r="E207" s="3" t="n">
        <v>406</v>
      </c>
      <c r="F207" s="3" t="n">
        <v>5</v>
      </c>
      <c r="G207" s="3" t="n">
        <v>886</v>
      </c>
      <c r="H207" s="4">
        <f>G207/E207</f>
        <v/>
      </c>
      <c r="I207" s="3" t="n">
        <v>2.4</v>
      </c>
      <c r="J207" s="4">
        <f>(F207-Assumptions!$B$13)/(Assumptions!$C$13-Assumptions!$B$13)</f>
        <v/>
      </c>
      <c r="K207" s="4">
        <f>(H207-Assumptions!$B$14)/(Assumptions!$C$14-Assumptions!$B$14)</f>
        <v/>
      </c>
      <c r="L207" s="4">
        <f>(I207-Assumptions!$B$15)/(Assumptions!$C$15-Assumptions!$B$15)</f>
        <v/>
      </c>
      <c r="M207" s="4">
        <f>0.4*J207+0.4*K207+0.2*L207</f>
        <v/>
      </c>
    </row>
    <row r="208">
      <c r="A208" s="3" t="inlineStr">
        <is>
          <t>PrimaryHubDown</t>
        </is>
      </c>
      <c r="B208" s="3" t="inlineStr">
        <is>
          <t>DEL_A</t>
        </is>
      </c>
      <c r="C208" s="3" t="inlineStr">
        <is>
          <t>SIM-00040</t>
        </is>
      </c>
      <c r="D208" s="3" t="inlineStr">
        <is>
          <t>RO-00119</t>
        </is>
      </c>
      <c r="E208" s="3" t="n">
        <v>204</v>
      </c>
      <c r="F208" s="3" t="n">
        <v>6</v>
      </c>
      <c r="G208" s="3" t="n">
        <v>654</v>
      </c>
      <c r="H208" s="4">
        <f>G208/E208</f>
        <v/>
      </c>
      <c r="I208" s="3" t="n">
        <v>3.3</v>
      </c>
      <c r="J208" s="4">
        <f>(F208-Assumptions!$B$13)/(Assumptions!$C$13-Assumptions!$B$13)</f>
        <v/>
      </c>
      <c r="K208" s="4">
        <f>(H208-Assumptions!$B$14)/(Assumptions!$C$14-Assumptions!$B$14)</f>
        <v/>
      </c>
      <c r="L208" s="4">
        <f>(I208-Assumptions!$B$15)/(Assumptions!$C$15-Assumptions!$B$15)</f>
        <v/>
      </c>
      <c r="M208" s="4">
        <f>0.4*J208+0.4*K208+0.2*L208</f>
        <v/>
      </c>
    </row>
    <row r="209">
      <c r="A209" s="3" t="inlineStr">
        <is>
          <t>PrimaryHubDown</t>
        </is>
      </c>
      <c r="B209" s="3" t="inlineStr">
        <is>
          <t>DEL_AH</t>
        </is>
      </c>
      <c r="C209" s="3" t="inlineStr">
        <is>
          <t>SIM-00040</t>
        </is>
      </c>
      <c r="D209" s="3" t="inlineStr">
        <is>
          <t>RO-00119</t>
        </is>
      </c>
      <c r="E209" s="3" t="n">
        <v>2400</v>
      </c>
      <c r="F209" s="3" t="n">
        <v>6</v>
      </c>
      <c r="G209" s="3" t="n">
        <v>654</v>
      </c>
      <c r="H209" s="4">
        <f>G209/E209</f>
        <v/>
      </c>
      <c r="I209" s="3" t="n">
        <v>3.3</v>
      </c>
      <c r="J209" s="4">
        <f>(F209-Assumptions!$B$13)/(Assumptions!$C$13-Assumptions!$B$13)</f>
        <v/>
      </c>
      <c r="K209" s="4">
        <f>(H209-Assumptions!$B$14)/(Assumptions!$C$14-Assumptions!$B$14)</f>
        <v/>
      </c>
      <c r="L209" s="4">
        <f>(I209-Assumptions!$B$15)/(Assumptions!$C$15-Assumptions!$B$15)</f>
        <v/>
      </c>
      <c r="M209" s="4">
        <f>0.4*J209+0.4*K209+0.2*L209</f>
        <v/>
      </c>
    </row>
    <row r="210">
      <c r="A210" s="3" t="inlineStr">
        <is>
          <t>PrimaryHubDown</t>
        </is>
      </c>
      <c r="B210" s="3" t="inlineStr">
        <is>
          <t>DEL_FU</t>
        </is>
      </c>
      <c r="C210" s="3" t="inlineStr">
        <is>
          <t>SIM-00040</t>
        </is>
      </c>
      <c r="D210" s="3" t="inlineStr">
        <is>
          <t>RO-00119</t>
        </is>
      </c>
      <c r="E210" s="3" t="n">
        <v>336.5</v>
      </c>
      <c r="F210" s="3" t="n">
        <v>6</v>
      </c>
      <c r="G210" s="3" t="n">
        <v>654</v>
      </c>
      <c r="H210" s="4">
        <f>G210/E210</f>
        <v/>
      </c>
      <c r="I210" s="3" t="n">
        <v>3.3</v>
      </c>
      <c r="J210" s="4">
        <f>(F210-Assumptions!$B$13)/(Assumptions!$C$13-Assumptions!$B$13)</f>
        <v/>
      </c>
      <c r="K210" s="4">
        <f>(H210-Assumptions!$B$14)/(Assumptions!$C$14-Assumptions!$B$14)</f>
        <v/>
      </c>
      <c r="L210" s="4">
        <f>(I210-Assumptions!$B$15)/(Assumptions!$C$15-Assumptions!$B$15)</f>
        <v/>
      </c>
      <c r="M210" s="4">
        <f>0.4*J210+0.4*K210+0.2*L210</f>
        <v/>
      </c>
    </row>
    <row r="211">
      <c r="A211" s="3" t="inlineStr">
        <is>
          <t>PrimaryHubDown</t>
        </is>
      </c>
      <c r="B211" s="3" t="inlineStr">
        <is>
          <t>DEL_DG</t>
        </is>
      </c>
      <c r="C211" s="3" t="inlineStr">
        <is>
          <t>SIM-00044</t>
        </is>
      </c>
      <c r="D211" s="3" t="inlineStr">
        <is>
          <t>RO-01370</t>
        </is>
      </c>
      <c r="E211" s="3" t="n">
        <v>4</v>
      </c>
      <c r="F211" s="3" t="n">
        <v>6</v>
      </c>
      <c r="G211" s="3" t="n">
        <v>394</v>
      </c>
      <c r="H211" s="4">
        <f>G211/E211</f>
        <v/>
      </c>
      <c r="I211" s="3" t="n">
        <v>3.2</v>
      </c>
      <c r="J211" s="4">
        <f>(F211-Assumptions!$B$13)/(Assumptions!$C$13-Assumptions!$B$13)</f>
        <v/>
      </c>
      <c r="K211" s="4">
        <f>(H211-Assumptions!$B$14)/(Assumptions!$C$14-Assumptions!$B$14)</f>
        <v/>
      </c>
      <c r="L211" s="4">
        <f>(I211-Assumptions!$B$15)/(Assumptions!$C$15-Assumptions!$B$15)</f>
        <v/>
      </c>
      <c r="M211" s="4">
        <f>0.4*J211+0.4*K211+0.2*L211</f>
        <v/>
      </c>
    </row>
    <row r="212">
      <c r="A212" s="3" t="inlineStr">
        <is>
          <t>PrimaryHubDown</t>
        </is>
      </c>
      <c r="B212" s="3" t="inlineStr">
        <is>
          <t>DEL_ES</t>
        </is>
      </c>
      <c r="C212" s="3" t="inlineStr">
        <is>
          <t>SIM-00045</t>
        </is>
      </c>
      <c r="D212" s="3" t="inlineStr">
        <is>
          <t>RO-00668</t>
        </is>
      </c>
      <c r="E212" s="3" t="n">
        <v>1759.5</v>
      </c>
      <c r="F212" s="3" t="n">
        <v>4</v>
      </c>
      <c r="G212" s="3" t="n">
        <v>814</v>
      </c>
      <c r="H212" s="4">
        <f>G212/E212</f>
        <v/>
      </c>
      <c r="I212" s="3" t="n">
        <v>2.4</v>
      </c>
      <c r="J212" s="4">
        <f>(F212-Assumptions!$B$13)/(Assumptions!$C$13-Assumptions!$B$13)</f>
        <v/>
      </c>
      <c r="K212" s="4">
        <f>(H212-Assumptions!$B$14)/(Assumptions!$C$14-Assumptions!$B$14)</f>
        <v/>
      </c>
      <c r="L212" s="4">
        <f>(I212-Assumptions!$B$15)/(Assumptions!$C$15-Assumptions!$B$15)</f>
        <v/>
      </c>
      <c r="M212" s="4">
        <f>0.4*J212+0.4*K212+0.2*L212</f>
        <v/>
      </c>
    </row>
    <row r="213">
      <c r="A213" s="3" t="inlineStr">
        <is>
          <t>PrimaryHubDown</t>
        </is>
      </c>
      <c r="B213" s="3" t="inlineStr">
        <is>
          <t>DEL_AL</t>
        </is>
      </c>
      <c r="C213" s="3" t="inlineStr">
        <is>
          <t>SIM-00049</t>
        </is>
      </c>
      <c r="D213" s="3" t="inlineStr">
        <is>
          <t>RO-01334</t>
        </is>
      </c>
      <c r="E213" s="3" t="n">
        <v>13</v>
      </c>
      <c r="F213" s="3" t="n">
        <v>8</v>
      </c>
      <c r="G213" s="3" t="n">
        <v>394</v>
      </c>
      <c r="H213" s="4">
        <f>G213/E213</f>
        <v/>
      </c>
      <c r="I213" s="3" t="n">
        <v>3.2</v>
      </c>
      <c r="J213" s="4">
        <f>(F213-Assumptions!$B$13)/(Assumptions!$C$13-Assumptions!$B$13)</f>
        <v/>
      </c>
      <c r="K213" s="4">
        <f>(H213-Assumptions!$B$14)/(Assumptions!$C$14-Assumptions!$B$14)</f>
        <v/>
      </c>
      <c r="L213" s="4">
        <f>(I213-Assumptions!$B$15)/(Assumptions!$C$15-Assumptions!$B$15)</f>
        <v/>
      </c>
      <c r="M213" s="4">
        <f>0.4*J213+0.4*K213+0.2*L213</f>
        <v/>
      </c>
    </row>
    <row r="214">
      <c r="A214" s="3" t="inlineStr">
        <is>
          <t>PrimaryHubDown</t>
        </is>
      </c>
      <c r="B214" s="3" t="inlineStr">
        <is>
          <t>DEL_EI</t>
        </is>
      </c>
      <c r="C214" s="3" t="inlineStr">
        <is>
          <t>SIM-00052</t>
        </is>
      </c>
      <c r="D214" s="3" t="inlineStr">
        <is>
          <t>RO-00767</t>
        </is>
      </c>
      <c r="E214" s="3" t="n">
        <v>12.5</v>
      </c>
      <c r="F214" s="3" t="n">
        <v>4</v>
      </c>
      <c r="G214" s="3" t="n">
        <v>654</v>
      </c>
      <c r="H214" s="4">
        <f>G214/E214</f>
        <v/>
      </c>
      <c r="I214" s="3" t="n">
        <v>3.3</v>
      </c>
      <c r="J214" s="4">
        <f>(F214-Assumptions!$B$13)/(Assumptions!$C$13-Assumptions!$B$13)</f>
        <v/>
      </c>
      <c r="K214" s="4">
        <f>(H214-Assumptions!$B$14)/(Assumptions!$C$14-Assumptions!$B$14)</f>
        <v/>
      </c>
      <c r="L214" s="4">
        <f>(I214-Assumptions!$B$15)/(Assumptions!$C$15-Assumptions!$B$15)</f>
        <v/>
      </c>
      <c r="M214" s="4">
        <f>0.4*J214+0.4*K214+0.2*L214</f>
        <v/>
      </c>
    </row>
    <row r="215">
      <c r="A215" s="3" t="inlineStr">
        <is>
          <t>PrimaryHubDown</t>
        </is>
      </c>
      <c r="B215" s="3" t="inlineStr">
        <is>
          <t>DEL_GR</t>
        </is>
      </c>
      <c r="C215" s="3" t="inlineStr">
        <is>
          <t>SIM-00052</t>
        </is>
      </c>
      <c r="D215" s="3" t="inlineStr">
        <is>
          <t>RO-00767</t>
        </is>
      </c>
      <c r="E215" s="3" t="n">
        <v>255</v>
      </c>
      <c r="F215" s="3" t="n">
        <v>4</v>
      </c>
      <c r="G215" s="3" t="n">
        <v>654</v>
      </c>
      <c r="H215" s="4">
        <f>G215/E215</f>
        <v/>
      </c>
      <c r="I215" s="3" t="n">
        <v>3.3</v>
      </c>
      <c r="J215" s="4">
        <f>(F215-Assumptions!$B$13)/(Assumptions!$C$13-Assumptions!$B$13)</f>
        <v/>
      </c>
      <c r="K215" s="4">
        <f>(H215-Assumptions!$B$14)/(Assumptions!$C$14-Assumptions!$B$14)</f>
        <v/>
      </c>
      <c r="L215" s="4">
        <f>(I215-Assumptions!$B$15)/(Assumptions!$C$15-Assumptions!$B$15)</f>
        <v/>
      </c>
      <c r="M215" s="4">
        <f>0.4*J215+0.4*K215+0.2*L215</f>
        <v/>
      </c>
    </row>
    <row r="216">
      <c r="A216" s="3" t="inlineStr">
        <is>
          <t>PrimaryHubDown</t>
        </is>
      </c>
      <c r="B216" s="3" t="inlineStr">
        <is>
          <t>DEL_GB</t>
        </is>
      </c>
      <c r="C216" s="3" t="inlineStr">
        <is>
          <t>SIM-00054</t>
        </is>
      </c>
      <c r="D216" s="3" t="inlineStr">
        <is>
          <t>RO-02720</t>
        </is>
      </c>
      <c r="E216" s="3" t="n">
        <v>154</v>
      </c>
      <c r="F216" s="3" t="n">
        <v>3</v>
      </c>
      <c r="G216" s="3" t="n">
        <v>814</v>
      </c>
      <c r="H216" s="4">
        <f>G216/E216</f>
        <v/>
      </c>
      <c r="I216" s="3" t="n">
        <v>2.4</v>
      </c>
      <c r="J216" s="4">
        <f>(F216-Assumptions!$B$13)/(Assumptions!$C$13-Assumptions!$B$13)</f>
        <v/>
      </c>
      <c r="K216" s="4">
        <f>(H216-Assumptions!$B$14)/(Assumptions!$C$14-Assumptions!$B$14)</f>
        <v/>
      </c>
      <c r="L216" s="4">
        <f>(I216-Assumptions!$B$15)/(Assumptions!$C$15-Assumptions!$B$15)</f>
        <v/>
      </c>
      <c r="M216" s="4">
        <f>0.4*J216+0.4*K216+0.2*L216</f>
        <v/>
      </c>
    </row>
    <row r="217">
      <c r="A217" s="3" t="inlineStr">
        <is>
          <t>PrimaryHubDown</t>
        </is>
      </c>
      <c r="B217" s="3" t="inlineStr">
        <is>
          <t>DEL_DO</t>
        </is>
      </c>
      <c r="C217" s="3" t="inlineStr">
        <is>
          <t>SIM-00057</t>
        </is>
      </c>
      <c r="D217" s="3" t="inlineStr">
        <is>
          <t>RO-00851</t>
        </is>
      </c>
      <c r="E217" s="3" t="n">
        <v>24</v>
      </c>
      <c r="F217" s="3" t="n">
        <v>4</v>
      </c>
      <c r="G217" s="3" t="n">
        <v>690</v>
      </c>
      <c r="H217" s="4">
        <f>G217/E217</f>
        <v/>
      </c>
      <c r="I217" s="3" t="n">
        <v>3.3</v>
      </c>
      <c r="J217" s="4">
        <f>(F217-Assumptions!$B$13)/(Assumptions!$C$13-Assumptions!$B$13)</f>
        <v/>
      </c>
      <c r="K217" s="4">
        <f>(H217-Assumptions!$B$14)/(Assumptions!$C$14-Assumptions!$B$14)</f>
        <v/>
      </c>
      <c r="L217" s="4">
        <f>(I217-Assumptions!$B$15)/(Assumptions!$C$15-Assumptions!$B$15)</f>
        <v/>
      </c>
      <c r="M217" s="4">
        <f>0.4*J217+0.4*K217+0.2*L217</f>
        <v/>
      </c>
    </row>
    <row r="218">
      <c r="A218" s="3" t="inlineStr">
        <is>
          <t>PrimaryHubDown</t>
        </is>
      </c>
      <c r="B218" s="3" t="inlineStr">
        <is>
          <t>DEL_GF</t>
        </is>
      </c>
      <c r="C218" s="3" t="inlineStr">
        <is>
          <t>SIM-00057</t>
        </is>
      </c>
      <c r="D218" s="3" t="inlineStr">
        <is>
          <t>RO-00851</t>
        </is>
      </c>
      <c r="E218" s="3" t="n">
        <v>31</v>
      </c>
      <c r="F218" s="3" t="n">
        <v>4</v>
      </c>
      <c r="G218" s="3" t="n">
        <v>690</v>
      </c>
      <c r="H218" s="4">
        <f>G218/E218</f>
        <v/>
      </c>
      <c r="I218" s="3" t="n">
        <v>3.3</v>
      </c>
      <c r="J218" s="4">
        <f>(F218-Assumptions!$B$13)/(Assumptions!$C$13-Assumptions!$B$13)</f>
        <v/>
      </c>
      <c r="K218" s="4">
        <f>(H218-Assumptions!$B$14)/(Assumptions!$C$14-Assumptions!$B$14)</f>
        <v/>
      </c>
      <c r="L218" s="4">
        <f>(I218-Assumptions!$B$15)/(Assumptions!$C$15-Assumptions!$B$15)</f>
        <v/>
      </c>
      <c r="M218" s="4">
        <f>0.4*J218+0.4*K218+0.2*L218</f>
        <v/>
      </c>
    </row>
    <row r="219">
      <c r="A219" s="3" t="inlineStr">
        <is>
          <t>PrimaryHubDown</t>
        </is>
      </c>
      <c r="B219" s="3" t="inlineStr">
        <is>
          <t>DEL_O</t>
        </is>
      </c>
      <c r="C219" s="3" t="inlineStr">
        <is>
          <t>SIM-00059</t>
        </is>
      </c>
      <c r="D219" s="3" t="inlineStr">
        <is>
          <t>RO-00884</t>
        </is>
      </c>
      <c r="E219" s="3" t="n">
        <v>10.5</v>
      </c>
      <c r="F219" s="3" t="n">
        <v>5</v>
      </c>
      <c r="G219" s="3" t="n">
        <v>814</v>
      </c>
      <c r="H219" s="4">
        <f>G219/E219</f>
        <v/>
      </c>
      <c r="I219" s="3" t="n">
        <v>2.4</v>
      </c>
      <c r="J219" s="4">
        <f>(F219-Assumptions!$B$13)/(Assumptions!$C$13-Assumptions!$B$13)</f>
        <v/>
      </c>
      <c r="K219" s="4">
        <f>(H219-Assumptions!$B$14)/(Assumptions!$C$14-Assumptions!$B$14)</f>
        <v/>
      </c>
      <c r="L219" s="4">
        <f>(I219-Assumptions!$B$15)/(Assumptions!$C$15-Assumptions!$B$15)</f>
        <v/>
      </c>
      <c r="M219" s="4">
        <f>0.4*J219+0.4*K219+0.2*L219</f>
        <v/>
      </c>
    </row>
    <row r="220">
      <c r="A220" s="3" t="inlineStr">
        <is>
          <t>PrimaryHubDown</t>
        </is>
      </c>
      <c r="B220" s="3" t="inlineStr">
        <is>
          <t>DEL_AR</t>
        </is>
      </c>
      <c r="C220" s="3" t="inlineStr">
        <is>
          <t>SIM-00062</t>
        </is>
      </c>
      <c r="D220" s="3" t="inlineStr">
        <is>
          <t>RO-00917</t>
        </is>
      </c>
      <c r="E220" s="3" t="n">
        <v>242.5</v>
      </c>
      <c r="F220" s="3" t="n">
        <v>11</v>
      </c>
      <c r="G220" s="3" t="n">
        <v>386</v>
      </c>
      <c r="H220" s="4">
        <f>G220/E220</f>
        <v/>
      </c>
      <c r="I220" s="3" t="n">
        <v>4.7</v>
      </c>
      <c r="J220" s="4">
        <f>(F220-Assumptions!$B$13)/(Assumptions!$C$13-Assumptions!$B$13)</f>
        <v/>
      </c>
      <c r="K220" s="4">
        <f>(H220-Assumptions!$B$14)/(Assumptions!$C$14-Assumptions!$B$14)</f>
        <v/>
      </c>
      <c r="L220" s="4">
        <f>(I220-Assumptions!$B$15)/(Assumptions!$C$15-Assumptions!$B$15)</f>
        <v/>
      </c>
      <c r="M220" s="4">
        <f>0.4*J220+0.4*K220+0.2*L220</f>
        <v/>
      </c>
    </row>
    <row r="221">
      <c r="A221" s="3" t="inlineStr">
        <is>
          <t>PrimaryHubDown</t>
        </is>
      </c>
      <c r="B221" s="3" t="inlineStr">
        <is>
          <t>DEL_EY</t>
        </is>
      </c>
      <c r="C221" s="3" t="inlineStr">
        <is>
          <t>SIM-00063</t>
        </is>
      </c>
      <c r="D221" s="3" t="inlineStr">
        <is>
          <t>RO-00335</t>
        </is>
      </c>
      <c r="E221" s="3" t="n">
        <v>6.5</v>
      </c>
      <c r="F221" s="3" t="n">
        <v>4</v>
      </c>
      <c r="G221" s="3" t="n">
        <v>654</v>
      </c>
      <c r="H221" s="4">
        <f>G221/E221</f>
        <v/>
      </c>
      <c r="I221" s="3" t="n">
        <v>3.3</v>
      </c>
      <c r="J221" s="4">
        <f>(F221-Assumptions!$B$13)/(Assumptions!$C$13-Assumptions!$B$13)</f>
        <v/>
      </c>
      <c r="K221" s="4">
        <f>(H221-Assumptions!$B$14)/(Assumptions!$C$14-Assumptions!$B$14)</f>
        <v/>
      </c>
      <c r="L221" s="4">
        <f>(I221-Assumptions!$B$15)/(Assumptions!$C$15-Assumptions!$B$15)</f>
        <v/>
      </c>
      <c r="M221" s="4">
        <f>0.4*J221+0.4*K221+0.2*L221</f>
        <v/>
      </c>
    </row>
    <row r="222">
      <c r="A222" s="3" t="inlineStr">
        <is>
          <t>PrimaryHubDown</t>
        </is>
      </c>
      <c r="B222" s="3" t="inlineStr">
        <is>
          <t>DEL_AA</t>
        </is>
      </c>
      <c r="C222" s="3" t="inlineStr">
        <is>
          <t>SIM-00074</t>
        </is>
      </c>
      <c r="D222" s="3" t="inlineStr">
        <is>
          <t>RO-00140</t>
        </is>
      </c>
      <c r="E222" s="3" t="n">
        <v>2776</v>
      </c>
      <c r="F222" s="3" t="n">
        <v>3</v>
      </c>
      <c r="G222" s="3" t="n">
        <v>850</v>
      </c>
      <c r="H222" s="4">
        <f>G222/E222</f>
        <v/>
      </c>
      <c r="I222" s="3" t="n">
        <v>2.4</v>
      </c>
      <c r="J222" s="4">
        <f>(F222-Assumptions!$B$13)/(Assumptions!$C$13-Assumptions!$B$13)</f>
        <v/>
      </c>
      <c r="K222" s="4">
        <f>(H222-Assumptions!$B$14)/(Assumptions!$C$14-Assumptions!$B$14)</f>
        <v/>
      </c>
      <c r="L222" s="4">
        <f>(I222-Assumptions!$B$15)/(Assumptions!$C$15-Assumptions!$B$15)</f>
        <v/>
      </c>
      <c r="M222" s="4">
        <f>0.4*J222+0.4*K222+0.2*L222</f>
        <v/>
      </c>
    </row>
    <row r="223">
      <c r="A223" s="3" t="inlineStr">
        <is>
          <t>PrimaryHubDown</t>
        </is>
      </c>
      <c r="B223" s="3" t="inlineStr">
        <is>
          <t>DEL_ER</t>
        </is>
      </c>
      <c r="C223" s="3" t="inlineStr">
        <is>
          <t>SIM-00077</t>
        </is>
      </c>
      <c r="D223" s="3" t="inlineStr">
        <is>
          <t>RO-00191</t>
        </is>
      </c>
      <c r="E223" s="3" t="n">
        <v>157.5</v>
      </c>
      <c r="F223" s="3" t="n">
        <v>4</v>
      </c>
      <c r="G223" s="3" t="n">
        <v>654</v>
      </c>
      <c r="H223" s="4">
        <f>G223/E223</f>
        <v/>
      </c>
      <c r="I223" s="3" t="n">
        <v>3.3</v>
      </c>
      <c r="J223" s="4">
        <f>(F223-Assumptions!$B$13)/(Assumptions!$C$13-Assumptions!$B$13)</f>
        <v/>
      </c>
      <c r="K223" s="4">
        <f>(H223-Assumptions!$B$14)/(Assumptions!$C$14-Assumptions!$B$14)</f>
        <v/>
      </c>
      <c r="L223" s="4">
        <f>(I223-Assumptions!$B$15)/(Assumptions!$C$15-Assumptions!$B$15)</f>
        <v/>
      </c>
      <c r="M223" s="4">
        <f>0.4*J223+0.4*K223+0.2*L223</f>
        <v/>
      </c>
    </row>
    <row r="224">
      <c r="A224" s="3" t="inlineStr">
        <is>
          <t>PrimaryHubDown</t>
        </is>
      </c>
      <c r="B224" s="3" t="inlineStr">
        <is>
          <t>DEL_FM</t>
        </is>
      </c>
      <c r="C224" s="3" t="inlineStr">
        <is>
          <t>SIM-00077</t>
        </is>
      </c>
      <c r="D224" s="3" t="inlineStr">
        <is>
          <t>RO-00191</t>
        </is>
      </c>
      <c r="E224" s="3" t="n">
        <v>7.5</v>
      </c>
      <c r="F224" s="3" t="n">
        <v>4</v>
      </c>
      <c r="G224" s="3" t="n">
        <v>654</v>
      </c>
      <c r="H224" s="4">
        <f>G224/E224</f>
        <v/>
      </c>
      <c r="I224" s="3" t="n">
        <v>3.3</v>
      </c>
      <c r="J224" s="4">
        <f>(F224-Assumptions!$B$13)/(Assumptions!$C$13-Assumptions!$B$13)</f>
        <v/>
      </c>
      <c r="K224" s="4">
        <f>(H224-Assumptions!$B$14)/(Assumptions!$C$14-Assumptions!$B$14)</f>
        <v/>
      </c>
      <c r="L224" s="4">
        <f>(I224-Assumptions!$B$15)/(Assumptions!$C$15-Assumptions!$B$15)</f>
        <v/>
      </c>
      <c r="M224" s="4">
        <f>0.4*J224+0.4*K224+0.2*L224</f>
        <v/>
      </c>
    </row>
    <row r="225">
      <c r="A225" s="3" t="inlineStr">
        <is>
          <t>PrimaryHubDown</t>
        </is>
      </c>
      <c r="B225" s="3" t="inlineStr">
        <is>
          <t>DEL_GP</t>
        </is>
      </c>
      <c r="C225" s="3" t="inlineStr">
        <is>
          <t>SIM-00080</t>
        </is>
      </c>
      <c r="D225" s="3" t="inlineStr">
        <is>
          <t>RO-00959</t>
        </is>
      </c>
      <c r="E225" s="3" t="n">
        <v>459</v>
      </c>
      <c r="F225" s="3" t="n">
        <v>6</v>
      </c>
      <c r="G225" s="3" t="n">
        <v>690</v>
      </c>
      <c r="H225" s="4">
        <f>G225/E225</f>
        <v/>
      </c>
      <c r="I225" s="3" t="n">
        <v>3.3</v>
      </c>
      <c r="J225" s="4">
        <f>(F225-Assumptions!$B$13)/(Assumptions!$C$13-Assumptions!$B$13)</f>
        <v/>
      </c>
      <c r="K225" s="4">
        <f>(H225-Assumptions!$B$14)/(Assumptions!$C$14-Assumptions!$B$14)</f>
        <v/>
      </c>
      <c r="L225" s="4">
        <f>(I225-Assumptions!$B$15)/(Assumptions!$C$15-Assumptions!$B$15)</f>
        <v/>
      </c>
      <c r="M225" s="4">
        <f>0.4*J225+0.4*K225+0.2*L225</f>
        <v/>
      </c>
    </row>
    <row r="226">
      <c r="A226" s="3" t="inlineStr">
        <is>
          <t>PrimaryHubDown</t>
        </is>
      </c>
      <c r="B226" s="3" t="inlineStr">
        <is>
          <t>DEL_DD</t>
        </is>
      </c>
      <c r="C226" s="3" t="inlineStr">
        <is>
          <t>SIM-00084</t>
        </is>
      </c>
      <c r="D226" s="3" t="inlineStr">
        <is>
          <t>RO-01490</t>
        </is>
      </c>
      <c r="E226" s="3" t="n">
        <v>90.5</v>
      </c>
      <c r="F226" s="3" t="n">
        <v>6</v>
      </c>
      <c r="G226" s="3" t="n">
        <v>430</v>
      </c>
      <c r="H226" s="4">
        <f>G226/E226</f>
        <v/>
      </c>
      <c r="I226" s="3" t="n">
        <v>3.2</v>
      </c>
      <c r="J226" s="4">
        <f>(F226-Assumptions!$B$13)/(Assumptions!$C$13-Assumptions!$B$13)</f>
        <v/>
      </c>
      <c r="K226" s="4">
        <f>(H226-Assumptions!$B$14)/(Assumptions!$C$14-Assumptions!$B$14)</f>
        <v/>
      </c>
      <c r="L226" s="4">
        <f>(I226-Assumptions!$B$15)/(Assumptions!$C$15-Assumptions!$B$15)</f>
        <v/>
      </c>
      <c r="M226" s="4">
        <f>0.4*J226+0.4*K226+0.2*L226</f>
        <v/>
      </c>
    </row>
    <row r="227">
      <c r="A227" s="3" t="inlineStr">
        <is>
          <t>PrimaryHubDown</t>
        </is>
      </c>
      <c r="B227" s="3" t="inlineStr">
        <is>
          <t>DEL_GY</t>
        </is>
      </c>
      <c r="C227" s="3" t="inlineStr">
        <is>
          <t>SIM-00084</t>
        </is>
      </c>
      <c r="D227" s="3" t="inlineStr">
        <is>
          <t>RO-01490</t>
        </is>
      </c>
      <c r="E227" s="3" t="n">
        <v>165</v>
      </c>
      <c r="F227" s="3" t="n">
        <v>6</v>
      </c>
      <c r="G227" s="3" t="n">
        <v>430</v>
      </c>
      <c r="H227" s="4">
        <f>G227/E227</f>
        <v/>
      </c>
      <c r="I227" s="3" t="n">
        <v>3.2</v>
      </c>
      <c r="J227" s="4">
        <f>(F227-Assumptions!$B$13)/(Assumptions!$C$13-Assumptions!$B$13)</f>
        <v/>
      </c>
      <c r="K227" s="4">
        <f>(H227-Assumptions!$B$14)/(Assumptions!$C$14-Assumptions!$B$14)</f>
        <v/>
      </c>
      <c r="L227" s="4">
        <f>(I227-Assumptions!$B$15)/(Assumptions!$C$15-Assumptions!$B$15)</f>
        <v/>
      </c>
      <c r="M227" s="4">
        <f>0.4*J227+0.4*K227+0.2*L227</f>
        <v/>
      </c>
    </row>
    <row r="228">
      <c r="A228" s="3" t="inlineStr">
        <is>
          <t>PrimaryHubDown</t>
        </is>
      </c>
      <c r="B228" s="3" t="inlineStr">
        <is>
          <t>DEL_CT</t>
        </is>
      </c>
      <c r="C228" s="3" t="inlineStr">
        <is>
          <t>SIM-00088</t>
        </is>
      </c>
      <c r="D228" s="3" t="inlineStr">
        <is>
          <t>RO-01316</t>
        </is>
      </c>
      <c r="E228" s="3" t="n">
        <v>438</v>
      </c>
      <c r="F228" s="3" t="n">
        <v>3</v>
      </c>
      <c r="G228" s="3" t="n">
        <v>814</v>
      </c>
      <c r="H228" s="4">
        <f>G228/E228</f>
        <v/>
      </c>
      <c r="I228" s="3" t="n">
        <v>2.4</v>
      </c>
      <c r="J228" s="4">
        <f>(F228-Assumptions!$B$13)/(Assumptions!$C$13-Assumptions!$B$13)</f>
        <v/>
      </c>
      <c r="K228" s="4">
        <f>(H228-Assumptions!$B$14)/(Assumptions!$C$14-Assumptions!$B$14)</f>
        <v/>
      </c>
      <c r="L228" s="4">
        <f>(I228-Assumptions!$B$15)/(Assumptions!$C$15-Assumptions!$B$15)</f>
        <v/>
      </c>
      <c r="M228" s="4">
        <f>0.4*J228+0.4*K228+0.2*L228</f>
        <v/>
      </c>
    </row>
    <row r="229">
      <c r="A229" s="3" t="inlineStr">
        <is>
          <t>PrimaryHubDown</t>
        </is>
      </c>
      <c r="B229" s="3" t="inlineStr">
        <is>
          <t>DEL_CU</t>
        </is>
      </c>
      <c r="C229" s="3" t="inlineStr">
        <is>
          <t>SIM-00097</t>
        </is>
      </c>
      <c r="D229" s="3" t="inlineStr">
        <is>
          <t>RO-01451</t>
        </is>
      </c>
      <c r="E229" s="3" t="n">
        <v>2635</v>
      </c>
      <c r="F229" s="3" t="n">
        <v>4</v>
      </c>
      <c r="G229" s="3" t="n">
        <v>654</v>
      </c>
      <c r="H229" s="4">
        <f>G229/E229</f>
        <v/>
      </c>
      <c r="I229" s="3" t="n">
        <v>3.3</v>
      </c>
      <c r="J229" s="4">
        <f>(F229-Assumptions!$B$13)/(Assumptions!$C$13-Assumptions!$B$13)</f>
        <v/>
      </c>
      <c r="K229" s="4">
        <f>(H229-Assumptions!$B$14)/(Assumptions!$C$14-Assumptions!$B$14)</f>
        <v/>
      </c>
      <c r="L229" s="4">
        <f>(I229-Assumptions!$B$15)/(Assumptions!$C$15-Assumptions!$B$15)</f>
        <v/>
      </c>
      <c r="M229" s="4">
        <f>0.4*J229+0.4*K229+0.2*L229</f>
        <v/>
      </c>
    </row>
    <row r="230">
      <c r="A230" s="3" t="inlineStr">
        <is>
          <t>PrimaryHubDown</t>
        </is>
      </c>
      <c r="B230" s="3" t="inlineStr">
        <is>
          <t>DEL_DW</t>
        </is>
      </c>
      <c r="C230" s="3" t="inlineStr">
        <is>
          <t>SIM-00097</t>
        </is>
      </c>
      <c r="D230" s="3" t="inlineStr">
        <is>
          <t>RO-01451</t>
        </is>
      </c>
      <c r="E230" s="3" t="n">
        <v>1617</v>
      </c>
      <c r="F230" s="3" t="n">
        <v>4</v>
      </c>
      <c r="G230" s="3" t="n">
        <v>654</v>
      </c>
      <c r="H230" s="4">
        <f>G230/E230</f>
        <v/>
      </c>
      <c r="I230" s="3" t="n">
        <v>3.3</v>
      </c>
      <c r="J230" s="4">
        <f>(F230-Assumptions!$B$13)/(Assumptions!$C$13-Assumptions!$B$13)</f>
        <v/>
      </c>
      <c r="K230" s="4">
        <f>(H230-Assumptions!$B$14)/(Assumptions!$C$14-Assumptions!$B$14)</f>
        <v/>
      </c>
      <c r="L230" s="4">
        <f>(I230-Assumptions!$B$15)/(Assumptions!$C$15-Assumptions!$B$15)</f>
        <v/>
      </c>
      <c r="M230" s="4">
        <f>0.4*J230+0.4*K230+0.2*L230</f>
        <v/>
      </c>
    </row>
    <row r="231">
      <c r="A231" s="3" t="inlineStr">
        <is>
          <t>PrimaryHubDown</t>
        </is>
      </c>
      <c r="B231" s="3" t="inlineStr">
        <is>
          <t>DEL_EZ</t>
        </is>
      </c>
      <c r="C231" s="3" t="inlineStr">
        <is>
          <t>SIM-00098</t>
        </is>
      </c>
      <c r="D231" s="3" t="inlineStr">
        <is>
          <t>RO-01466</t>
        </is>
      </c>
      <c r="E231" s="3" t="n">
        <v>5</v>
      </c>
      <c r="F231" s="3" t="n">
        <v>6</v>
      </c>
      <c r="G231" s="3" t="n">
        <v>466</v>
      </c>
      <c r="H231" s="4">
        <f>G231/E231</f>
        <v/>
      </c>
      <c r="I231" s="3" t="n">
        <v>3.2</v>
      </c>
      <c r="J231" s="4">
        <f>(F231-Assumptions!$B$13)/(Assumptions!$C$13-Assumptions!$B$13)</f>
        <v/>
      </c>
      <c r="K231" s="4">
        <f>(H231-Assumptions!$B$14)/(Assumptions!$C$14-Assumptions!$B$14)</f>
        <v/>
      </c>
      <c r="L231" s="4">
        <f>(I231-Assumptions!$B$15)/(Assumptions!$C$15-Assumptions!$B$15)</f>
        <v/>
      </c>
      <c r="M231" s="4">
        <f>0.4*J231+0.4*K231+0.2*L231</f>
        <v/>
      </c>
    </row>
    <row r="232">
      <c r="A232" s="3" t="inlineStr">
        <is>
          <t>PrimaryHubDown</t>
        </is>
      </c>
      <c r="B232" s="3" t="inlineStr">
        <is>
          <t>DEL_DP</t>
        </is>
      </c>
      <c r="C232" s="3" t="inlineStr">
        <is>
          <t>SIM-00100</t>
        </is>
      </c>
      <c r="D232" s="3" t="inlineStr">
        <is>
          <t>RO-01499</t>
        </is>
      </c>
      <c r="E232" s="3" t="n">
        <v>8.5</v>
      </c>
      <c r="F232" s="3" t="n">
        <v>6</v>
      </c>
      <c r="G232" s="3" t="n">
        <v>690</v>
      </c>
      <c r="H232" s="4">
        <f>G232/E232</f>
        <v/>
      </c>
      <c r="I232" s="3" t="n">
        <v>3.3</v>
      </c>
      <c r="J232" s="4">
        <f>(F232-Assumptions!$B$13)/(Assumptions!$C$13-Assumptions!$B$13)</f>
        <v/>
      </c>
      <c r="K232" s="4">
        <f>(H232-Assumptions!$B$14)/(Assumptions!$C$14-Assumptions!$B$14)</f>
        <v/>
      </c>
      <c r="L232" s="4">
        <f>(I232-Assumptions!$B$15)/(Assumptions!$C$15-Assumptions!$B$15)</f>
        <v/>
      </c>
      <c r="M232" s="4">
        <f>0.4*J232+0.4*K232+0.2*L232</f>
        <v/>
      </c>
    </row>
    <row r="233">
      <c r="A233" s="3" t="inlineStr">
        <is>
          <t>PrimaryHubDown</t>
        </is>
      </c>
      <c r="B233" s="3" t="inlineStr">
        <is>
          <t>DEL_HE</t>
        </is>
      </c>
      <c r="C233" s="3" t="inlineStr">
        <is>
          <t>SIM-00100</t>
        </is>
      </c>
      <c r="D233" s="3" t="inlineStr">
        <is>
          <t>RO-01499</t>
        </is>
      </c>
      <c r="E233" s="3" t="n">
        <v>374</v>
      </c>
      <c r="F233" s="3" t="n">
        <v>6</v>
      </c>
      <c r="G233" s="3" t="n">
        <v>690</v>
      </c>
      <c r="H233" s="4">
        <f>G233/E233</f>
        <v/>
      </c>
      <c r="I233" s="3" t="n">
        <v>3.3</v>
      </c>
      <c r="J233" s="4">
        <f>(F233-Assumptions!$B$13)/(Assumptions!$C$13-Assumptions!$B$13)</f>
        <v/>
      </c>
      <c r="K233" s="4">
        <f>(H233-Assumptions!$B$14)/(Assumptions!$C$14-Assumptions!$B$14)</f>
        <v/>
      </c>
      <c r="L233" s="4">
        <f>(I233-Assumptions!$B$15)/(Assumptions!$C$15-Assumptions!$B$15)</f>
        <v/>
      </c>
      <c r="M233" s="4">
        <f>0.4*J233+0.4*K233+0.2*L233</f>
        <v/>
      </c>
    </row>
    <row r="234">
      <c r="A234" s="3" t="inlineStr">
        <is>
          <t>PrimaryHubDown</t>
        </is>
      </c>
      <c r="B234" s="3" t="inlineStr">
        <is>
          <t>DEL_CN</t>
        </is>
      </c>
      <c r="C234" s="3" t="inlineStr">
        <is>
          <t>SIM-00102</t>
        </is>
      </c>
      <c r="D234" s="3" t="inlineStr">
        <is>
          <t>RO-01757</t>
        </is>
      </c>
      <c r="E234" s="3" t="n">
        <v>2</v>
      </c>
      <c r="F234" s="3" t="n">
        <v>11</v>
      </c>
      <c r="G234" s="3" t="n">
        <v>314</v>
      </c>
      <c r="H234" s="4">
        <f>G234/E234</f>
        <v/>
      </c>
      <c r="I234" s="3" t="n">
        <v>4.7</v>
      </c>
      <c r="J234" s="4">
        <f>(F234-Assumptions!$B$13)/(Assumptions!$C$13-Assumptions!$B$13)</f>
        <v/>
      </c>
      <c r="K234" s="4">
        <f>(H234-Assumptions!$B$14)/(Assumptions!$C$14-Assumptions!$B$14)</f>
        <v/>
      </c>
      <c r="L234" s="4">
        <f>(I234-Assumptions!$B$15)/(Assumptions!$C$15-Assumptions!$B$15)</f>
        <v/>
      </c>
      <c r="M234" s="4">
        <f>0.4*J234+0.4*K234+0.2*L234</f>
        <v/>
      </c>
    </row>
    <row r="235">
      <c r="A235" s="3" t="inlineStr">
        <is>
          <t>PrimaryHubDown</t>
        </is>
      </c>
      <c r="B235" s="3" t="inlineStr">
        <is>
          <t>DEL_FP</t>
        </is>
      </c>
      <c r="C235" s="3" t="inlineStr">
        <is>
          <t>SIM-00102</t>
        </is>
      </c>
      <c r="D235" s="3" t="inlineStr">
        <is>
          <t>RO-01757</t>
        </is>
      </c>
      <c r="E235" s="3" t="n">
        <v>8.5</v>
      </c>
      <c r="F235" s="3" t="n">
        <v>11</v>
      </c>
      <c r="G235" s="3" t="n">
        <v>314</v>
      </c>
      <c r="H235" s="4">
        <f>G235/E235</f>
        <v/>
      </c>
      <c r="I235" s="3" t="n">
        <v>4.7</v>
      </c>
      <c r="J235" s="4">
        <f>(F235-Assumptions!$B$13)/(Assumptions!$C$13-Assumptions!$B$13)</f>
        <v/>
      </c>
      <c r="K235" s="4">
        <f>(H235-Assumptions!$B$14)/(Assumptions!$C$14-Assumptions!$B$14)</f>
        <v/>
      </c>
      <c r="L235" s="4">
        <f>(I235-Assumptions!$B$15)/(Assumptions!$C$15-Assumptions!$B$15)</f>
        <v/>
      </c>
      <c r="M235" s="4">
        <f>0.4*J235+0.4*K235+0.2*L235</f>
        <v/>
      </c>
    </row>
    <row r="236">
      <c r="A236" s="3" t="inlineStr">
        <is>
          <t>PrimaryHubDown</t>
        </is>
      </c>
      <c r="B236" s="3" t="inlineStr">
        <is>
          <t>DEL_Z</t>
        </is>
      </c>
      <c r="C236" s="3" t="inlineStr">
        <is>
          <t>SIM-00104</t>
        </is>
      </c>
      <c r="D236" s="3" t="inlineStr">
        <is>
          <t>RO-01550</t>
        </is>
      </c>
      <c r="E236" s="3" t="n">
        <v>401.5</v>
      </c>
      <c r="F236" s="3" t="n">
        <v>6</v>
      </c>
      <c r="G236" s="3" t="n">
        <v>394</v>
      </c>
      <c r="H236" s="4">
        <f>G236/E236</f>
        <v/>
      </c>
      <c r="I236" s="3" t="n">
        <v>3.2</v>
      </c>
      <c r="J236" s="4">
        <f>(F236-Assumptions!$B$13)/(Assumptions!$C$13-Assumptions!$B$13)</f>
        <v/>
      </c>
      <c r="K236" s="4">
        <f>(H236-Assumptions!$B$14)/(Assumptions!$C$14-Assumptions!$B$14)</f>
        <v/>
      </c>
      <c r="L236" s="4">
        <f>(I236-Assumptions!$B$15)/(Assumptions!$C$15-Assumptions!$B$15)</f>
        <v/>
      </c>
      <c r="M236" s="4">
        <f>0.4*J236+0.4*K236+0.2*L236</f>
        <v/>
      </c>
    </row>
    <row r="237">
      <c r="A237" s="3" t="inlineStr">
        <is>
          <t>PrimaryHubDown</t>
        </is>
      </c>
      <c r="B237" s="3" t="inlineStr">
        <is>
          <t>DEL_EO</t>
        </is>
      </c>
      <c r="C237" s="3" t="inlineStr">
        <is>
          <t>SIM-00105</t>
        </is>
      </c>
      <c r="D237" s="3" t="inlineStr">
        <is>
          <t>RO-01568</t>
        </is>
      </c>
      <c r="E237" s="3" t="n">
        <v>42.5</v>
      </c>
      <c r="F237" s="3" t="n">
        <v>4</v>
      </c>
      <c r="G237" s="3" t="n">
        <v>814</v>
      </c>
      <c r="H237" s="4">
        <f>G237/E237</f>
        <v/>
      </c>
      <c r="I237" s="3" t="n">
        <v>2.4</v>
      </c>
      <c r="J237" s="4">
        <f>(F237-Assumptions!$B$13)/(Assumptions!$C$13-Assumptions!$B$13)</f>
        <v/>
      </c>
      <c r="K237" s="4">
        <f>(H237-Assumptions!$B$14)/(Assumptions!$C$14-Assumptions!$B$14)</f>
        <v/>
      </c>
      <c r="L237" s="4">
        <f>(I237-Assumptions!$B$15)/(Assumptions!$C$15-Assumptions!$B$15)</f>
        <v/>
      </c>
      <c r="M237" s="4">
        <f>0.4*J237+0.4*K237+0.2*L237</f>
        <v/>
      </c>
    </row>
    <row r="238">
      <c r="A238" s="3" t="inlineStr">
        <is>
          <t>PrimaryHubDown</t>
        </is>
      </c>
      <c r="B238" s="3" t="inlineStr">
        <is>
          <t>DEL_CZ</t>
        </is>
      </c>
      <c r="C238" s="3" t="inlineStr">
        <is>
          <t>SIM-00109</t>
        </is>
      </c>
      <c r="D238" s="3" t="inlineStr">
        <is>
          <t>RO-01634</t>
        </is>
      </c>
      <c r="E238" s="3" t="n">
        <v>21</v>
      </c>
      <c r="F238" s="3" t="n">
        <v>8</v>
      </c>
      <c r="G238" s="3" t="n">
        <v>430</v>
      </c>
      <c r="H238" s="4">
        <f>G238/E238</f>
        <v/>
      </c>
      <c r="I238" s="3" t="n">
        <v>3.2</v>
      </c>
      <c r="J238" s="4">
        <f>(F238-Assumptions!$B$13)/(Assumptions!$C$13-Assumptions!$B$13)</f>
        <v/>
      </c>
      <c r="K238" s="4">
        <f>(H238-Assumptions!$B$14)/(Assumptions!$C$14-Assumptions!$B$14)</f>
        <v/>
      </c>
      <c r="L238" s="4">
        <f>(I238-Assumptions!$B$15)/(Assumptions!$C$15-Assumptions!$B$15)</f>
        <v/>
      </c>
      <c r="M238" s="4">
        <f>0.4*J238+0.4*K238+0.2*L238</f>
        <v/>
      </c>
    </row>
    <row r="239">
      <c r="A239" s="3" t="inlineStr">
        <is>
          <t>PrimaryHubDown</t>
        </is>
      </c>
      <c r="B239" s="3" t="inlineStr">
        <is>
          <t>DEL_HN</t>
        </is>
      </c>
      <c r="C239" s="3" t="inlineStr">
        <is>
          <t>SIM-00109</t>
        </is>
      </c>
      <c r="D239" s="3" t="inlineStr">
        <is>
          <t>RO-01634</t>
        </is>
      </c>
      <c r="E239" s="3" t="n">
        <v>27.5</v>
      </c>
      <c r="F239" s="3" t="n">
        <v>8</v>
      </c>
      <c r="G239" s="3" t="n">
        <v>430</v>
      </c>
      <c r="H239" s="4">
        <f>G239/E239</f>
        <v/>
      </c>
      <c r="I239" s="3" t="n">
        <v>3.2</v>
      </c>
      <c r="J239" s="4">
        <f>(F239-Assumptions!$B$13)/(Assumptions!$C$13-Assumptions!$B$13)</f>
        <v/>
      </c>
      <c r="K239" s="4">
        <f>(H239-Assumptions!$B$14)/(Assumptions!$C$14-Assumptions!$B$14)</f>
        <v/>
      </c>
      <c r="L239" s="4">
        <f>(I239-Assumptions!$B$15)/(Assumptions!$C$15-Assumptions!$B$15)</f>
        <v/>
      </c>
      <c r="M239" s="4">
        <f>0.4*J239+0.4*K239+0.2*L239</f>
        <v/>
      </c>
    </row>
    <row r="240">
      <c r="A240" s="3" t="inlineStr">
        <is>
          <t>PrimaryHubDown</t>
        </is>
      </c>
      <c r="B240" s="3" t="inlineStr">
        <is>
          <t>DEL_HK</t>
        </is>
      </c>
      <c r="C240" s="3" t="inlineStr">
        <is>
          <t>SIM-00109</t>
        </is>
      </c>
      <c r="D240" s="3" t="inlineStr">
        <is>
          <t>RO-01634</t>
        </is>
      </c>
      <c r="E240" s="3" t="n">
        <v>20.5</v>
      </c>
      <c r="F240" s="3" t="n">
        <v>8</v>
      </c>
      <c r="G240" s="3" t="n">
        <v>430</v>
      </c>
      <c r="H240" s="4">
        <f>G240/E240</f>
        <v/>
      </c>
      <c r="I240" s="3" t="n">
        <v>3.2</v>
      </c>
      <c r="J240" s="4">
        <f>(F240-Assumptions!$B$13)/(Assumptions!$C$13-Assumptions!$B$13)</f>
        <v/>
      </c>
      <c r="K240" s="4">
        <f>(H240-Assumptions!$B$14)/(Assumptions!$C$14-Assumptions!$B$14)</f>
        <v/>
      </c>
      <c r="L240" s="4">
        <f>(I240-Assumptions!$B$15)/(Assumptions!$C$15-Assumptions!$B$15)</f>
        <v/>
      </c>
      <c r="M240" s="4">
        <f>0.4*J240+0.4*K240+0.2*L240</f>
        <v/>
      </c>
    </row>
    <row r="241">
      <c r="A241" s="3" t="inlineStr">
        <is>
          <t>PrimaryHubDown</t>
        </is>
      </c>
      <c r="B241" s="3" t="inlineStr">
        <is>
          <t>DEL_FD</t>
        </is>
      </c>
      <c r="C241" s="3" t="inlineStr">
        <is>
          <t>SIM-00112</t>
        </is>
      </c>
      <c r="D241" s="3" t="inlineStr">
        <is>
          <t>RO-03107</t>
        </is>
      </c>
      <c r="E241" s="3" t="n">
        <v>230.5</v>
      </c>
      <c r="F241" s="3" t="n">
        <v>4</v>
      </c>
      <c r="G241" s="3" t="n">
        <v>654</v>
      </c>
      <c r="H241" s="4">
        <f>G241/E241</f>
        <v/>
      </c>
      <c r="I241" s="3" t="n">
        <v>3.3</v>
      </c>
      <c r="J241" s="4">
        <f>(F241-Assumptions!$B$13)/(Assumptions!$C$13-Assumptions!$B$13)</f>
        <v/>
      </c>
      <c r="K241" s="4">
        <f>(H241-Assumptions!$B$14)/(Assumptions!$C$14-Assumptions!$B$14)</f>
        <v/>
      </c>
      <c r="L241" s="4">
        <f>(I241-Assumptions!$B$15)/(Assumptions!$C$15-Assumptions!$B$15)</f>
        <v/>
      </c>
      <c r="M241" s="4">
        <f>0.4*J241+0.4*K241+0.2*L241</f>
        <v/>
      </c>
    </row>
    <row r="242">
      <c r="A242" s="3" t="inlineStr">
        <is>
          <t>PrimaryHubDown</t>
        </is>
      </c>
      <c r="B242" s="3" t="inlineStr">
        <is>
          <t>DEL_V</t>
        </is>
      </c>
      <c r="C242" s="3" t="inlineStr">
        <is>
          <t>SIM-00114</t>
        </is>
      </c>
      <c r="D242" s="3" t="inlineStr">
        <is>
          <t>RO-02540</t>
        </is>
      </c>
      <c r="E242" s="3" t="n">
        <v>2729</v>
      </c>
      <c r="F242" s="3" t="n">
        <v>3</v>
      </c>
      <c r="G242" s="3" t="n">
        <v>814</v>
      </c>
      <c r="H242" s="4">
        <f>G242/E242</f>
        <v/>
      </c>
      <c r="I242" s="3" t="n">
        <v>2.4</v>
      </c>
      <c r="J242" s="4">
        <f>(F242-Assumptions!$B$13)/(Assumptions!$C$13-Assumptions!$B$13)</f>
        <v/>
      </c>
      <c r="K242" s="4">
        <f>(H242-Assumptions!$B$14)/(Assumptions!$C$14-Assumptions!$B$14)</f>
        <v/>
      </c>
      <c r="L242" s="4">
        <f>(I242-Assumptions!$B$15)/(Assumptions!$C$15-Assumptions!$B$15)</f>
        <v/>
      </c>
      <c r="M242" s="4">
        <f>0.4*J242+0.4*K242+0.2*L242</f>
        <v/>
      </c>
    </row>
    <row r="243">
      <c r="A243" s="3" t="inlineStr">
        <is>
          <t>PrimaryHubDown</t>
        </is>
      </c>
      <c r="B243" s="3" t="inlineStr">
        <is>
          <t>DEL_GI</t>
        </is>
      </c>
      <c r="C243" s="3" t="inlineStr">
        <is>
          <t>SIM-00120</t>
        </is>
      </c>
      <c r="D243" s="3" t="inlineStr">
        <is>
          <t>RO-00119</t>
        </is>
      </c>
      <c r="E243" s="3" t="n">
        <v>7.5</v>
      </c>
      <c r="F243" s="3" t="n">
        <v>6</v>
      </c>
      <c r="G243" s="3" t="n">
        <v>654</v>
      </c>
      <c r="H243" s="4">
        <f>G243/E243</f>
        <v/>
      </c>
      <c r="I243" s="3" t="n">
        <v>3.3</v>
      </c>
      <c r="J243" s="4">
        <f>(F243-Assumptions!$B$13)/(Assumptions!$C$13-Assumptions!$B$13)</f>
        <v/>
      </c>
      <c r="K243" s="4">
        <f>(H243-Assumptions!$B$14)/(Assumptions!$C$14-Assumptions!$B$14)</f>
        <v/>
      </c>
      <c r="L243" s="4">
        <f>(I243-Assumptions!$B$15)/(Assumptions!$C$15-Assumptions!$B$15)</f>
        <v/>
      </c>
      <c r="M243" s="4">
        <f>0.4*J243+0.4*K243+0.2*L243</f>
        <v/>
      </c>
    </row>
    <row r="244">
      <c r="A244" s="3" t="inlineStr">
        <is>
          <t>PrimaryHubDown</t>
        </is>
      </c>
      <c r="B244" s="3" t="inlineStr">
        <is>
          <t>DEL_CJ</t>
        </is>
      </c>
      <c r="C244" s="3" t="inlineStr">
        <is>
          <t>SIM-00121</t>
        </is>
      </c>
      <c r="D244" s="3" t="inlineStr">
        <is>
          <t>RO-00722</t>
        </is>
      </c>
      <c r="E244" s="3" t="n">
        <v>5.5</v>
      </c>
      <c r="F244" s="3" t="n">
        <v>6</v>
      </c>
      <c r="G244" s="3" t="n">
        <v>394</v>
      </c>
      <c r="H244" s="4">
        <f>G244/E244</f>
        <v/>
      </c>
      <c r="I244" s="3" t="n">
        <v>3.2</v>
      </c>
      <c r="J244" s="4">
        <f>(F244-Assumptions!$B$13)/(Assumptions!$C$13-Assumptions!$B$13)</f>
        <v/>
      </c>
      <c r="K244" s="4">
        <f>(H244-Assumptions!$B$14)/(Assumptions!$C$14-Assumptions!$B$14)</f>
        <v/>
      </c>
      <c r="L244" s="4">
        <f>(I244-Assumptions!$B$15)/(Assumptions!$C$15-Assumptions!$B$15)</f>
        <v/>
      </c>
      <c r="M244" s="4">
        <f>0.4*J244+0.4*K244+0.2*L244</f>
        <v/>
      </c>
    </row>
    <row r="245">
      <c r="A245" s="3" t="inlineStr">
        <is>
          <t>PrimaryHubDown</t>
        </is>
      </c>
      <c r="B245" s="3" t="inlineStr">
        <is>
          <t>DEL_FF</t>
        </is>
      </c>
      <c r="C245" s="3" t="inlineStr">
        <is>
          <t>SIM-00121</t>
        </is>
      </c>
      <c r="D245" s="3" t="inlineStr">
        <is>
          <t>RO-00722</t>
        </is>
      </c>
      <c r="E245" s="3" t="n">
        <v>28</v>
      </c>
      <c r="F245" s="3" t="n">
        <v>6</v>
      </c>
      <c r="G245" s="3" t="n">
        <v>394</v>
      </c>
      <c r="H245" s="4">
        <f>G245/E245</f>
        <v/>
      </c>
      <c r="I245" s="3" t="n">
        <v>3.2</v>
      </c>
      <c r="J245" s="4">
        <f>(F245-Assumptions!$B$13)/(Assumptions!$C$13-Assumptions!$B$13)</f>
        <v/>
      </c>
      <c r="K245" s="4">
        <f>(H245-Assumptions!$B$14)/(Assumptions!$C$14-Assumptions!$B$14)</f>
        <v/>
      </c>
      <c r="L245" s="4">
        <f>(I245-Assumptions!$B$15)/(Assumptions!$C$15-Assumptions!$B$15)</f>
        <v/>
      </c>
      <c r="M245" s="4">
        <f>0.4*J245+0.4*K245+0.2*L245</f>
        <v/>
      </c>
    </row>
    <row r="246">
      <c r="A246" s="3" t="inlineStr">
        <is>
          <t>PrimaryHubDown</t>
        </is>
      </c>
      <c r="B246" s="3" t="inlineStr">
        <is>
          <t>DEL_CR</t>
        </is>
      </c>
      <c r="C246" s="3" t="inlineStr">
        <is>
          <t>SIM-00123</t>
        </is>
      </c>
      <c r="D246" s="3" t="inlineStr">
        <is>
          <t>RO-01835</t>
        </is>
      </c>
      <c r="E246" s="3" t="n">
        <v>389</v>
      </c>
      <c r="F246" s="3" t="n">
        <v>4</v>
      </c>
      <c r="G246" s="3" t="n">
        <v>726</v>
      </c>
      <c r="H246" s="4">
        <f>G246/E246</f>
        <v/>
      </c>
      <c r="I246" s="3" t="n">
        <v>3.3</v>
      </c>
      <c r="J246" s="4">
        <f>(F246-Assumptions!$B$13)/(Assumptions!$C$13-Assumptions!$B$13)</f>
        <v/>
      </c>
      <c r="K246" s="4">
        <f>(H246-Assumptions!$B$14)/(Assumptions!$C$14-Assumptions!$B$14)</f>
        <v/>
      </c>
      <c r="L246" s="4">
        <f>(I246-Assumptions!$B$15)/(Assumptions!$C$15-Assumptions!$B$15)</f>
        <v/>
      </c>
      <c r="M246" s="4">
        <f>0.4*J246+0.4*K246+0.2*L246</f>
        <v/>
      </c>
    </row>
    <row r="247">
      <c r="A247" s="3" t="inlineStr">
        <is>
          <t>PrimaryHubDown</t>
        </is>
      </c>
      <c r="B247" s="3" t="inlineStr">
        <is>
          <t>DEL_HF</t>
        </is>
      </c>
      <c r="C247" s="3" t="inlineStr">
        <is>
          <t>SIM-00124</t>
        </is>
      </c>
      <c r="D247" s="3" t="inlineStr">
        <is>
          <t>RO-01850</t>
        </is>
      </c>
      <c r="E247" s="3" t="n">
        <v>3.5</v>
      </c>
      <c r="F247" s="3" t="n">
        <v>6</v>
      </c>
      <c r="G247" s="3" t="n">
        <v>430</v>
      </c>
      <c r="H247" s="4">
        <f>G247/E247</f>
        <v/>
      </c>
      <c r="I247" s="3" t="n">
        <v>3.2</v>
      </c>
      <c r="J247" s="4">
        <f>(F247-Assumptions!$B$13)/(Assumptions!$C$13-Assumptions!$B$13)</f>
        <v/>
      </c>
      <c r="K247" s="4">
        <f>(H247-Assumptions!$B$14)/(Assumptions!$C$14-Assumptions!$B$14)</f>
        <v/>
      </c>
      <c r="L247" s="4">
        <f>(I247-Assumptions!$B$15)/(Assumptions!$C$15-Assumptions!$B$15)</f>
        <v/>
      </c>
      <c r="M247" s="4">
        <f>0.4*J247+0.4*K247+0.2*L247</f>
        <v/>
      </c>
    </row>
    <row r="248">
      <c r="A248" s="3" t="inlineStr">
        <is>
          <t>PrimaryHubDown</t>
        </is>
      </c>
      <c r="B248" s="3" t="inlineStr">
        <is>
          <t>DEL_BH</t>
        </is>
      </c>
      <c r="C248" s="3" t="inlineStr">
        <is>
          <t>SIM-00125</t>
        </is>
      </c>
      <c r="D248" s="3" t="inlineStr">
        <is>
          <t>RO-02468</t>
        </is>
      </c>
      <c r="E248" s="3" t="n">
        <v>4</v>
      </c>
      <c r="F248" s="3" t="n">
        <v>4</v>
      </c>
      <c r="G248" s="3" t="n">
        <v>814</v>
      </c>
      <c r="H248" s="4">
        <f>G248/E248</f>
        <v/>
      </c>
      <c r="I248" s="3" t="n">
        <v>2.4</v>
      </c>
      <c r="J248" s="4">
        <f>(F248-Assumptions!$B$13)/(Assumptions!$C$13-Assumptions!$B$13)</f>
        <v/>
      </c>
      <c r="K248" s="4">
        <f>(H248-Assumptions!$B$14)/(Assumptions!$C$14-Assumptions!$B$14)</f>
        <v/>
      </c>
      <c r="L248" s="4">
        <f>(I248-Assumptions!$B$15)/(Assumptions!$C$15-Assumptions!$B$15)</f>
        <v/>
      </c>
      <c r="M248" s="4">
        <f>0.4*J248+0.4*K248+0.2*L248</f>
        <v/>
      </c>
    </row>
    <row r="249">
      <c r="A249" s="3" t="inlineStr">
        <is>
          <t>PrimaryHubDown</t>
        </is>
      </c>
      <c r="B249" s="3" t="inlineStr">
        <is>
          <t>DEL_DK</t>
        </is>
      </c>
      <c r="C249" s="3" t="inlineStr">
        <is>
          <t>SIM-00128</t>
        </is>
      </c>
      <c r="D249" s="3" t="inlineStr">
        <is>
          <t>RO-00236</t>
        </is>
      </c>
      <c r="E249" s="3" t="n">
        <v>1899.5</v>
      </c>
      <c r="F249" s="3" t="n">
        <v>3</v>
      </c>
      <c r="G249" s="3" t="n">
        <v>814</v>
      </c>
      <c r="H249" s="4">
        <f>G249/E249</f>
        <v/>
      </c>
      <c r="I249" s="3" t="n">
        <v>2.4</v>
      </c>
      <c r="J249" s="4">
        <f>(F249-Assumptions!$B$13)/(Assumptions!$C$13-Assumptions!$B$13)</f>
        <v/>
      </c>
      <c r="K249" s="4">
        <f>(H249-Assumptions!$B$14)/(Assumptions!$C$14-Assumptions!$B$14)</f>
        <v/>
      </c>
      <c r="L249" s="4">
        <f>(I249-Assumptions!$B$15)/(Assumptions!$C$15-Assumptions!$B$15)</f>
        <v/>
      </c>
      <c r="M249" s="4">
        <f>0.4*J249+0.4*K249+0.2*L249</f>
        <v/>
      </c>
    </row>
    <row r="250">
      <c r="A250" s="3" t="inlineStr">
        <is>
          <t>PrimaryHubDown</t>
        </is>
      </c>
      <c r="B250" s="3" t="inlineStr">
        <is>
          <t>DEL_HO</t>
        </is>
      </c>
      <c r="C250" s="3" t="inlineStr">
        <is>
          <t>SIM-00129</t>
        </is>
      </c>
      <c r="D250" s="3" t="inlineStr">
        <is>
          <t>RO-01214</t>
        </is>
      </c>
      <c r="E250" s="3" t="n">
        <v>4.5</v>
      </c>
      <c r="F250" s="3" t="n">
        <v>8</v>
      </c>
      <c r="G250" s="3" t="n">
        <v>466</v>
      </c>
      <c r="H250" s="4">
        <f>G250/E250</f>
        <v/>
      </c>
      <c r="I250" s="3" t="n">
        <v>3.2</v>
      </c>
      <c r="J250" s="4">
        <f>(F250-Assumptions!$B$13)/(Assumptions!$C$13-Assumptions!$B$13)</f>
        <v/>
      </c>
      <c r="K250" s="4">
        <f>(H250-Assumptions!$B$14)/(Assumptions!$C$14-Assumptions!$B$14)</f>
        <v/>
      </c>
      <c r="L250" s="4">
        <f>(I250-Assumptions!$B$15)/(Assumptions!$C$15-Assumptions!$B$15)</f>
        <v/>
      </c>
      <c r="M250" s="4">
        <f>0.4*J250+0.4*K250+0.2*L250</f>
        <v/>
      </c>
    </row>
    <row r="251">
      <c r="A251" s="3" t="inlineStr">
        <is>
          <t>PrimaryHubDown</t>
        </is>
      </c>
      <c r="B251" s="3" t="inlineStr">
        <is>
          <t>DEL_AE</t>
        </is>
      </c>
      <c r="C251" s="3" t="inlineStr">
        <is>
          <t>SIM-00130</t>
        </is>
      </c>
      <c r="D251" s="3" t="inlineStr">
        <is>
          <t>RO-01949</t>
        </is>
      </c>
      <c r="E251" s="3" t="n">
        <v>56</v>
      </c>
      <c r="F251" s="3" t="n">
        <v>12</v>
      </c>
      <c r="G251" s="3" t="n">
        <v>350</v>
      </c>
      <c r="H251" s="4">
        <f>G251/E251</f>
        <v/>
      </c>
      <c r="I251" s="3" t="n">
        <v>4.7</v>
      </c>
      <c r="J251" s="4">
        <f>(F251-Assumptions!$B$13)/(Assumptions!$C$13-Assumptions!$B$13)</f>
        <v/>
      </c>
      <c r="K251" s="4">
        <f>(H251-Assumptions!$B$14)/(Assumptions!$C$14-Assumptions!$B$14)</f>
        <v/>
      </c>
      <c r="L251" s="4">
        <f>(I251-Assumptions!$B$15)/(Assumptions!$C$15-Assumptions!$B$15)</f>
        <v/>
      </c>
      <c r="M251" s="4">
        <f>0.4*J251+0.4*K251+0.2*L251</f>
        <v/>
      </c>
    </row>
    <row r="252">
      <c r="A252" s="3" t="inlineStr">
        <is>
          <t>PrimaryHubDown</t>
        </is>
      </c>
      <c r="B252" s="3" t="inlineStr">
        <is>
          <t>DEL_N</t>
        </is>
      </c>
      <c r="C252" s="3" t="inlineStr">
        <is>
          <t>SIM-00137</t>
        </is>
      </c>
      <c r="D252" s="3" t="inlineStr">
        <is>
          <t>RO-03011</t>
        </is>
      </c>
      <c r="E252" s="3" t="n">
        <v>61</v>
      </c>
      <c r="F252" s="3" t="n">
        <v>4</v>
      </c>
      <c r="G252" s="3" t="n">
        <v>690</v>
      </c>
      <c r="H252" s="4">
        <f>G252/E252</f>
        <v/>
      </c>
      <c r="I252" s="3" t="n">
        <v>3.3</v>
      </c>
      <c r="J252" s="4">
        <f>(F252-Assumptions!$B$13)/(Assumptions!$C$13-Assumptions!$B$13)</f>
        <v/>
      </c>
      <c r="K252" s="4">
        <f>(H252-Assumptions!$B$14)/(Assumptions!$C$14-Assumptions!$B$14)</f>
        <v/>
      </c>
      <c r="L252" s="4">
        <f>(I252-Assumptions!$B$15)/(Assumptions!$C$15-Assumptions!$B$15)</f>
        <v/>
      </c>
      <c r="M252" s="4">
        <f>0.4*J252+0.4*K252+0.2*L252</f>
        <v/>
      </c>
    </row>
    <row r="253">
      <c r="A253" s="3" t="inlineStr">
        <is>
          <t>PrimaryHubDown</t>
        </is>
      </c>
      <c r="B253" s="3" t="inlineStr">
        <is>
          <t>DEL_AN</t>
        </is>
      </c>
      <c r="C253" s="3" t="inlineStr">
        <is>
          <t>SIM-00137</t>
        </is>
      </c>
      <c r="D253" s="3" t="inlineStr">
        <is>
          <t>RO-03011</t>
        </is>
      </c>
      <c r="E253" s="3" t="n">
        <v>3438</v>
      </c>
      <c r="F253" s="3" t="n">
        <v>4</v>
      </c>
      <c r="G253" s="3" t="n">
        <v>690</v>
      </c>
      <c r="H253" s="4">
        <f>G253/E253</f>
        <v/>
      </c>
      <c r="I253" s="3" t="n">
        <v>3.3</v>
      </c>
      <c r="J253" s="4">
        <f>(F253-Assumptions!$B$13)/(Assumptions!$C$13-Assumptions!$B$13)</f>
        <v/>
      </c>
      <c r="K253" s="4">
        <f>(H253-Assumptions!$B$14)/(Assumptions!$C$14-Assumptions!$B$14)</f>
        <v/>
      </c>
      <c r="L253" s="4">
        <f>(I253-Assumptions!$B$15)/(Assumptions!$C$15-Assumptions!$B$15)</f>
        <v/>
      </c>
      <c r="M253" s="4">
        <f>0.4*J253+0.4*K253+0.2*L253</f>
        <v/>
      </c>
    </row>
    <row r="254">
      <c r="A254" s="3" t="inlineStr">
        <is>
          <t>PrimaryHubDown</t>
        </is>
      </c>
      <c r="B254" s="3" t="inlineStr">
        <is>
          <t>DEL_CK</t>
        </is>
      </c>
      <c r="C254" s="3" t="inlineStr">
        <is>
          <t>SIM-00137</t>
        </is>
      </c>
      <c r="D254" s="3" t="inlineStr">
        <is>
          <t>RO-03011</t>
        </is>
      </c>
      <c r="E254" s="3" t="n">
        <v>12.5</v>
      </c>
      <c r="F254" s="3" t="n">
        <v>4</v>
      </c>
      <c r="G254" s="3" t="n">
        <v>690</v>
      </c>
      <c r="H254" s="4">
        <f>G254/E254</f>
        <v/>
      </c>
      <c r="I254" s="3" t="n">
        <v>3.3</v>
      </c>
      <c r="J254" s="4">
        <f>(F254-Assumptions!$B$13)/(Assumptions!$C$13-Assumptions!$B$13)</f>
        <v/>
      </c>
      <c r="K254" s="4">
        <f>(H254-Assumptions!$B$14)/(Assumptions!$C$14-Assumptions!$B$14)</f>
        <v/>
      </c>
      <c r="L254" s="4">
        <f>(I254-Assumptions!$B$15)/(Assumptions!$C$15-Assumptions!$B$15)</f>
        <v/>
      </c>
      <c r="M254" s="4">
        <f>0.4*J254+0.4*K254+0.2*L254</f>
        <v/>
      </c>
    </row>
    <row r="255">
      <c r="A255" s="3" t="inlineStr">
        <is>
          <t>PrimaryHubDown</t>
        </is>
      </c>
      <c r="B255" s="3" t="inlineStr">
        <is>
          <t>DEL_CQ</t>
        </is>
      </c>
      <c r="C255" s="3" t="inlineStr">
        <is>
          <t>SIM-00137</t>
        </is>
      </c>
      <c r="D255" s="3" t="inlineStr">
        <is>
          <t>RO-03011</t>
        </is>
      </c>
      <c r="E255" s="3" t="n">
        <v>2400</v>
      </c>
      <c r="F255" s="3" t="n">
        <v>4</v>
      </c>
      <c r="G255" s="3" t="n">
        <v>690</v>
      </c>
      <c r="H255" s="4">
        <f>G255/E255</f>
        <v/>
      </c>
      <c r="I255" s="3" t="n">
        <v>3.3</v>
      </c>
      <c r="J255" s="4">
        <f>(F255-Assumptions!$B$13)/(Assumptions!$C$13-Assumptions!$B$13)</f>
        <v/>
      </c>
      <c r="K255" s="4">
        <f>(H255-Assumptions!$B$14)/(Assumptions!$C$14-Assumptions!$B$14)</f>
        <v/>
      </c>
      <c r="L255" s="4">
        <f>(I255-Assumptions!$B$15)/(Assumptions!$C$15-Assumptions!$B$15)</f>
        <v/>
      </c>
      <c r="M255" s="4">
        <f>0.4*J255+0.4*K255+0.2*L255</f>
        <v/>
      </c>
    </row>
    <row r="256">
      <c r="A256" s="3" t="inlineStr">
        <is>
          <t>PrimaryHubDown</t>
        </is>
      </c>
      <c r="B256" s="3" t="inlineStr">
        <is>
          <t>DEL_EW</t>
        </is>
      </c>
      <c r="C256" s="3" t="inlineStr">
        <is>
          <t>SIM-00137</t>
        </is>
      </c>
      <c r="D256" s="3" t="inlineStr">
        <is>
          <t>RO-03011</t>
        </is>
      </c>
      <c r="E256" s="3" t="n">
        <v>1133</v>
      </c>
      <c r="F256" s="3" t="n">
        <v>4</v>
      </c>
      <c r="G256" s="3" t="n">
        <v>690</v>
      </c>
      <c r="H256" s="4">
        <f>G256/E256</f>
        <v/>
      </c>
      <c r="I256" s="3" t="n">
        <v>3.3</v>
      </c>
      <c r="J256" s="4">
        <f>(F256-Assumptions!$B$13)/(Assumptions!$C$13-Assumptions!$B$13)</f>
        <v/>
      </c>
      <c r="K256" s="4">
        <f>(H256-Assumptions!$B$14)/(Assumptions!$C$14-Assumptions!$B$14)</f>
        <v/>
      </c>
      <c r="L256" s="4">
        <f>(I256-Assumptions!$B$15)/(Assumptions!$C$15-Assumptions!$B$15)</f>
        <v/>
      </c>
      <c r="M256" s="4">
        <f>0.4*J256+0.4*K256+0.2*L256</f>
        <v/>
      </c>
    </row>
    <row r="257">
      <c r="A257" s="3" t="inlineStr">
        <is>
          <t>PrimaryHubDown</t>
        </is>
      </c>
      <c r="B257" s="3" t="inlineStr">
        <is>
          <t>DEL_GA</t>
        </is>
      </c>
      <c r="C257" s="3" t="inlineStr">
        <is>
          <t>SIM-00140</t>
        </is>
      </c>
      <c r="D257" s="3" t="inlineStr">
        <is>
          <t>RO-02099</t>
        </is>
      </c>
      <c r="E257" s="3" t="n">
        <v>1611</v>
      </c>
      <c r="F257" s="3" t="n">
        <v>6</v>
      </c>
      <c r="G257" s="3" t="n">
        <v>654</v>
      </c>
      <c r="H257" s="4">
        <f>G257/E257</f>
        <v/>
      </c>
      <c r="I257" s="3" t="n">
        <v>3.3</v>
      </c>
      <c r="J257" s="4">
        <f>(F257-Assumptions!$B$13)/(Assumptions!$C$13-Assumptions!$B$13)</f>
        <v/>
      </c>
      <c r="K257" s="4">
        <f>(H257-Assumptions!$B$14)/(Assumptions!$C$14-Assumptions!$B$14)</f>
        <v/>
      </c>
      <c r="L257" s="4">
        <f>(I257-Assumptions!$B$15)/(Assumptions!$C$15-Assumptions!$B$15)</f>
        <v/>
      </c>
      <c r="M257" s="4">
        <f>0.4*J257+0.4*K257+0.2*L257</f>
        <v/>
      </c>
    </row>
    <row r="258">
      <c r="A258" s="3" t="inlineStr">
        <is>
          <t>PrimaryHubDown</t>
        </is>
      </c>
      <c r="B258" s="3" t="inlineStr">
        <is>
          <t>DEL_DA</t>
        </is>
      </c>
      <c r="C258" s="3" t="inlineStr">
        <is>
          <t>SIM-00144</t>
        </is>
      </c>
      <c r="D258" s="3" t="inlineStr">
        <is>
          <t>RO-02150</t>
        </is>
      </c>
      <c r="E258" s="3" t="n">
        <v>108.5</v>
      </c>
      <c r="F258" s="3" t="n">
        <v>6</v>
      </c>
      <c r="G258" s="3" t="n">
        <v>466</v>
      </c>
      <c r="H258" s="4">
        <f>G258/E258</f>
        <v/>
      </c>
      <c r="I258" s="3" t="n">
        <v>3.2</v>
      </c>
      <c r="J258" s="4">
        <f>(F258-Assumptions!$B$13)/(Assumptions!$C$13-Assumptions!$B$13)</f>
        <v/>
      </c>
      <c r="K258" s="4">
        <f>(H258-Assumptions!$B$14)/(Assumptions!$C$14-Assumptions!$B$14)</f>
        <v/>
      </c>
      <c r="L258" s="4">
        <f>(I258-Assumptions!$B$15)/(Assumptions!$C$15-Assumptions!$B$15)</f>
        <v/>
      </c>
      <c r="M258" s="4">
        <f>0.4*J258+0.4*K258+0.2*L258</f>
        <v/>
      </c>
    </row>
    <row r="259">
      <c r="A259" s="3" t="inlineStr">
        <is>
          <t>PrimaryHubDown</t>
        </is>
      </c>
      <c r="B259" s="3" t="inlineStr">
        <is>
          <t>DEL_GJ</t>
        </is>
      </c>
      <c r="C259" s="3" t="inlineStr">
        <is>
          <t>SIM-00145</t>
        </is>
      </c>
      <c r="D259" s="3" t="inlineStr">
        <is>
          <t>RO-02168</t>
        </is>
      </c>
      <c r="E259" s="3" t="n">
        <v>30.5</v>
      </c>
      <c r="F259" s="3" t="n">
        <v>4</v>
      </c>
      <c r="G259" s="3" t="n">
        <v>886</v>
      </c>
      <c r="H259" s="4">
        <f>G259/E259</f>
        <v/>
      </c>
      <c r="I259" s="3" t="n">
        <v>2.4</v>
      </c>
      <c r="J259" s="4">
        <f>(F259-Assumptions!$B$13)/(Assumptions!$C$13-Assumptions!$B$13)</f>
        <v/>
      </c>
      <c r="K259" s="4">
        <f>(H259-Assumptions!$B$14)/(Assumptions!$C$14-Assumptions!$B$14)</f>
        <v/>
      </c>
      <c r="L259" s="4">
        <f>(I259-Assumptions!$B$15)/(Assumptions!$C$15-Assumptions!$B$15)</f>
        <v/>
      </c>
      <c r="M259" s="4">
        <f>0.4*J259+0.4*K259+0.2*L259</f>
        <v/>
      </c>
    </row>
    <row r="260">
      <c r="A260" s="3" t="inlineStr">
        <is>
          <t>PrimaryHubDown</t>
        </is>
      </c>
      <c r="B260" s="3" t="inlineStr">
        <is>
          <t>DEL_HP</t>
        </is>
      </c>
      <c r="C260" s="3" t="inlineStr">
        <is>
          <t>SIM-00149</t>
        </is>
      </c>
      <c r="D260" s="3" t="inlineStr">
        <is>
          <t>RO-02954</t>
        </is>
      </c>
      <c r="E260" s="3" t="n">
        <v>2.5</v>
      </c>
      <c r="F260" s="3" t="n">
        <v>8</v>
      </c>
      <c r="G260" s="3" t="n">
        <v>394</v>
      </c>
      <c r="H260" s="4">
        <f>G260/E260</f>
        <v/>
      </c>
      <c r="I260" s="3" t="n">
        <v>3.2</v>
      </c>
      <c r="J260" s="4">
        <f>(F260-Assumptions!$B$13)/(Assumptions!$C$13-Assumptions!$B$13)</f>
        <v/>
      </c>
      <c r="K260" s="4">
        <f>(H260-Assumptions!$B$14)/(Assumptions!$C$14-Assumptions!$B$14)</f>
        <v/>
      </c>
      <c r="L260" s="4">
        <f>(I260-Assumptions!$B$15)/(Assumptions!$C$15-Assumptions!$B$15)</f>
        <v/>
      </c>
      <c r="M260" s="4">
        <f>0.4*J260+0.4*K260+0.2*L260</f>
        <v/>
      </c>
    </row>
    <row r="261">
      <c r="A261" s="3" t="inlineStr">
        <is>
          <t>PrimaryHubDown</t>
        </is>
      </c>
      <c r="B261" s="3" t="inlineStr">
        <is>
          <t>DEL_H</t>
        </is>
      </c>
      <c r="C261" s="3" t="inlineStr">
        <is>
          <t>SIM-00152</t>
        </is>
      </c>
      <c r="D261" s="3" t="inlineStr">
        <is>
          <t>RO-02267</t>
        </is>
      </c>
      <c r="E261" s="3" t="n">
        <v>140</v>
      </c>
      <c r="F261" s="3" t="n">
        <v>4</v>
      </c>
      <c r="G261" s="3" t="n">
        <v>726</v>
      </c>
      <c r="H261" s="4">
        <f>G261/E261</f>
        <v/>
      </c>
      <c r="I261" s="3" t="n">
        <v>3.3</v>
      </c>
      <c r="J261" s="4">
        <f>(F261-Assumptions!$B$13)/(Assumptions!$C$13-Assumptions!$B$13)</f>
        <v/>
      </c>
      <c r="K261" s="4">
        <f>(H261-Assumptions!$B$14)/(Assumptions!$C$14-Assumptions!$B$14)</f>
        <v/>
      </c>
      <c r="L261" s="4">
        <f>(I261-Assumptions!$B$15)/(Assumptions!$C$15-Assumptions!$B$15)</f>
        <v/>
      </c>
      <c r="M261" s="4">
        <f>0.4*J261+0.4*K261+0.2*L261</f>
        <v/>
      </c>
    </row>
    <row r="262">
      <c r="A262" s="3" t="inlineStr">
        <is>
          <t>PrimaryHubDown</t>
        </is>
      </c>
      <c r="B262" s="3" t="inlineStr">
        <is>
          <t>DEL_P</t>
        </is>
      </c>
      <c r="C262" s="3" t="inlineStr">
        <is>
          <t>SIM-00152</t>
        </is>
      </c>
      <c r="D262" s="3" t="inlineStr">
        <is>
          <t>RO-02267</t>
        </is>
      </c>
      <c r="E262" s="3" t="n">
        <v>11</v>
      </c>
      <c r="F262" s="3" t="n">
        <v>4</v>
      </c>
      <c r="G262" s="3" t="n">
        <v>726</v>
      </c>
      <c r="H262" s="4">
        <f>G262/E262</f>
        <v/>
      </c>
      <c r="I262" s="3" t="n">
        <v>3.3</v>
      </c>
      <c r="J262" s="4">
        <f>(F262-Assumptions!$B$13)/(Assumptions!$C$13-Assumptions!$B$13)</f>
        <v/>
      </c>
      <c r="K262" s="4">
        <f>(H262-Assumptions!$B$14)/(Assumptions!$C$14-Assumptions!$B$14)</f>
        <v/>
      </c>
      <c r="L262" s="4">
        <f>(I262-Assumptions!$B$15)/(Assumptions!$C$15-Assumptions!$B$15)</f>
        <v/>
      </c>
      <c r="M262" s="4">
        <f>0.4*J262+0.4*K262+0.2*L262</f>
        <v/>
      </c>
    </row>
    <row r="263">
      <c r="A263" s="3" t="inlineStr">
        <is>
          <t>PrimaryHubDown</t>
        </is>
      </c>
      <c r="B263" s="3" t="inlineStr">
        <is>
          <t>DEL_DF</t>
        </is>
      </c>
      <c r="C263" s="3" t="inlineStr">
        <is>
          <t>SIM-00152</t>
        </is>
      </c>
      <c r="D263" s="3" t="inlineStr">
        <is>
          <t>RO-02267</t>
        </is>
      </c>
      <c r="E263" s="3" t="n">
        <v>767.5</v>
      </c>
      <c r="F263" s="3" t="n">
        <v>4</v>
      </c>
      <c r="G263" s="3" t="n">
        <v>726</v>
      </c>
      <c r="H263" s="4">
        <f>G263/E263</f>
        <v/>
      </c>
      <c r="I263" s="3" t="n">
        <v>3.3</v>
      </c>
      <c r="J263" s="4">
        <f>(F263-Assumptions!$B$13)/(Assumptions!$C$13-Assumptions!$B$13)</f>
        <v/>
      </c>
      <c r="K263" s="4">
        <f>(H263-Assumptions!$B$14)/(Assumptions!$C$14-Assumptions!$B$14)</f>
        <v/>
      </c>
      <c r="L263" s="4">
        <f>(I263-Assumptions!$B$15)/(Assumptions!$C$15-Assumptions!$B$15)</f>
        <v/>
      </c>
      <c r="M263" s="4">
        <f>0.4*J263+0.4*K263+0.2*L263</f>
        <v/>
      </c>
    </row>
    <row r="264">
      <c r="A264" s="3" t="inlineStr">
        <is>
          <t>PrimaryHubDown</t>
        </is>
      </c>
      <c r="B264" s="3" t="inlineStr">
        <is>
          <t>DEL_DU</t>
        </is>
      </c>
      <c r="C264" s="3" t="inlineStr">
        <is>
          <t>SIM-00152</t>
        </is>
      </c>
      <c r="D264" s="3" t="inlineStr">
        <is>
          <t>RO-02267</t>
        </is>
      </c>
      <c r="E264" s="3" t="n">
        <v>1200</v>
      </c>
      <c r="F264" s="3" t="n">
        <v>4</v>
      </c>
      <c r="G264" s="3" t="n">
        <v>726</v>
      </c>
      <c r="H264" s="4">
        <f>G264/E264</f>
        <v/>
      </c>
      <c r="I264" s="3" t="n">
        <v>3.3</v>
      </c>
      <c r="J264" s="4">
        <f>(F264-Assumptions!$B$13)/(Assumptions!$C$13-Assumptions!$B$13)</f>
        <v/>
      </c>
      <c r="K264" s="4">
        <f>(H264-Assumptions!$B$14)/(Assumptions!$C$14-Assumptions!$B$14)</f>
        <v/>
      </c>
      <c r="L264" s="4">
        <f>(I264-Assumptions!$B$15)/(Assumptions!$C$15-Assumptions!$B$15)</f>
        <v/>
      </c>
      <c r="M264" s="4">
        <f>0.4*J264+0.4*K264+0.2*L264</f>
        <v/>
      </c>
    </row>
    <row r="265">
      <c r="A265" s="3" t="inlineStr">
        <is>
          <t>PrimaryHubDown</t>
        </is>
      </c>
      <c r="B265" s="3" t="inlineStr">
        <is>
          <t>DEL_GM</t>
        </is>
      </c>
      <c r="C265" s="3" t="inlineStr">
        <is>
          <t>SIM-00152</t>
        </is>
      </c>
      <c r="D265" s="3" t="inlineStr">
        <is>
          <t>RO-02267</t>
        </is>
      </c>
      <c r="E265" s="3" t="n">
        <v>91</v>
      </c>
      <c r="F265" s="3" t="n">
        <v>4</v>
      </c>
      <c r="G265" s="3" t="n">
        <v>726</v>
      </c>
      <c r="H265" s="4">
        <f>G265/E265</f>
        <v/>
      </c>
      <c r="I265" s="3" t="n">
        <v>3.3</v>
      </c>
      <c r="J265" s="4">
        <f>(F265-Assumptions!$B$13)/(Assumptions!$C$13-Assumptions!$B$13)</f>
        <v/>
      </c>
      <c r="K265" s="4">
        <f>(H265-Assumptions!$B$14)/(Assumptions!$C$14-Assumptions!$B$14)</f>
        <v/>
      </c>
      <c r="L265" s="4">
        <f>(I265-Assumptions!$B$15)/(Assumptions!$C$15-Assumptions!$B$15)</f>
        <v/>
      </c>
      <c r="M265" s="4">
        <f>0.4*J265+0.4*K265+0.2*L265</f>
        <v/>
      </c>
    </row>
    <row r="266">
      <c r="A266" s="3" t="inlineStr">
        <is>
          <t>PrimaryHubDown</t>
        </is>
      </c>
      <c r="B266" s="3" t="inlineStr">
        <is>
          <t>DEL_FV</t>
        </is>
      </c>
      <c r="C266" s="3" t="inlineStr">
        <is>
          <t>SIM-00154</t>
        </is>
      </c>
      <c r="D266" s="3" t="inlineStr">
        <is>
          <t>RO-00740</t>
        </is>
      </c>
      <c r="E266" s="3" t="n">
        <v>1611</v>
      </c>
      <c r="F266" s="3" t="n">
        <v>3</v>
      </c>
      <c r="G266" s="3" t="n">
        <v>814</v>
      </c>
      <c r="H266" s="4">
        <f>G266/E266</f>
        <v/>
      </c>
      <c r="I266" s="3" t="n">
        <v>2.4</v>
      </c>
      <c r="J266" s="4">
        <f>(F266-Assumptions!$B$13)/(Assumptions!$C$13-Assumptions!$B$13)</f>
        <v/>
      </c>
      <c r="K266" s="4">
        <f>(H266-Assumptions!$B$14)/(Assumptions!$C$14-Assumptions!$B$14)</f>
        <v/>
      </c>
      <c r="L266" s="4">
        <f>(I266-Assumptions!$B$15)/(Assumptions!$C$15-Assumptions!$B$15)</f>
        <v/>
      </c>
      <c r="M266" s="4">
        <f>0.4*J266+0.4*K266+0.2*L266</f>
        <v/>
      </c>
    </row>
    <row r="267">
      <c r="A267" s="3" t="inlineStr">
        <is>
          <t>PrimaryHubDown</t>
        </is>
      </c>
      <c r="B267" s="3" t="inlineStr">
        <is>
          <t>DEL_U</t>
        </is>
      </c>
      <c r="C267" s="3" t="inlineStr">
        <is>
          <t>SIM-00162</t>
        </is>
      </c>
      <c r="D267" s="3" t="inlineStr">
        <is>
          <t>RO-00497</t>
        </is>
      </c>
      <c r="E267" s="3" t="n">
        <v>497.5</v>
      </c>
      <c r="F267" s="3" t="n">
        <v>11</v>
      </c>
      <c r="G267" s="3" t="n">
        <v>314</v>
      </c>
      <c r="H267" s="4">
        <f>G267/E267</f>
        <v/>
      </c>
      <c r="I267" s="3" t="n">
        <v>4.7</v>
      </c>
      <c r="J267" s="4">
        <f>(F267-Assumptions!$B$13)/(Assumptions!$C$13-Assumptions!$B$13)</f>
        <v/>
      </c>
      <c r="K267" s="4">
        <f>(H267-Assumptions!$B$14)/(Assumptions!$C$14-Assumptions!$B$14)</f>
        <v/>
      </c>
      <c r="L267" s="4">
        <f>(I267-Assumptions!$B$15)/(Assumptions!$C$15-Assumptions!$B$15)</f>
        <v/>
      </c>
      <c r="M267" s="4">
        <f>0.4*J267+0.4*K267+0.2*L267</f>
        <v/>
      </c>
    </row>
    <row r="268">
      <c r="A268" s="3" t="inlineStr">
        <is>
          <t>PrimaryHubDown</t>
        </is>
      </c>
      <c r="B268" s="3" t="inlineStr">
        <is>
          <t>DEL_DE</t>
        </is>
      </c>
      <c r="C268" s="3" t="inlineStr">
        <is>
          <t>SIM-00165</t>
        </is>
      </c>
      <c r="D268" s="3" t="inlineStr">
        <is>
          <t>RO-02468</t>
        </is>
      </c>
      <c r="E268" s="3" t="n">
        <v>5</v>
      </c>
      <c r="F268" s="3" t="n">
        <v>4</v>
      </c>
      <c r="G268" s="3" t="n">
        <v>814</v>
      </c>
      <c r="H268" s="4">
        <f>G268/E268</f>
        <v/>
      </c>
      <c r="I268" s="3" t="n">
        <v>2.4</v>
      </c>
      <c r="J268" s="4">
        <f>(F268-Assumptions!$B$13)/(Assumptions!$C$13-Assumptions!$B$13)</f>
        <v/>
      </c>
      <c r="K268" s="4">
        <f>(H268-Assumptions!$B$14)/(Assumptions!$C$14-Assumptions!$B$14)</f>
        <v/>
      </c>
      <c r="L268" s="4">
        <f>(I268-Assumptions!$B$15)/(Assumptions!$C$15-Assumptions!$B$15)</f>
        <v/>
      </c>
      <c r="M268" s="4">
        <f>0.4*J268+0.4*K268+0.2*L268</f>
        <v/>
      </c>
    </row>
    <row r="269">
      <c r="A269" s="3" t="inlineStr">
        <is>
          <t>PrimaryHubDown</t>
        </is>
      </c>
      <c r="B269" s="3" t="inlineStr">
        <is>
          <t>DEL_GS</t>
        </is>
      </c>
      <c r="C269" s="3" t="inlineStr">
        <is>
          <t>SIM-00166</t>
        </is>
      </c>
      <c r="D269" s="3" t="inlineStr">
        <is>
          <t>RO-02483</t>
        </is>
      </c>
      <c r="E269" s="3" t="n">
        <v>4.5</v>
      </c>
      <c r="F269" s="3" t="n">
        <v>5</v>
      </c>
      <c r="G269" s="3" t="n">
        <v>726</v>
      </c>
      <c r="H269" s="4">
        <f>G269/E269</f>
        <v/>
      </c>
      <c r="I269" s="3" t="n">
        <v>3.3</v>
      </c>
      <c r="J269" s="4">
        <f>(F269-Assumptions!$B$13)/(Assumptions!$C$13-Assumptions!$B$13)</f>
        <v/>
      </c>
      <c r="K269" s="4">
        <f>(H269-Assumptions!$B$14)/(Assumptions!$C$14-Assumptions!$B$14)</f>
        <v/>
      </c>
      <c r="L269" s="4">
        <f>(I269-Assumptions!$B$15)/(Assumptions!$C$15-Assumptions!$B$15)</f>
        <v/>
      </c>
      <c r="M269" s="4">
        <f>0.4*J269+0.4*K269+0.2*L269</f>
        <v/>
      </c>
    </row>
    <row r="270">
      <c r="A270" s="3" t="inlineStr">
        <is>
          <t>PrimaryHubDown</t>
        </is>
      </c>
      <c r="B270" s="3" t="inlineStr">
        <is>
          <t>DEL_GD</t>
        </is>
      </c>
      <c r="C270" s="3" t="inlineStr">
        <is>
          <t>SIM-00168</t>
        </is>
      </c>
      <c r="D270" s="3" t="inlineStr">
        <is>
          <t>RO-02516</t>
        </is>
      </c>
      <c r="E270" s="3" t="n">
        <v>1020</v>
      </c>
      <c r="F270" s="3" t="n">
        <v>3</v>
      </c>
      <c r="G270" s="3" t="n">
        <v>850</v>
      </c>
      <c r="H270" s="4">
        <f>G270/E270</f>
        <v/>
      </c>
      <c r="I270" s="3" t="n">
        <v>2.4</v>
      </c>
      <c r="J270" s="4">
        <f>(F270-Assumptions!$B$13)/(Assumptions!$C$13-Assumptions!$B$13)</f>
        <v/>
      </c>
      <c r="K270" s="4">
        <f>(H270-Assumptions!$B$14)/(Assumptions!$C$14-Assumptions!$B$14)</f>
        <v/>
      </c>
      <c r="L270" s="4">
        <f>(I270-Assumptions!$B$15)/(Assumptions!$C$15-Assumptions!$B$15)</f>
        <v/>
      </c>
      <c r="M270" s="4">
        <f>0.4*J270+0.4*K270+0.2*L270</f>
        <v/>
      </c>
    </row>
    <row r="271">
      <c r="A271" s="3" t="inlineStr">
        <is>
          <t>PrimaryHubDown</t>
        </is>
      </c>
      <c r="B271" s="3" t="inlineStr">
        <is>
          <t>DEL_Y</t>
        </is>
      </c>
      <c r="C271" s="3" t="inlineStr">
        <is>
          <t>SIM-00170</t>
        </is>
      </c>
      <c r="D271" s="3" t="inlineStr">
        <is>
          <t>RO-02549</t>
        </is>
      </c>
      <c r="E271" s="3" t="n">
        <v>139</v>
      </c>
      <c r="F271" s="3" t="n">
        <v>12</v>
      </c>
      <c r="G271" s="3" t="n">
        <v>314</v>
      </c>
      <c r="H271" s="4">
        <f>G271/E271</f>
        <v/>
      </c>
      <c r="I271" s="3" t="n">
        <v>4.7</v>
      </c>
      <c r="J271" s="4">
        <f>(F271-Assumptions!$B$13)/(Assumptions!$C$13-Assumptions!$B$13)</f>
        <v/>
      </c>
      <c r="K271" s="4">
        <f>(H271-Assumptions!$B$14)/(Assumptions!$C$14-Assumptions!$B$14)</f>
        <v/>
      </c>
      <c r="L271" s="4">
        <f>(I271-Assumptions!$B$15)/(Assumptions!$C$15-Assumptions!$B$15)</f>
        <v/>
      </c>
      <c r="M271" s="4">
        <f>0.4*J271+0.4*K271+0.2*L271</f>
        <v/>
      </c>
    </row>
    <row r="272">
      <c r="A272" s="3" t="inlineStr">
        <is>
          <t>PrimaryHubDown</t>
        </is>
      </c>
      <c r="B272" s="3" t="inlineStr">
        <is>
          <t>DEL_DN</t>
        </is>
      </c>
      <c r="C272" s="3" t="inlineStr">
        <is>
          <t>SIM-00170</t>
        </is>
      </c>
      <c r="D272" s="3" t="inlineStr">
        <is>
          <t>RO-02549</t>
        </is>
      </c>
      <c r="E272" s="3" t="n">
        <v>342</v>
      </c>
      <c r="F272" s="3" t="n">
        <v>12</v>
      </c>
      <c r="G272" s="3" t="n">
        <v>314</v>
      </c>
      <c r="H272" s="4">
        <f>G272/E272</f>
        <v/>
      </c>
      <c r="I272" s="3" t="n">
        <v>4.7</v>
      </c>
      <c r="J272" s="4">
        <f>(F272-Assumptions!$B$13)/(Assumptions!$C$13-Assumptions!$B$13)</f>
        <v/>
      </c>
      <c r="K272" s="4">
        <f>(H272-Assumptions!$B$14)/(Assumptions!$C$14-Assumptions!$B$14)</f>
        <v/>
      </c>
      <c r="L272" s="4">
        <f>(I272-Assumptions!$B$15)/(Assumptions!$C$15-Assumptions!$B$15)</f>
        <v/>
      </c>
      <c r="M272" s="4">
        <f>0.4*J272+0.4*K272+0.2*L272</f>
        <v/>
      </c>
    </row>
    <row r="273">
      <c r="A273" s="3" t="inlineStr">
        <is>
          <t>PrimaryHubDown</t>
        </is>
      </c>
      <c r="B273" s="3" t="inlineStr">
        <is>
          <t>DEL_AT</t>
        </is>
      </c>
      <c r="C273" s="3" t="inlineStr">
        <is>
          <t>SIM-00174</t>
        </is>
      </c>
      <c r="D273" s="3" t="inlineStr">
        <is>
          <t>RO-01160</t>
        </is>
      </c>
      <c r="E273" s="3" t="n">
        <v>19.5</v>
      </c>
      <c r="F273" s="3" t="n">
        <v>3</v>
      </c>
      <c r="G273" s="3" t="n">
        <v>886</v>
      </c>
      <c r="H273" s="4">
        <f>G273/E273</f>
        <v/>
      </c>
      <c r="I273" s="3" t="n">
        <v>2.4</v>
      </c>
      <c r="J273" s="4">
        <f>(F273-Assumptions!$B$13)/(Assumptions!$C$13-Assumptions!$B$13)</f>
        <v/>
      </c>
      <c r="K273" s="4">
        <f>(H273-Assumptions!$B$14)/(Assumptions!$C$14-Assumptions!$B$14)</f>
        <v/>
      </c>
      <c r="L273" s="4">
        <f>(I273-Assumptions!$B$15)/(Assumptions!$C$15-Assumptions!$B$15)</f>
        <v/>
      </c>
      <c r="M273" s="4">
        <f>0.4*J273+0.4*K273+0.2*L273</f>
        <v/>
      </c>
    </row>
    <row r="274">
      <c r="A274" s="3" t="inlineStr">
        <is>
          <t>PrimaryHubDown</t>
        </is>
      </c>
      <c r="B274" s="3" t="inlineStr">
        <is>
          <t>DEL_BP</t>
        </is>
      </c>
      <c r="C274" s="3" t="inlineStr">
        <is>
          <t>SIM-00174</t>
        </is>
      </c>
      <c r="D274" s="3" t="inlineStr">
        <is>
          <t>RO-01160</t>
        </is>
      </c>
      <c r="E274" s="3" t="n">
        <v>4.5</v>
      </c>
      <c r="F274" s="3" t="n">
        <v>3</v>
      </c>
      <c r="G274" s="3" t="n">
        <v>886</v>
      </c>
      <c r="H274" s="4">
        <f>G274/E274</f>
        <v/>
      </c>
      <c r="I274" s="3" t="n">
        <v>2.4</v>
      </c>
      <c r="J274" s="4">
        <f>(F274-Assumptions!$B$13)/(Assumptions!$C$13-Assumptions!$B$13)</f>
        <v/>
      </c>
      <c r="K274" s="4">
        <f>(H274-Assumptions!$B$14)/(Assumptions!$C$14-Assumptions!$B$14)</f>
        <v/>
      </c>
      <c r="L274" s="4">
        <f>(I274-Assumptions!$B$15)/(Assumptions!$C$15-Assumptions!$B$15)</f>
        <v/>
      </c>
      <c r="M274" s="4">
        <f>0.4*J274+0.4*K274+0.2*L274</f>
        <v/>
      </c>
    </row>
    <row r="275">
      <c r="A275" s="3" t="inlineStr">
        <is>
          <t>PrimaryHubDown</t>
        </is>
      </c>
      <c r="B275" s="3" t="inlineStr">
        <is>
          <t>DEL_AI</t>
        </is>
      </c>
      <c r="C275" s="3" t="inlineStr">
        <is>
          <t>SIM-00176</t>
        </is>
      </c>
      <c r="D275" s="3" t="inlineStr">
        <is>
          <t>RO-00233</t>
        </is>
      </c>
      <c r="E275" s="3" t="n">
        <v>361</v>
      </c>
      <c r="F275" s="3" t="n">
        <v>12</v>
      </c>
      <c r="G275" s="3" t="n">
        <v>386</v>
      </c>
      <c r="H275" s="4">
        <f>G275/E275</f>
        <v/>
      </c>
      <c r="I275" s="3" t="n">
        <v>4.7</v>
      </c>
      <c r="J275" s="4">
        <f>(F275-Assumptions!$B$13)/(Assumptions!$C$13-Assumptions!$B$13)</f>
        <v/>
      </c>
      <c r="K275" s="4">
        <f>(H275-Assumptions!$B$14)/(Assumptions!$C$14-Assumptions!$B$14)</f>
        <v/>
      </c>
      <c r="L275" s="4">
        <f>(I275-Assumptions!$B$15)/(Assumptions!$C$15-Assumptions!$B$15)</f>
        <v/>
      </c>
      <c r="M275" s="4">
        <f>0.4*J275+0.4*K275+0.2*L275</f>
        <v/>
      </c>
    </row>
    <row r="276">
      <c r="A276" s="3" t="inlineStr">
        <is>
          <t>PrimaryHubDown</t>
        </is>
      </c>
      <c r="B276" s="3" t="inlineStr">
        <is>
          <t>DEL_GK</t>
        </is>
      </c>
      <c r="C276" s="3" t="inlineStr">
        <is>
          <t>SIM-00180</t>
        </is>
      </c>
      <c r="D276" s="3" t="inlineStr">
        <is>
          <t>RO-02579</t>
        </is>
      </c>
      <c r="E276" s="3" t="n">
        <v>1023</v>
      </c>
      <c r="F276" s="3" t="n">
        <v>6</v>
      </c>
      <c r="G276" s="3" t="n">
        <v>690</v>
      </c>
      <c r="H276" s="4">
        <f>G276/E276</f>
        <v/>
      </c>
      <c r="I276" s="3" t="n">
        <v>3.3</v>
      </c>
      <c r="J276" s="4">
        <f>(F276-Assumptions!$B$13)/(Assumptions!$C$13-Assumptions!$B$13)</f>
        <v/>
      </c>
      <c r="K276" s="4">
        <f>(H276-Assumptions!$B$14)/(Assumptions!$C$14-Assumptions!$B$14)</f>
        <v/>
      </c>
      <c r="L276" s="4">
        <f>(I276-Assumptions!$B$15)/(Assumptions!$C$15-Assumptions!$B$15)</f>
        <v/>
      </c>
      <c r="M276" s="4">
        <f>0.4*J276+0.4*K276+0.2*L276</f>
        <v/>
      </c>
    </row>
    <row r="277">
      <c r="A277" s="3" t="inlineStr">
        <is>
          <t>PrimaryHubDown</t>
        </is>
      </c>
      <c r="B277" s="3" t="inlineStr">
        <is>
          <t>DEL_S</t>
        </is>
      </c>
      <c r="C277" s="3" t="inlineStr">
        <is>
          <t>SIM-00183</t>
        </is>
      </c>
      <c r="D277" s="3" t="inlineStr">
        <is>
          <t>RO-00335</t>
        </is>
      </c>
      <c r="E277" s="3" t="n">
        <v>6.5</v>
      </c>
      <c r="F277" s="3" t="n">
        <v>4</v>
      </c>
      <c r="G277" s="3" t="n">
        <v>654</v>
      </c>
      <c r="H277" s="4">
        <f>G277/E277</f>
        <v/>
      </c>
      <c r="I277" s="3" t="n">
        <v>3.3</v>
      </c>
      <c r="J277" s="4">
        <f>(F277-Assumptions!$B$13)/(Assumptions!$C$13-Assumptions!$B$13)</f>
        <v/>
      </c>
      <c r="K277" s="4">
        <f>(H277-Assumptions!$B$14)/(Assumptions!$C$14-Assumptions!$B$14)</f>
        <v/>
      </c>
      <c r="L277" s="4">
        <f>(I277-Assumptions!$B$15)/(Assumptions!$C$15-Assumptions!$B$15)</f>
        <v/>
      </c>
      <c r="M277" s="4">
        <f>0.4*J277+0.4*K277+0.2*L277</f>
        <v/>
      </c>
    </row>
    <row r="278">
      <c r="A278" s="3" t="inlineStr">
        <is>
          <t>PrimaryHubDown</t>
        </is>
      </c>
      <c r="B278" s="3" t="inlineStr">
        <is>
          <t>DEL_EA</t>
        </is>
      </c>
      <c r="C278" s="3" t="inlineStr">
        <is>
          <t>SIM-00184</t>
        </is>
      </c>
      <c r="D278" s="3" t="inlineStr">
        <is>
          <t>RO-01550</t>
        </is>
      </c>
      <c r="E278" s="3" t="n">
        <v>254.5</v>
      </c>
      <c r="F278" s="3" t="n">
        <v>6</v>
      </c>
      <c r="G278" s="3" t="n">
        <v>394</v>
      </c>
      <c r="H278" s="4">
        <f>G278/E278</f>
        <v/>
      </c>
      <c r="I278" s="3" t="n">
        <v>3.2</v>
      </c>
      <c r="J278" s="4">
        <f>(F278-Assumptions!$B$13)/(Assumptions!$C$13-Assumptions!$B$13)</f>
        <v/>
      </c>
      <c r="K278" s="4">
        <f>(H278-Assumptions!$B$14)/(Assumptions!$C$14-Assumptions!$B$14)</f>
        <v/>
      </c>
      <c r="L278" s="4">
        <f>(I278-Assumptions!$B$15)/(Assumptions!$C$15-Assumptions!$B$15)</f>
        <v/>
      </c>
      <c r="M278" s="4">
        <f>0.4*J278+0.4*K278+0.2*L278</f>
        <v/>
      </c>
    </row>
    <row r="279">
      <c r="A279" s="3" t="inlineStr">
        <is>
          <t>PrimaryHubDown</t>
        </is>
      </c>
      <c r="B279" s="3" t="inlineStr">
        <is>
          <t>DEL_BW</t>
        </is>
      </c>
      <c r="C279" s="3" t="inlineStr">
        <is>
          <t>SIM-00185</t>
        </is>
      </c>
      <c r="D279" s="3" t="inlineStr">
        <is>
          <t>RO-02768</t>
        </is>
      </c>
      <c r="E279" s="3" t="n">
        <v>4.5</v>
      </c>
      <c r="F279" s="3" t="n">
        <v>4</v>
      </c>
      <c r="G279" s="3" t="n">
        <v>850</v>
      </c>
      <c r="H279" s="4">
        <f>G279/E279</f>
        <v/>
      </c>
      <c r="I279" s="3" t="n">
        <v>2.4</v>
      </c>
      <c r="J279" s="4">
        <f>(F279-Assumptions!$B$13)/(Assumptions!$C$13-Assumptions!$B$13)</f>
        <v/>
      </c>
      <c r="K279" s="4">
        <f>(H279-Assumptions!$B$14)/(Assumptions!$C$14-Assumptions!$B$14)</f>
        <v/>
      </c>
      <c r="L279" s="4">
        <f>(I279-Assumptions!$B$15)/(Assumptions!$C$15-Assumptions!$B$15)</f>
        <v/>
      </c>
      <c r="M279" s="4">
        <f>0.4*J279+0.4*K279+0.2*L279</f>
        <v/>
      </c>
    </row>
    <row r="280">
      <c r="A280" s="3" t="inlineStr">
        <is>
          <t>PrimaryHubDown</t>
        </is>
      </c>
      <c r="B280" s="3" t="inlineStr">
        <is>
          <t>DEL_EM</t>
        </is>
      </c>
      <c r="C280" s="3" t="inlineStr">
        <is>
          <t>SIM-00189</t>
        </is>
      </c>
      <c r="D280" s="3" t="inlineStr">
        <is>
          <t>RO-02954</t>
        </is>
      </c>
      <c r="E280" s="3" t="n">
        <v>154.5</v>
      </c>
      <c r="F280" s="3" t="n">
        <v>8</v>
      </c>
      <c r="G280" s="3" t="n">
        <v>394</v>
      </c>
      <c r="H280" s="4">
        <f>G280/E280</f>
        <v/>
      </c>
      <c r="I280" s="3" t="n">
        <v>3.2</v>
      </c>
      <c r="J280" s="4">
        <f>(F280-Assumptions!$B$13)/(Assumptions!$C$13-Assumptions!$B$13)</f>
        <v/>
      </c>
      <c r="K280" s="4">
        <f>(H280-Assumptions!$B$14)/(Assumptions!$C$14-Assumptions!$B$14)</f>
        <v/>
      </c>
      <c r="L280" s="4">
        <f>(I280-Assumptions!$B$15)/(Assumptions!$C$15-Assumptions!$B$15)</f>
        <v/>
      </c>
      <c r="M280" s="4">
        <f>0.4*J280+0.4*K280+0.2*L280</f>
        <v/>
      </c>
    </row>
    <row r="281">
      <c r="A281" s="3" t="inlineStr">
        <is>
          <t>PrimaryHubDown</t>
        </is>
      </c>
      <c r="B281" s="3" t="inlineStr">
        <is>
          <t>DEL_HC</t>
        </is>
      </c>
      <c r="C281" s="3" t="inlineStr">
        <is>
          <t>SIM-00192</t>
        </is>
      </c>
      <c r="D281" s="3" t="inlineStr">
        <is>
          <t>RO-00227</t>
        </is>
      </c>
      <c r="E281" s="3" t="n">
        <v>64.5</v>
      </c>
      <c r="F281" s="3" t="n">
        <v>4</v>
      </c>
      <c r="G281" s="3" t="n">
        <v>654</v>
      </c>
      <c r="H281" s="4">
        <f>G281/E281</f>
        <v/>
      </c>
      <c r="I281" s="3" t="n">
        <v>3.3</v>
      </c>
      <c r="J281" s="4">
        <f>(F281-Assumptions!$B$13)/(Assumptions!$C$13-Assumptions!$B$13)</f>
        <v/>
      </c>
      <c r="K281" s="4">
        <f>(H281-Assumptions!$B$14)/(Assumptions!$C$14-Assumptions!$B$14)</f>
        <v/>
      </c>
      <c r="L281" s="4">
        <f>(I281-Assumptions!$B$15)/(Assumptions!$C$15-Assumptions!$B$15)</f>
        <v/>
      </c>
      <c r="M281" s="4">
        <f>0.4*J281+0.4*K281+0.2*L281</f>
        <v/>
      </c>
    </row>
    <row r="282">
      <c r="A282" s="3" t="inlineStr">
        <is>
          <t>PrimaryHubDown</t>
        </is>
      </c>
      <c r="B282" s="3" t="inlineStr">
        <is>
          <t>DEL_FH</t>
        </is>
      </c>
      <c r="C282" s="3" t="inlineStr">
        <is>
          <t>SIM-00196</t>
        </is>
      </c>
      <c r="D282" s="3" t="inlineStr">
        <is>
          <t>RO-02933</t>
        </is>
      </c>
      <c r="E282" s="3" t="n">
        <v>4.5</v>
      </c>
      <c r="F282" s="3" t="n">
        <v>12</v>
      </c>
      <c r="G282" s="3" t="n">
        <v>386</v>
      </c>
      <c r="H282" s="4">
        <f>G282/E282</f>
        <v/>
      </c>
      <c r="I282" s="3" t="n">
        <v>4.7</v>
      </c>
      <c r="J282" s="4">
        <f>(F282-Assumptions!$B$13)/(Assumptions!$C$13-Assumptions!$B$13)</f>
        <v/>
      </c>
      <c r="K282" s="4">
        <f>(H282-Assumptions!$B$14)/(Assumptions!$C$14-Assumptions!$B$14)</f>
        <v/>
      </c>
      <c r="L282" s="4">
        <f>(I282-Assumptions!$B$15)/(Assumptions!$C$15-Assumptions!$B$15)</f>
        <v/>
      </c>
      <c r="M282" s="4">
        <f>0.4*J282+0.4*K282+0.2*L282</f>
        <v/>
      </c>
    </row>
    <row r="283">
      <c r="A283" s="3" t="inlineStr">
        <is>
          <t>PrimaryHubDown</t>
        </is>
      </c>
      <c r="B283" s="3" t="inlineStr">
        <is>
          <t>DEL_B</t>
        </is>
      </c>
      <c r="C283" s="3" t="inlineStr">
        <is>
          <t>SIM-00200</t>
        </is>
      </c>
      <c r="D283" s="3" t="inlineStr">
        <is>
          <t>RO-02999</t>
        </is>
      </c>
      <c r="E283" s="3" t="n">
        <v>335</v>
      </c>
      <c r="F283" s="3" t="n">
        <v>6</v>
      </c>
      <c r="G283" s="3" t="n">
        <v>654</v>
      </c>
      <c r="H283" s="4">
        <f>G283/E283</f>
        <v/>
      </c>
      <c r="I283" s="3" t="n">
        <v>3.3</v>
      </c>
      <c r="J283" s="4">
        <f>(F283-Assumptions!$B$13)/(Assumptions!$C$13-Assumptions!$B$13)</f>
        <v/>
      </c>
      <c r="K283" s="4">
        <f>(H283-Assumptions!$B$14)/(Assumptions!$C$14-Assumptions!$B$14)</f>
        <v/>
      </c>
      <c r="L283" s="4">
        <f>(I283-Assumptions!$B$15)/(Assumptions!$C$15-Assumptions!$B$15)</f>
        <v/>
      </c>
      <c r="M283" s="4">
        <f>0.4*J283+0.4*K283+0.2*L283</f>
        <v/>
      </c>
    </row>
    <row r="284">
      <c r="A284" s="3" t="inlineStr">
        <is>
          <t>PrimaryHubDown</t>
        </is>
      </c>
      <c r="B284" s="3" t="inlineStr">
        <is>
          <t>DEL_Q</t>
        </is>
      </c>
      <c r="C284" s="3" t="inlineStr">
        <is>
          <t>SIM-00205</t>
        </is>
      </c>
      <c r="D284" s="3" t="inlineStr">
        <is>
          <t>RO-00668</t>
        </is>
      </c>
      <c r="E284" s="3" t="n">
        <v>392</v>
      </c>
      <c r="F284" s="3" t="n">
        <v>4</v>
      </c>
      <c r="G284" s="3" t="n">
        <v>814</v>
      </c>
      <c r="H284" s="4">
        <f>G284/E284</f>
        <v/>
      </c>
      <c r="I284" s="3" t="n">
        <v>2.4</v>
      </c>
      <c r="J284" s="4">
        <f>(F284-Assumptions!$B$13)/(Assumptions!$C$13-Assumptions!$B$13)</f>
        <v/>
      </c>
      <c r="K284" s="4">
        <f>(H284-Assumptions!$B$14)/(Assumptions!$C$14-Assumptions!$B$14)</f>
        <v/>
      </c>
      <c r="L284" s="4">
        <f>(I284-Assumptions!$B$15)/(Assumptions!$C$15-Assumptions!$B$15)</f>
        <v/>
      </c>
      <c r="M284" s="4">
        <f>0.4*J284+0.4*K284+0.2*L284</f>
        <v/>
      </c>
    </row>
    <row r="285">
      <c r="A285" s="3" t="inlineStr">
        <is>
          <t>PrimaryHubDown</t>
        </is>
      </c>
      <c r="B285" s="3" t="inlineStr">
        <is>
          <t>DEL_DT</t>
        </is>
      </c>
      <c r="C285" s="3" t="inlineStr">
        <is>
          <t>SIM-00205</t>
        </is>
      </c>
      <c r="D285" s="3" t="inlineStr">
        <is>
          <t>RO-00668</t>
        </is>
      </c>
      <c r="E285" s="3" t="n">
        <v>951.5</v>
      </c>
      <c r="F285" s="3" t="n">
        <v>4</v>
      </c>
      <c r="G285" s="3" t="n">
        <v>814</v>
      </c>
      <c r="H285" s="4">
        <f>G285/E285</f>
        <v/>
      </c>
      <c r="I285" s="3" t="n">
        <v>2.4</v>
      </c>
      <c r="J285" s="4">
        <f>(F285-Assumptions!$B$13)/(Assumptions!$C$13-Assumptions!$B$13)</f>
        <v/>
      </c>
      <c r="K285" s="4">
        <f>(H285-Assumptions!$B$14)/(Assumptions!$C$14-Assumptions!$B$14)</f>
        <v/>
      </c>
      <c r="L285" s="4">
        <f>(I285-Assumptions!$B$15)/(Assumptions!$C$15-Assumptions!$B$15)</f>
        <v/>
      </c>
      <c r="M285" s="4">
        <f>0.4*J285+0.4*K285+0.2*L285</f>
        <v/>
      </c>
    </row>
    <row r="286">
      <c r="A286" s="3" t="inlineStr">
        <is>
          <t>PrimaryHubDown</t>
        </is>
      </c>
      <c r="B286" s="3" t="inlineStr">
        <is>
          <t>DEL_T</t>
        </is>
      </c>
      <c r="C286" s="3" t="inlineStr">
        <is>
          <t>SIM-00209</t>
        </is>
      </c>
      <c r="D286" s="3" t="inlineStr">
        <is>
          <t>RO-03134</t>
        </is>
      </c>
      <c r="E286" s="3" t="n">
        <v>236</v>
      </c>
      <c r="F286" s="3" t="n">
        <v>8</v>
      </c>
      <c r="G286" s="3" t="n">
        <v>394</v>
      </c>
      <c r="H286" s="4">
        <f>G286/E286</f>
        <v/>
      </c>
      <c r="I286" s="3" t="n">
        <v>3.2</v>
      </c>
      <c r="J286" s="4">
        <f>(F286-Assumptions!$B$13)/(Assumptions!$C$13-Assumptions!$B$13)</f>
        <v/>
      </c>
      <c r="K286" s="4">
        <f>(H286-Assumptions!$B$14)/(Assumptions!$C$14-Assumptions!$B$14)</f>
        <v/>
      </c>
      <c r="L286" s="4">
        <f>(I286-Assumptions!$B$15)/(Assumptions!$C$15-Assumptions!$B$15)</f>
        <v/>
      </c>
      <c r="M286" s="4">
        <f>0.4*J286+0.4*K286+0.2*L286</f>
        <v/>
      </c>
    </row>
    <row r="287">
      <c r="A287" s="3" t="inlineStr">
        <is>
          <t>PrimaryHubDown</t>
        </is>
      </c>
      <c r="B287" s="3" t="inlineStr">
        <is>
          <t>DEL_EC</t>
        </is>
      </c>
      <c r="C287" s="3" t="inlineStr">
        <is>
          <t>SIM-00212</t>
        </is>
      </c>
      <c r="D287" s="3" t="inlineStr">
        <is>
          <t>RO-03287</t>
        </is>
      </c>
      <c r="E287" s="3" t="n">
        <v>402.5</v>
      </c>
      <c r="F287" s="3" t="n">
        <v>4</v>
      </c>
      <c r="G287" s="3" t="n">
        <v>654</v>
      </c>
      <c r="H287" s="4">
        <f>G287/E287</f>
        <v/>
      </c>
      <c r="I287" s="3" t="n">
        <v>3.3</v>
      </c>
      <c r="J287" s="4">
        <f>(F287-Assumptions!$B$13)/(Assumptions!$C$13-Assumptions!$B$13)</f>
        <v/>
      </c>
      <c r="K287" s="4">
        <f>(H287-Assumptions!$B$14)/(Assumptions!$C$14-Assumptions!$B$14)</f>
        <v/>
      </c>
      <c r="L287" s="4">
        <f>(I287-Assumptions!$B$15)/(Assumptions!$C$15-Assumptions!$B$15)</f>
        <v/>
      </c>
      <c r="M287" s="4">
        <f>0.4*J287+0.4*K287+0.2*L287</f>
        <v/>
      </c>
    </row>
    <row r="288">
      <c r="A288" s="3" t="inlineStr">
        <is>
          <t>PrimaryHubDown</t>
        </is>
      </c>
      <c r="B288" s="3" t="inlineStr">
        <is>
          <t>DEL_W</t>
        </is>
      </c>
      <c r="C288" s="3" t="inlineStr">
        <is>
          <t>SIM-00217</t>
        </is>
      </c>
      <c r="D288" s="3" t="inlineStr">
        <is>
          <t>RO-03251</t>
        </is>
      </c>
      <c r="E288" s="3" t="n">
        <v>65</v>
      </c>
      <c r="F288" s="3" t="n">
        <v>4</v>
      </c>
      <c r="G288" s="3" t="n">
        <v>654</v>
      </c>
      <c r="H288" s="4">
        <f>G288/E288</f>
        <v/>
      </c>
      <c r="I288" s="3" t="n">
        <v>3.3</v>
      </c>
      <c r="J288" s="4">
        <f>(F288-Assumptions!$B$13)/(Assumptions!$C$13-Assumptions!$B$13)</f>
        <v/>
      </c>
      <c r="K288" s="4">
        <f>(H288-Assumptions!$B$14)/(Assumptions!$C$14-Assumptions!$B$14)</f>
        <v/>
      </c>
      <c r="L288" s="4">
        <f>(I288-Assumptions!$B$15)/(Assumptions!$C$15-Assumptions!$B$15)</f>
        <v/>
      </c>
      <c r="M288" s="4">
        <f>0.4*J288+0.4*K288+0.2*L288</f>
        <v/>
      </c>
    </row>
    <row r="289">
      <c r="A289" s="3" t="inlineStr">
        <is>
          <t>PrimaryHubDown</t>
        </is>
      </c>
      <c r="B289" s="3" t="inlineStr">
        <is>
          <t>DEL_AF</t>
        </is>
      </c>
      <c r="C289" s="3" t="inlineStr">
        <is>
          <t>SIM-00218</t>
        </is>
      </c>
      <c r="D289" s="3" t="inlineStr">
        <is>
          <t>RO-01586</t>
        </is>
      </c>
      <c r="E289" s="3" t="n">
        <v>663</v>
      </c>
      <c r="F289" s="3" t="n">
        <v>6</v>
      </c>
      <c r="G289" s="3" t="n">
        <v>394</v>
      </c>
      <c r="H289" s="4">
        <f>G289/E289</f>
        <v/>
      </c>
      <c r="I289" s="3" t="n">
        <v>3.2</v>
      </c>
      <c r="J289" s="4">
        <f>(F289-Assumptions!$B$13)/(Assumptions!$C$13-Assumptions!$B$13)</f>
        <v/>
      </c>
      <c r="K289" s="4">
        <f>(H289-Assumptions!$B$14)/(Assumptions!$C$14-Assumptions!$B$14)</f>
        <v/>
      </c>
      <c r="L289" s="4">
        <f>(I289-Assumptions!$B$15)/(Assumptions!$C$15-Assumptions!$B$15)</f>
        <v/>
      </c>
      <c r="M289" s="4">
        <f>0.4*J289+0.4*K289+0.2*L289</f>
        <v/>
      </c>
    </row>
    <row r="290">
      <c r="A290" s="3" t="inlineStr">
        <is>
          <t>PrimaryHubDown</t>
        </is>
      </c>
      <c r="B290" s="3" t="inlineStr">
        <is>
          <t>DEL_EH</t>
        </is>
      </c>
      <c r="C290" s="3" t="inlineStr">
        <is>
          <t>SIM-00219</t>
        </is>
      </c>
      <c r="D290" s="3" t="inlineStr">
        <is>
          <t>RO-01244</t>
        </is>
      </c>
      <c r="E290" s="3" t="n">
        <v>4.5</v>
      </c>
      <c r="F290" s="3" t="n">
        <v>5</v>
      </c>
      <c r="G290" s="3" t="n">
        <v>814</v>
      </c>
      <c r="H290" s="4">
        <f>G290/E290</f>
        <v/>
      </c>
      <c r="I290" s="3" t="n">
        <v>2.4</v>
      </c>
      <c r="J290" s="4">
        <f>(F290-Assumptions!$B$13)/(Assumptions!$C$13-Assumptions!$B$13)</f>
        <v/>
      </c>
      <c r="K290" s="4">
        <f>(H290-Assumptions!$B$14)/(Assumptions!$C$14-Assumptions!$B$14)</f>
        <v/>
      </c>
      <c r="L290" s="4">
        <f>(I290-Assumptions!$B$15)/(Assumptions!$C$15-Assumptions!$B$15)</f>
        <v/>
      </c>
      <c r="M290" s="4">
        <f>0.4*J290+0.4*K290+0.2*L290</f>
        <v/>
      </c>
    </row>
    <row r="291">
      <c r="A291" s="3" t="inlineStr">
        <is>
          <t>PrimaryHubDown</t>
        </is>
      </c>
      <c r="B291" s="3" t="inlineStr">
        <is>
          <t>DEL_AG</t>
        </is>
      </c>
      <c r="C291" s="3" t="inlineStr">
        <is>
          <t>SIM-00222</t>
        </is>
      </c>
      <c r="D291" s="3" t="inlineStr">
        <is>
          <t>RO-03317</t>
        </is>
      </c>
      <c r="E291" s="3" t="n">
        <v>29.5</v>
      </c>
      <c r="F291" s="3" t="n">
        <v>11</v>
      </c>
      <c r="G291" s="3" t="n">
        <v>350</v>
      </c>
      <c r="H291" s="4">
        <f>G291/E291</f>
        <v/>
      </c>
      <c r="I291" s="3" t="n">
        <v>4.7</v>
      </c>
      <c r="J291" s="4">
        <f>(F291-Assumptions!$B$13)/(Assumptions!$C$13-Assumptions!$B$13)</f>
        <v/>
      </c>
      <c r="K291" s="4">
        <f>(H291-Assumptions!$B$14)/(Assumptions!$C$14-Assumptions!$B$14)</f>
        <v/>
      </c>
      <c r="L291" s="4">
        <f>(I291-Assumptions!$B$15)/(Assumptions!$C$15-Assumptions!$B$15)</f>
        <v/>
      </c>
      <c r="M291" s="4">
        <f>0.4*J291+0.4*K291+0.2*L291</f>
        <v/>
      </c>
    </row>
    <row r="292">
      <c r="A292" s="3" t="inlineStr">
        <is>
          <t>PrimaryHubDown</t>
        </is>
      </c>
      <c r="B292" s="3" t="inlineStr">
        <is>
          <t>DEL_BY</t>
        </is>
      </c>
      <c r="C292" s="3" t="inlineStr">
        <is>
          <t>SIM-00222</t>
        </is>
      </c>
      <c r="D292" s="3" t="inlineStr">
        <is>
          <t>RO-03317</t>
        </is>
      </c>
      <c r="E292" s="3" t="n">
        <v>19.5</v>
      </c>
      <c r="F292" s="3" t="n">
        <v>11</v>
      </c>
      <c r="G292" s="3" t="n">
        <v>350</v>
      </c>
      <c r="H292" s="4">
        <f>G292/E292</f>
        <v/>
      </c>
      <c r="I292" s="3" t="n">
        <v>4.7</v>
      </c>
      <c r="J292" s="4">
        <f>(F292-Assumptions!$B$13)/(Assumptions!$C$13-Assumptions!$B$13)</f>
        <v/>
      </c>
      <c r="K292" s="4">
        <f>(H292-Assumptions!$B$14)/(Assumptions!$C$14-Assumptions!$B$14)</f>
        <v/>
      </c>
      <c r="L292" s="4">
        <f>(I292-Assumptions!$B$15)/(Assumptions!$C$15-Assumptions!$B$15)</f>
        <v/>
      </c>
      <c r="M292" s="4">
        <f>0.4*J292+0.4*K292+0.2*L292</f>
        <v/>
      </c>
    </row>
    <row r="293">
      <c r="A293" s="3" t="inlineStr">
        <is>
          <t>PrimaryHubDown</t>
        </is>
      </c>
      <c r="B293" s="3" t="inlineStr">
        <is>
          <t>DEL_FR</t>
        </is>
      </c>
      <c r="C293" s="3" t="inlineStr">
        <is>
          <t>SIM-00222</t>
        </is>
      </c>
      <c r="D293" s="3" t="inlineStr">
        <is>
          <t>RO-03317</t>
        </is>
      </c>
      <c r="E293" s="3" t="n">
        <v>4</v>
      </c>
      <c r="F293" s="3" t="n">
        <v>11</v>
      </c>
      <c r="G293" s="3" t="n">
        <v>350</v>
      </c>
      <c r="H293" s="4">
        <f>G293/E293</f>
        <v/>
      </c>
      <c r="I293" s="3" t="n">
        <v>4.7</v>
      </c>
      <c r="J293" s="4">
        <f>(F293-Assumptions!$B$13)/(Assumptions!$C$13-Assumptions!$B$13)</f>
        <v/>
      </c>
      <c r="K293" s="4">
        <f>(H293-Assumptions!$B$14)/(Assumptions!$C$14-Assumptions!$B$14)</f>
        <v/>
      </c>
      <c r="L293" s="4">
        <f>(I293-Assumptions!$B$15)/(Assumptions!$C$15-Assumptions!$B$15)</f>
        <v/>
      </c>
      <c r="M293" s="4">
        <f>0.4*J293+0.4*K293+0.2*L293</f>
        <v/>
      </c>
    </row>
    <row r="294">
      <c r="A294" s="3" t="inlineStr">
        <is>
          <t>PrimaryHubDown</t>
        </is>
      </c>
      <c r="B294" s="3" t="inlineStr">
        <is>
          <t>DEL_GZ</t>
        </is>
      </c>
      <c r="C294" s="3" t="inlineStr">
        <is>
          <t>SIM-00222</t>
        </is>
      </c>
      <c r="D294" s="3" t="inlineStr">
        <is>
          <t>RO-03317</t>
        </is>
      </c>
      <c r="E294" s="3" t="n">
        <v>6</v>
      </c>
      <c r="F294" s="3" t="n">
        <v>11</v>
      </c>
      <c r="G294" s="3" t="n">
        <v>350</v>
      </c>
      <c r="H294" s="4">
        <f>G294/E294</f>
        <v/>
      </c>
      <c r="I294" s="3" t="n">
        <v>4.7</v>
      </c>
      <c r="J294" s="4">
        <f>(F294-Assumptions!$B$13)/(Assumptions!$C$13-Assumptions!$B$13)</f>
        <v/>
      </c>
      <c r="K294" s="4">
        <f>(H294-Assumptions!$B$14)/(Assumptions!$C$14-Assumptions!$B$14)</f>
        <v/>
      </c>
      <c r="L294" s="4">
        <f>(I294-Assumptions!$B$15)/(Assumptions!$C$15-Assumptions!$B$15)</f>
        <v/>
      </c>
      <c r="M294" s="4">
        <f>0.4*J294+0.4*K294+0.2*L294</f>
        <v/>
      </c>
    </row>
    <row r="295">
      <c r="A295" s="3" t="inlineStr">
        <is>
          <t>PrimaryHubDown</t>
        </is>
      </c>
      <c r="B295" s="3" t="inlineStr">
        <is>
          <t>DEL_GX</t>
        </is>
      </c>
      <c r="C295" s="3" t="inlineStr">
        <is>
          <t>SIM-00222</t>
        </is>
      </c>
      <c r="D295" s="3" t="inlineStr">
        <is>
          <t>RO-03317</t>
        </is>
      </c>
      <c r="E295" s="3" t="n">
        <v>29.5</v>
      </c>
      <c r="F295" s="3" t="n">
        <v>11</v>
      </c>
      <c r="G295" s="3" t="n">
        <v>350</v>
      </c>
      <c r="H295" s="4">
        <f>G295/E295</f>
        <v/>
      </c>
      <c r="I295" s="3" t="n">
        <v>4.7</v>
      </c>
      <c r="J295" s="4">
        <f>(F295-Assumptions!$B$13)/(Assumptions!$C$13-Assumptions!$B$13)</f>
        <v/>
      </c>
      <c r="K295" s="4">
        <f>(H295-Assumptions!$B$14)/(Assumptions!$C$14-Assumptions!$B$14)</f>
        <v/>
      </c>
      <c r="L295" s="4">
        <f>(I295-Assumptions!$B$15)/(Assumptions!$C$15-Assumptions!$B$15)</f>
        <v/>
      </c>
      <c r="M295" s="4">
        <f>0.4*J295+0.4*K295+0.2*L295</f>
        <v/>
      </c>
    </row>
    <row r="296">
      <c r="A296" s="3" t="inlineStr">
        <is>
          <t>PrimaryHubDown</t>
        </is>
      </c>
      <c r="B296" s="3" t="inlineStr">
        <is>
          <t>DEL_GV</t>
        </is>
      </c>
      <c r="C296" s="3" t="inlineStr">
        <is>
          <t>SIM-00222</t>
        </is>
      </c>
      <c r="D296" s="3" t="inlineStr">
        <is>
          <t>RO-03317</t>
        </is>
      </c>
      <c r="E296" s="3" t="n">
        <v>411</v>
      </c>
      <c r="F296" s="3" t="n">
        <v>11</v>
      </c>
      <c r="G296" s="3" t="n">
        <v>350</v>
      </c>
      <c r="H296" s="4">
        <f>G296/E296</f>
        <v/>
      </c>
      <c r="I296" s="3" t="n">
        <v>4.7</v>
      </c>
      <c r="J296" s="4">
        <f>(F296-Assumptions!$B$13)/(Assumptions!$C$13-Assumptions!$B$13)</f>
        <v/>
      </c>
      <c r="K296" s="4">
        <f>(H296-Assumptions!$B$14)/(Assumptions!$C$14-Assumptions!$B$14)</f>
        <v/>
      </c>
      <c r="L296" s="4">
        <f>(I296-Assumptions!$B$15)/(Assumptions!$C$15-Assumptions!$B$15)</f>
        <v/>
      </c>
      <c r="M296" s="4">
        <f>0.4*J296+0.4*K296+0.2*L296</f>
        <v/>
      </c>
    </row>
    <row r="297">
      <c r="A297" s="3" t="inlineStr">
        <is>
          <t>PrimaryHubDown</t>
        </is>
      </c>
      <c r="B297" s="3" t="inlineStr">
        <is>
          <t>DEL_BS</t>
        </is>
      </c>
      <c r="C297" s="3" t="inlineStr">
        <is>
          <t>SIM-00223</t>
        </is>
      </c>
      <c r="D297" s="3" t="inlineStr">
        <is>
          <t>RO-03215</t>
        </is>
      </c>
      <c r="E297" s="3" t="n">
        <v>177</v>
      </c>
      <c r="F297" s="3" t="n">
        <v>4</v>
      </c>
      <c r="G297" s="3" t="n">
        <v>654</v>
      </c>
      <c r="H297" s="4">
        <f>G297/E297</f>
        <v/>
      </c>
      <c r="I297" s="3" t="n">
        <v>3.3</v>
      </c>
      <c r="J297" s="4">
        <f>(F297-Assumptions!$B$13)/(Assumptions!$C$13-Assumptions!$B$13)</f>
        <v/>
      </c>
      <c r="K297" s="4">
        <f>(H297-Assumptions!$B$14)/(Assumptions!$C$14-Assumptions!$B$14)</f>
        <v/>
      </c>
      <c r="L297" s="4">
        <f>(I297-Assumptions!$B$15)/(Assumptions!$C$15-Assumptions!$B$15)</f>
        <v/>
      </c>
      <c r="M297" s="4">
        <f>0.4*J297+0.4*K297+0.2*L297</f>
        <v/>
      </c>
    </row>
    <row r="298">
      <c r="A298" s="3" t="inlineStr">
        <is>
          <t>PrimaryHubDown</t>
        </is>
      </c>
      <c r="B298" s="3" t="inlineStr">
        <is>
          <t>DEL_X</t>
        </is>
      </c>
      <c r="C298" s="3" t="inlineStr">
        <is>
          <t>SIM-00230</t>
        </is>
      </c>
      <c r="D298" s="3" t="inlineStr">
        <is>
          <t>RO-03449</t>
        </is>
      </c>
      <c r="E298" s="3" t="n">
        <v>6.5</v>
      </c>
      <c r="F298" s="3" t="n">
        <v>12</v>
      </c>
      <c r="G298" s="3" t="n">
        <v>314</v>
      </c>
      <c r="H298" s="4">
        <f>G298/E298</f>
        <v/>
      </c>
      <c r="I298" s="3" t="n">
        <v>4.7</v>
      </c>
      <c r="J298" s="4">
        <f>(F298-Assumptions!$B$13)/(Assumptions!$C$13-Assumptions!$B$13)</f>
        <v/>
      </c>
      <c r="K298" s="4">
        <f>(H298-Assumptions!$B$14)/(Assumptions!$C$14-Assumptions!$B$14)</f>
        <v/>
      </c>
      <c r="L298" s="4">
        <f>(I298-Assumptions!$B$15)/(Assumptions!$C$15-Assumptions!$B$15)</f>
        <v/>
      </c>
      <c r="M298" s="4">
        <f>0.4*J298+0.4*K298+0.2*L298</f>
        <v/>
      </c>
    </row>
    <row r="299">
      <c r="A299" s="3" t="inlineStr">
        <is>
          <t>PrimaryHubDown</t>
        </is>
      </c>
      <c r="B299" s="3" t="inlineStr">
        <is>
          <t>DEL_CL</t>
        </is>
      </c>
      <c r="C299" s="3" t="inlineStr">
        <is>
          <t>SIM-00230</t>
        </is>
      </c>
      <c r="D299" s="3" t="inlineStr">
        <is>
          <t>RO-03449</t>
        </is>
      </c>
      <c r="E299" s="3" t="n">
        <v>27.5</v>
      </c>
      <c r="F299" s="3" t="n">
        <v>12</v>
      </c>
      <c r="G299" s="3" t="n">
        <v>314</v>
      </c>
      <c r="H299" s="4">
        <f>G299/E299</f>
        <v/>
      </c>
      <c r="I299" s="3" t="n">
        <v>4.7</v>
      </c>
      <c r="J299" s="4">
        <f>(F299-Assumptions!$B$13)/(Assumptions!$C$13-Assumptions!$B$13)</f>
        <v/>
      </c>
      <c r="K299" s="4">
        <f>(H299-Assumptions!$B$14)/(Assumptions!$C$14-Assumptions!$B$14)</f>
        <v/>
      </c>
      <c r="L299" s="4">
        <f>(I299-Assumptions!$B$15)/(Assumptions!$C$15-Assumptions!$B$15)</f>
        <v/>
      </c>
      <c r="M299" s="4">
        <f>0.4*J299+0.4*K299+0.2*L299</f>
        <v/>
      </c>
    </row>
    <row r="300">
      <c r="A300" s="3" t="inlineStr">
        <is>
          <t>PrimaryHubDown</t>
        </is>
      </c>
      <c r="B300" s="3" t="inlineStr">
        <is>
          <t>DEL_DM</t>
        </is>
      </c>
      <c r="C300" s="3" t="inlineStr">
        <is>
          <t>SIM-00230</t>
        </is>
      </c>
      <c r="D300" s="3" t="inlineStr">
        <is>
          <t>RO-03449</t>
        </is>
      </c>
      <c r="E300" s="3" t="n">
        <v>8</v>
      </c>
      <c r="F300" s="3" t="n">
        <v>12</v>
      </c>
      <c r="G300" s="3" t="n">
        <v>314</v>
      </c>
      <c r="H300" s="4">
        <f>G300/E300</f>
        <v/>
      </c>
      <c r="I300" s="3" t="n">
        <v>4.7</v>
      </c>
      <c r="J300" s="4">
        <f>(F300-Assumptions!$B$13)/(Assumptions!$C$13-Assumptions!$B$13)</f>
        <v/>
      </c>
      <c r="K300" s="4">
        <f>(H300-Assumptions!$B$14)/(Assumptions!$C$14-Assumptions!$B$14)</f>
        <v/>
      </c>
      <c r="L300" s="4">
        <f>(I300-Assumptions!$B$15)/(Assumptions!$C$15-Assumptions!$B$15)</f>
        <v/>
      </c>
      <c r="M300" s="4">
        <f>0.4*J300+0.4*K300+0.2*L300</f>
        <v/>
      </c>
    </row>
    <row r="301">
      <c r="A301" s="3" t="inlineStr">
        <is>
          <t>PrimaryHubDown</t>
        </is>
      </c>
      <c r="B301" s="3" t="inlineStr">
        <is>
          <t>DEL_HQ</t>
        </is>
      </c>
      <c r="C301" s="3" t="inlineStr">
        <is>
          <t>SIM-00230</t>
        </is>
      </c>
      <c r="D301" s="3" t="inlineStr">
        <is>
          <t>RO-03449</t>
        </is>
      </c>
      <c r="E301" s="3" t="n">
        <v>5</v>
      </c>
      <c r="F301" s="3" t="n">
        <v>12</v>
      </c>
      <c r="G301" s="3" t="n">
        <v>314</v>
      </c>
      <c r="H301" s="4">
        <f>G301/E301</f>
        <v/>
      </c>
      <c r="I301" s="3" t="n">
        <v>4.7</v>
      </c>
      <c r="J301" s="4">
        <f>(F301-Assumptions!$B$13)/(Assumptions!$C$13-Assumptions!$B$13)</f>
        <v/>
      </c>
      <c r="K301" s="4">
        <f>(H301-Assumptions!$B$14)/(Assumptions!$C$14-Assumptions!$B$14)</f>
        <v/>
      </c>
      <c r="L301" s="4">
        <f>(I301-Assumptions!$B$15)/(Assumptions!$C$15-Assumptions!$B$15)</f>
        <v/>
      </c>
      <c r="M301" s="4">
        <f>0.4*J301+0.4*K301+0.2*L301</f>
        <v/>
      </c>
    </row>
    <row r="302">
      <c r="A302" s="3" t="inlineStr">
        <is>
          <t>PrimaryHubDown</t>
        </is>
      </c>
      <c r="B302" s="3" t="inlineStr">
        <is>
          <t>DEL_GT</t>
        </is>
      </c>
      <c r="C302" s="3" t="inlineStr">
        <is>
          <t>SIM-00230</t>
        </is>
      </c>
      <c r="D302" s="3" t="inlineStr">
        <is>
          <t>RO-03449</t>
        </is>
      </c>
      <c r="E302" s="3" t="n">
        <v>1</v>
      </c>
      <c r="F302" s="3" t="n">
        <v>12</v>
      </c>
      <c r="G302" s="3" t="n">
        <v>314</v>
      </c>
      <c r="H302" s="4">
        <f>G302/E302</f>
        <v/>
      </c>
      <c r="I302" s="3" t="n">
        <v>4.7</v>
      </c>
      <c r="J302" s="4">
        <f>(F302-Assumptions!$B$13)/(Assumptions!$C$13-Assumptions!$B$13)</f>
        <v/>
      </c>
      <c r="K302" s="4">
        <f>(H302-Assumptions!$B$14)/(Assumptions!$C$14-Assumptions!$B$14)</f>
        <v/>
      </c>
      <c r="L302" s="4">
        <f>(I302-Assumptions!$B$15)/(Assumptions!$C$15-Assumptions!$B$15)</f>
        <v/>
      </c>
      <c r="M302" s="4">
        <f>0.4*J302+0.4*K302+0.2*L302</f>
        <v/>
      </c>
    </row>
    <row r="303">
      <c r="A303" s="3" t="inlineStr">
        <is>
          <t>PrimaryHubDown</t>
        </is>
      </c>
      <c r="B303" s="3" t="inlineStr">
        <is>
          <t>DEL_AO</t>
        </is>
      </c>
      <c r="C303" s="3" t="inlineStr">
        <is>
          <t>SIM-00232</t>
        </is>
      </c>
      <c r="D303" s="3" t="inlineStr">
        <is>
          <t>RO-03467</t>
        </is>
      </c>
      <c r="E303" s="3" t="n">
        <v>3.5</v>
      </c>
      <c r="F303" s="3" t="n">
        <v>4</v>
      </c>
      <c r="G303" s="3" t="n">
        <v>654</v>
      </c>
      <c r="H303" s="4">
        <f>G303/E303</f>
        <v/>
      </c>
      <c r="I303" s="3" t="n">
        <v>3.3</v>
      </c>
      <c r="J303" s="4">
        <f>(F303-Assumptions!$B$13)/(Assumptions!$C$13-Assumptions!$B$13)</f>
        <v/>
      </c>
      <c r="K303" s="4">
        <f>(H303-Assumptions!$B$14)/(Assumptions!$C$14-Assumptions!$B$14)</f>
        <v/>
      </c>
      <c r="L303" s="4">
        <f>(I303-Assumptions!$B$15)/(Assumptions!$C$15-Assumptions!$B$15)</f>
        <v/>
      </c>
      <c r="M303" s="4">
        <f>0.4*J303+0.4*K303+0.2*L303</f>
        <v/>
      </c>
    </row>
    <row r="304">
      <c r="A304" s="3" t="inlineStr">
        <is>
          <t>PrimaryHubDown</t>
        </is>
      </c>
      <c r="B304" s="3" t="inlineStr">
        <is>
          <t>DEL_EQ</t>
        </is>
      </c>
      <c r="C304" s="3" t="inlineStr">
        <is>
          <t>SIM-00232</t>
        </is>
      </c>
      <c r="D304" s="3" t="inlineStr">
        <is>
          <t>RO-03467</t>
        </is>
      </c>
      <c r="E304" s="3" t="n">
        <v>40.5</v>
      </c>
      <c r="F304" s="3" t="n">
        <v>4</v>
      </c>
      <c r="G304" s="3" t="n">
        <v>654</v>
      </c>
      <c r="H304" s="4">
        <f>G304/E304</f>
        <v/>
      </c>
      <c r="I304" s="3" t="n">
        <v>3.3</v>
      </c>
      <c r="J304" s="4">
        <f>(F304-Assumptions!$B$13)/(Assumptions!$C$13-Assumptions!$B$13)</f>
        <v/>
      </c>
      <c r="K304" s="4">
        <f>(H304-Assumptions!$B$14)/(Assumptions!$C$14-Assumptions!$B$14)</f>
        <v/>
      </c>
      <c r="L304" s="4">
        <f>(I304-Assumptions!$B$15)/(Assumptions!$C$15-Assumptions!$B$15)</f>
        <v/>
      </c>
      <c r="M304" s="4">
        <f>0.4*J304+0.4*K304+0.2*L304</f>
        <v/>
      </c>
    </row>
    <row r="305">
      <c r="A305" s="3" t="inlineStr">
        <is>
          <t>PrimaryHubDown</t>
        </is>
      </c>
      <c r="B305" s="3" t="inlineStr">
        <is>
          <t>DEL_HD</t>
        </is>
      </c>
      <c r="C305" s="3" t="inlineStr">
        <is>
          <t>SIM-00232</t>
        </is>
      </c>
      <c r="D305" s="3" t="inlineStr">
        <is>
          <t>RO-03467</t>
        </is>
      </c>
      <c r="E305" s="3" t="n">
        <v>20.5</v>
      </c>
      <c r="F305" s="3" t="n">
        <v>4</v>
      </c>
      <c r="G305" s="3" t="n">
        <v>654</v>
      </c>
      <c r="H305" s="4">
        <f>G305/E305</f>
        <v/>
      </c>
      <c r="I305" s="3" t="n">
        <v>3.3</v>
      </c>
      <c r="J305" s="4">
        <f>(F305-Assumptions!$B$13)/(Assumptions!$C$13-Assumptions!$B$13)</f>
        <v/>
      </c>
      <c r="K305" s="4">
        <f>(H305-Assumptions!$B$14)/(Assumptions!$C$14-Assumptions!$B$14)</f>
        <v/>
      </c>
      <c r="L305" s="4">
        <f>(I305-Assumptions!$B$15)/(Assumptions!$C$15-Assumptions!$B$15)</f>
        <v/>
      </c>
      <c r="M305" s="4">
        <f>0.4*J305+0.4*K305+0.2*L305</f>
        <v/>
      </c>
    </row>
    <row r="306">
      <c r="A306" s="3" t="inlineStr">
        <is>
          <t>PrimaryHubDown</t>
        </is>
      </c>
      <c r="B306" s="3" t="inlineStr">
        <is>
          <t>DEL_HH</t>
        </is>
      </c>
      <c r="C306" s="3" t="inlineStr">
        <is>
          <t>SIM-00232</t>
        </is>
      </c>
      <c r="D306" s="3" t="inlineStr">
        <is>
          <t>RO-03467</t>
        </is>
      </c>
      <c r="E306" s="3" t="n">
        <v>7</v>
      </c>
      <c r="F306" s="3" t="n">
        <v>4</v>
      </c>
      <c r="G306" s="3" t="n">
        <v>654</v>
      </c>
      <c r="H306" s="4">
        <f>G306/E306</f>
        <v/>
      </c>
      <c r="I306" s="3" t="n">
        <v>3.3</v>
      </c>
      <c r="J306" s="4">
        <f>(F306-Assumptions!$B$13)/(Assumptions!$C$13-Assumptions!$B$13)</f>
        <v/>
      </c>
      <c r="K306" s="4">
        <f>(H306-Assumptions!$B$14)/(Assumptions!$C$14-Assumptions!$B$14)</f>
        <v/>
      </c>
      <c r="L306" s="4">
        <f>(I306-Assumptions!$B$15)/(Assumptions!$C$15-Assumptions!$B$15)</f>
        <v/>
      </c>
      <c r="M306" s="4">
        <f>0.4*J306+0.4*K306+0.2*L306</f>
        <v/>
      </c>
    </row>
    <row r="307">
      <c r="A307" s="3" t="inlineStr">
        <is>
          <t>PrimaryHubDown</t>
        </is>
      </c>
      <c r="B307" s="3" t="inlineStr">
        <is>
          <t>DEL_AJ</t>
        </is>
      </c>
      <c r="C307" s="3" t="inlineStr">
        <is>
          <t>SIM-00233</t>
        </is>
      </c>
      <c r="D307" s="3" t="inlineStr">
        <is>
          <t>RO-03485</t>
        </is>
      </c>
      <c r="E307" s="3" t="n">
        <v>165.5</v>
      </c>
      <c r="F307" s="3" t="n">
        <v>11</v>
      </c>
      <c r="G307" s="3" t="n">
        <v>314</v>
      </c>
      <c r="H307" s="4">
        <f>G307/E307</f>
        <v/>
      </c>
      <c r="I307" s="3" t="n">
        <v>4.7</v>
      </c>
      <c r="J307" s="4">
        <f>(F307-Assumptions!$B$13)/(Assumptions!$C$13-Assumptions!$B$13)</f>
        <v/>
      </c>
      <c r="K307" s="4">
        <f>(H307-Assumptions!$B$14)/(Assumptions!$C$14-Assumptions!$B$14)</f>
        <v/>
      </c>
      <c r="L307" s="4">
        <f>(I307-Assumptions!$B$15)/(Assumptions!$C$15-Assumptions!$B$15)</f>
        <v/>
      </c>
      <c r="M307" s="4">
        <f>0.4*J307+0.4*K307+0.2*L307</f>
        <v/>
      </c>
    </row>
    <row r="308">
      <c r="A308" s="3" t="inlineStr">
        <is>
          <t>PrimaryHubDown</t>
        </is>
      </c>
      <c r="B308" s="3" t="inlineStr">
        <is>
          <t>DEL_AX</t>
        </is>
      </c>
      <c r="C308" s="3" t="inlineStr">
        <is>
          <t>SIM-00233</t>
        </is>
      </c>
      <c r="D308" s="3" t="inlineStr">
        <is>
          <t>RO-03485</t>
        </is>
      </c>
      <c r="E308" s="3" t="n">
        <v>762</v>
      </c>
      <c r="F308" s="3" t="n">
        <v>11</v>
      </c>
      <c r="G308" s="3" t="n">
        <v>314</v>
      </c>
      <c r="H308" s="4">
        <f>G308/E308</f>
        <v/>
      </c>
      <c r="I308" s="3" t="n">
        <v>4.7</v>
      </c>
      <c r="J308" s="4">
        <f>(F308-Assumptions!$B$13)/(Assumptions!$C$13-Assumptions!$B$13)</f>
        <v/>
      </c>
      <c r="K308" s="4">
        <f>(H308-Assumptions!$B$14)/(Assumptions!$C$14-Assumptions!$B$14)</f>
        <v/>
      </c>
      <c r="L308" s="4">
        <f>(I308-Assumptions!$B$15)/(Assumptions!$C$15-Assumptions!$B$15)</f>
        <v/>
      </c>
      <c r="M308" s="4">
        <f>0.4*J308+0.4*K308+0.2*L308</f>
        <v/>
      </c>
    </row>
    <row r="309">
      <c r="A309" s="3" t="inlineStr">
        <is>
          <t>PrimaryHubDown</t>
        </is>
      </c>
      <c r="B309" s="3" t="inlineStr">
        <is>
          <t>DEL_CW</t>
        </is>
      </c>
      <c r="C309" s="3" t="inlineStr">
        <is>
          <t>SIM-00233</t>
        </is>
      </c>
      <c r="D309" s="3" t="inlineStr">
        <is>
          <t>RO-03485</t>
        </is>
      </c>
      <c r="E309" s="3" t="n">
        <v>152</v>
      </c>
      <c r="F309" s="3" t="n">
        <v>11</v>
      </c>
      <c r="G309" s="3" t="n">
        <v>314</v>
      </c>
      <c r="H309" s="4">
        <f>G309/E309</f>
        <v/>
      </c>
      <c r="I309" s="3" t="n">
        <v>4.7</v>
      </c>
      <c r="J309" s="4">
        <f>(F309-Assumptions!$B$13)/(Assumptions!$C$13-Assumptions!$B$13)</f>
        <v/>
      </c>
      <c r="K309" s="4">
        <f>(H309-Assumptions!$B$14)/(Assumptions!$C$14-Assumptions!$B$14)</f>
        <v/>
      </c>
      <c r="L309" s="4">
        <f>(I309-Assumptions!$B$15)/(Assumptions!$C$15-Assumptions!$B$15)</f>
        <v/>
      </c>
      <c r="M309" s="4">
        <f>0.4*J309+0.4*K309+0.2*L309</f>
        <v/>
      </c>
    </row>
    <row r="310">
      <c r="A310" s="3" t="inlineStr">
        <is>
          <t>PrimaryHubDown</t>
        </is>
      </c>
      <c r="B310" s="3" t="inlineStr">
        <is>
          <t>DEL_BU</t>
        </is>
      </c>
      <c r="C310" s="3" t="inlineStr">
        <is>
          <t>SIM-00237</t>
        </is>
      </c>
      <c r="D310" s="3" t="inlineStr">
        <is>
          <t>RO-01391</t>
        </is>
      </c>
      <c r="E310" s="3" t="n">
        <v>32</v>
      </c>
      <c r="F310" s="3" t="n">
        <v>4</v>
      </c>
      <c r="G310" s="3" t="n">
        <v>690</v>
      </c>
      <c r="H310" s="4">
        <f>G310/E310</f>
        <v/>
      </c>
      <c r="I310" s="3" t="n">
        <v>3.3</v>
      </c>
      <c r="J310" s="4">
        <f>(F310-Assumptions!$B$13)/(Assumptions!$C$13-Assumptions!$B$13)</f>
        <v/>
      </c>
      <c r="K310" s="4">
        <f>(H310-Assumptions!$B$14)/(Assumptions!$C$14-Assumptions!$B$14)</f>
        <v/>
      </c>
      <c r="L310" s="4">
        <f>(I310-Assumptions!$B$15)/(Assumptions!$C$15-Assumptions!$B$15)</f>
        <v/>
      </c>
      <c r="M310" s="4">
        <f>0.4*J310+0.4*K310+0.2*L310</f>
        <v/>
      </c>
    </row>
    <row r="311">
      <c r="A311" s="3" t="inlineStr">
        <is>
          <t>PrimaryHubDown</t>
        </is>
      </c>
      <c r="B311" s="3" t="inlineStr">
        <is>
          <t>DEL_EN</t>
        </is>
      </c>
      <c r="C311" s="3" t="inlineStr">
        <is>
          <t>SIM-00238</t>
        </is>
      </c>
      <c r="D311" s="3" t="inlineStr">
        <is>
          <t>RO-03566</t>
        </is>
      </c>
      <c r="E311" s="3" t="n">
        <v>839.5</v>
      </c>
      <c r="F311" s="3" t="n">
        <v>6</v>
      </c>
      <c r="G311" s="3" t="n">
        <v>394</v>
      </c>
      <c r="H311" s="4">
        <f>G311/E311</f>
        <v/>
      </c>
      <c r="I311" s="3" t="n">
        <v>3.2</v>
      </c>
      <c r="J311" s="4">
        <f>(F311-Assumptions!$B$13)/(Assumptions!$C$13-Assumptions!$B$13)</f>
        <v/>
      </c>
      <c r="K311" s="4">
        <f>(H311-Assumptions!$B$14)/(Assumptions!$C$14-Assumptions!$B$14)</f>
        <v/>
      </c>
      <c r="L311" s="4">
        <f>(I311-Assumptions!$B$15)/(Assumptions!$C$15-Assumptions!$B$15)</f>
        <v/>
      </c>
      <c r="M311" s="4">
        <f>0.4*J311+0.4*K311+0.2*L311</f>
        <v/>
      </c>
    </row>
    <row r="312">
      <c r="A312" s="3" t="inlineStr">
        <is>
          <t>PrimaryHubDown</t>
        </is>
      </c>
      <c r="B312" s="3" t="inlineStr">
        <is>
          <t>DEL_DY</t>
        </is>
      </c>
      <c r="C312" s="3" t="inlineStr">
        <is>
          <t>SIM-00240</t>
        </is>
      </c>
      <c r="D312" s="3" t="inlineStr">
        <is>
          <t>RO-03359</t>
        </is>
      </c>
      <c r="E312" s="3" t="n">
        <v>78</v>
      </c>
      <c r="F312" s="3" t="n">
        <v>6</v>
      </c>
      <c r="G312" s="3" t="n">
        <v>654</v>
      </c>
      <c r="H312" s="4">
        <f>G312/E312</f>
        <v/>
      </c>
      <c r="I312" s="3" t="n">
        <v>3.3</v>
      </c>
      <c r="J312" s="4">
        <f>(F312-Assumptions!$B$13)/(Assumptions!$C$13-Assumptions!$B$13)</f>
        <v/>
      </c>
      <c r="K312" s="4">
        <f>(H312-Assumptions!$B$14)/(Assumptions!$C$14-Assumptions!$B$14)</f>
        <v/>
      </c>
      <c r="L312" s="4">
        <f>(I312-Assumptions!$B$15)/(Assumptions!$C$15-Assumptions!$B$15)</f>
        <v/>
      </c>
      <c r="M312" s="4">
        <f>0.4*J312+0.4*K312+0.2*L312</f>
        <v/>
      </c>
    </row>
    <row r="313">
      <c r="A313" s="3" t="inlineStr">
        <is>
          <t>AirCapacityReduced</t>
        </is>
      </c>
      <c r="B313" s="3" t="inlineStr">
        <is>
          <t>DEL_CX</t>
        </is>
      </c>
      <c r="C313" s="3" t="inlineStr">
        <is>
          <t>SIM-00001</t>
        </is>
      </c>
      <c r="D313" s="3" t="inlineStr">
        <is>
          <t>RO-00003</t>
        </is>
      </c>
      <c r="E313" s="3" t="n">
        <v>4</v>
      </c>
      <c r="F313" s="3" t="n">
        <v>11</v>
      </c>
      <c r="G313" s="3" t="n">
        <v>306</v>
      </c>
      <c r="H313" s="4">
        <f>G313/E313</f>
        <v/>
      </c>
      <c r="I313" s="3" t="n">
        <v>3.9</v>
      </c>
      <c r="J313" s="4">
        <f>(F313-Assumptions!$B$13)/(Assumptions!$C$13-Assumptions!$B$13)</f>
        <v/>
      </c>
      <c r="K313" s="4">
        <f>(H313-Assumptions!$B$14)/(Assumptions!$C$14-Assumptions!$B$14)</f>
        <v/>
      </c>
      <c r="L313" s="4">
        <f>(I313-Assumptions!$B$15)/(Assumptions!$C$15-Assumptions!$B$15)</f>
        <v/>
      </c>
      <c r="M313" s="4">
        <f>0.4*J313+0.4*K313+0.2*L313</f>
        <v/>
      </c>
    </row>
    <row r="314">
      <c r="A314" s="3" t="inlineStr">
        <is>
          <t>AirCapacityReduced</t>
        </is>
      </c>
      <c r="B314" s="3" t="inlineStr">
        <is>
          <t>DEL_GH</t>
        </is>
      </c>
      <c r="C314" s="3" t="inlineStr">
        <is>
          <t>SIM-00001</t>
        </is>
      </c>
      <c r="D314" s="3" t="inlineStr">
        <is>
          <t>RO-00003</t>
        </is>
      </c>
      <c r="E314" s="3" t="n">
        <v>1</v>
      </c>
      <c r="F314" s="3" t="n">
        <v>11</v>
      </c>
      <c r="G314" s="3" t="n">
        <v>306</v>
      </c>
      <c r="H314" s="4">
        <f>G314/E314</f>
        <v/>
      </c>
      <c r="I314" s="3" t="n">
        <v>3.9</v>
      </c>
      <c r="J314" s="4">
        <f>(F314-Assumptions!$B$13)/(Assumptions!$C$13-Assumptions!$B$13)</f>
        <v/>
      </c>
      <c r="K314" s="4">
        <f>(H314-Assumptions!$B$14)/(Assumptions!$C$14-Assumptions!$B$14)</f>
        <v/>
      </c>
      <c r="L314" s="4">
        <f>(I314-Assumptions!$B$15)/(Assumptions!$C$15-Assumptions!$B$15)</f>
        <v/>
      </c>
      <c r="M314" s="4">
        <f>0.4*J314+0.4*K314+0.2*L314</f>
        <v/>
      </c>
    </row>
    <row r="315">
      <c r="A315" s="3" t="inlineStr">
        <is>
          <t>AirCapacityReduced</t>
        </is>
      </c>
      <c r="B315" s="3" t="inlineStr">
        <is>
          <t>DEL_CO</t>
        </is>
      </c>
      <c r="C315" s="3" t="inlineStr">
        <is>
          <t>SIM-00002</t>
        </is>
      </c>
      <c r="D315" s="3" t="inlineStr">
        <is>
          <t>RO-00018</t>
        </is>
      </c>
      <c r="E315" s="3" t="n">
        <v>1063.5</v>
      </c>
      <c r="F315" s="3" t="n">
        <v>3</v>
      </c>
      <c r="G315" s="3" t="n">
        <v>770</v>
      </c>
      <c r="H315" s="4">
        <f>G315/E315</f>
        <v/>
      </c>
      <c r="I315" s="3" t="n">
        <v>1.7</v>
      </c>
      <c r="J315" s="4">
        <f>(F315-Assumptions!$B$13)/(Assumptions!$C$13-Assumptions!$B$13)</f>
        <v/>
      </c>
      <c r="K315" s="4">
        <f>(H315-Assumptions!$B$14)/(Assumptions!$C$14-Assumptions!$B$14)</f>
        <v/>
      </c>
      <c r="L315" s="4">
        <f>(I315-Assumptions!$B$15)/(Assumptions!$C$15-Assumptions!$B$15)</f>
        <v/>
      </c>
      <c r="M315" s="4">
        <f>0.4*J315+0.4*K315+0.2*L315</f>
        <v/>
      </c>
    </row>
    <row r="316">
      <c r="A316" s="3" t="inlineStr">
        <is>
          <t>AirCapacityReduced</t>
        </is>
      </c>
      <c r="B316" s="3" t="inlineStr">
        <is>
          <t>DEL_GU</t>
        </is>
      </c>
      <c r="C316" s="3" t="inlineStr">
        <is>
          <t>SIM-00002</t>
        </is>
      </c>
      <c r="D316" s="3" t="inlineStr">
        <is>
          <t>RO-00018</t>
        </is>
      </c>
      <c r="E316" s="3" t="n">
        <v>36</v>
      </c>
      <c r="F316" s="3" t="n">
        <v>3</v>
      </c>
      <c r="G316" s="3" t="n">
        <v>770</v>
      </c>
      <c r="H316" s="4">
        <f>G316/E316</f>
        <v/>
      </c>
      <c r="I316" s="3" t="n">
        <v>1.7</v>
      </c>
      <c r="J316" s="4">
        <f>(F316-Assumptions!$B$13)/(Assumptions!$C$13-Assumptions!$B$13)</f>
        <v/>
      </c>
      <c r="K316" s="4">
        <f>(H316-Assumptions!$B$14)/(Assumptions!$C$14-Assumptions!$B$14)</f>
        <v/>
      </c>
      <c r="L316" s="4">
        <f>(I316-Assumptions!$B$15)/(Assumptions!$C$15-Assumptions!$B$15)</f>
        <v/>
      </c>
      <c r="M316" s="4">
        <f>0.4*J316+0.4*K316+0.2*L316</f>
        <v/>
      </c>
    </row>
    <row r="317">
      <c r="A317" s="3" t="inlineStr">
        <is>
          <t>AirCapacityReduced</t>
        </is>
      </c>
      <c r="B317" s="3" t="inlineStr">
        <is>
          <t>DEL_DI</t>
        </is>
      </c>
      <c r="C317" s="3" t="inlineStr">
        <is>
          <t>SIM-00003</t>
        </is>
      </c>
      <c r="D317" s="3" t="inlineStr">
        <is>
          <t>RO-00036</t>
        </is>
      </c>
      <c r="E317" s="3" t="n">
        <v>2113.5</v>
      </c>
      <c r="F317" s="3" t="n">
        <v>5</v>
      </c>
      <c r="G317" s="3" t="n">
        <v>350</v>
      </c>
      <c r="H317" s="4">
        <f>G317/E317</f>
        <v/>
      </c>
      <c r="I317" s="3" t="n">
        <v>2.5</v>
      </c>
      <c r="J317" s="4">
        <f>(F317-Assumptions!$B$13)/(Assumptions!$C$13-Assumptions!$B$13)</f>
        <v/>
      </c>
      <c r="K317" s="4">
        <f>(H317-Assumptions!$B$14)/(Assumptions!$C$14-Assumptions!$B$14)</f>
        <v/>
      </c>
      <c r="L317" s="4">
        <f>(I317-Assumptions!$B$15)/(Assumptions!$C$15-Assumptions!$B$15)</f>
        <v/>
      </c>
      <c r="M317" s="4">
        <f>0.4*J317+0.4*K317+0.2*L317</f>
        <v/>
      </c>
    </row>
    <row r="318">
      <c r="A318" s="3" t="inlineStr">
        <is>
          <t>AirCapacityReduced</t>
        </is>
      </c>
      <c r="B318" s="3" t="inlineStr">
        <is>
          <t>DEL_GW</t>
        </is>
      </c>
      <c r="C318" s="3" t="inlineStr">
        <is>
          <t>SIM-00003</t>
        </is>
      </c>
      <c r="D318" s="3" t="inlineStr">
        <is>
          <t>RO-00036</t>
        </is>
      </c>
      <c r="E318" s="3" t="n">
        <v>4.5</v>
      </c>
      <c r="F318" s="3" t="n">
        <v>5</v>
      </c>
      <c r="G318" s="3" t="n">
        <v>350</v>
      </c>
      <c r="H318" s="4">
        <f>G318/E318</f>
        <v/>
      </c>
      <c r="I318" s="3" t="n">
        <v>2.5</v>
      </c>
      <c r="J318" s="4">
        <f>(F318-Assumptions!$B$13)/(Assumptions!$C$13-Assumptions!$B$13)</f>
        <v/>
      </c>
      <c r="K318" s="4">
        <f>(H318-Assumptions!$B$14)/(Assumptions!$C$14-Assumptions!$B$14)</f>
        <v/>
      </c>
      <c r="L318" s="4">
        <f>(I318-Assumptions!$B$15)/(Assumptions!$C$15-Assumptions!$B$15)</f>
        <v/>
      </c>
      <c r="M318" s="4">
        <f>0.4*J318+0.4*K318+0.2*L318</f>
        <v/>
      </c>
    </row>
    <row r="319">
      <c r="A319" s="3" t="inlineStr">
        <is>
          <t>AirCapacityReduced</t>
        </is>
      </c>
      <c r="B319" s="3" t="inlineStr">
        <is>
          <t>DEL_F</t>
        </is>
      </c>
      <c r="C319" s="3" t="inlineStr">
        <is>
          <t>SIM-00004</t>
        </is>
      </c>
      <c r="D319" s="3" t="inlineStr">
        <is>
          <t>RO-00051</t>
        </is>
      </c>
      <c r="E319" s="3" t="n">
        <v>208</v>
      </c>
      <c r="F319" s="3" t="n">
        <v>10</v>
      </c>
      <c r="G319" s="3" t="n">
        <v>342</v>
      </c>
      <c r="H319" s="4">
        <f>G319/E319</f>
        <v/>
      </c>
      <c r="I319" s="3" t="n">
        <v>3.9</v>
      </c>
      <c r="J319" s="4">
        <f>(F319-Assumptions!$B$13)/(Assumptions!$C$13-Assumptions!$B$13)</f>
        <v/>
      </c>
      <c r="K319" s="4">
        <f>(H319-Assumptions!$B$14)/(Assumptions!$C$14-Assumptions!$B$14)</f>
        <v/>
      </c>
      <c r="L319" s="4">
        <f>(I319-Assumptions!$B$15)/(Assumptions!$C$15-Assumptions!$B$15)</f>
        <v/>
      </c>
      <c r="M319" s="4">
        <f>0.4*J319+0.4*K319+0.2*L319</f>
        <v/>
      </c>
    </row>
    <row r="320">
      <c r="A320" s="3" t="inlineStr">
        <is>
          <t>AirCapacityReduced</t>
        </is>
      </c>
      <c r="B320" s="3" t="inlineStr">
        <is>
          <t>DEL_BK</t>
        </is>
      </c>
      <c r="C320" s="3" t="inlineStr">
        <is>
          <t>SIM-00004</t>
        </is>
      </c>
      <c r="D320" s="3" t="inlineStr">
        <is>
          <t>RO-00051</t>
        </is>
      </c>
      <c r="E320" s="3" t="n">
        <v>168.5</v>
      </c>
      <c r="F320" s="3" t="n">
        <v>10</v>
      </c>
      <c r="G320" s="3" t="n">
        <v>342</v>
      </c>
      <c r="H320" s="4">
        <f>G320/E320</f>
        <v/>
      </c>
      <c r="I320" s="3" t="n">
        <v>3.9</v>
      </c>
      <c r="J320" s="4">
        <f>(F320-Assumptions!$B$13)/(Assumptions!$C$13-Assumptions!$B$13)</f>
        <v/>
      </c>
      <c r="K320" s="4">
        <f>(H320-Assumptions!$B$14)/(Assumptions!$C$14-Assumptions!$B$14)</f>
        <v/>
      </c>
      <c r="L320" s="4">
        <f>(I320-Assumptions!$B$15)/(Assumptions!$C$15-Assumptions!$B$15)</f>
        <v/>
      </c>
      <c r="M320" s="4">
        <f>0.4*J320+0.4*K320+0.2*L320</f>
        <v/>
      </c>
    </row>
    <row r="321">
      <c r="A321" s="3" t="inlineStr">
        <is>
          <t>AirCapacityReduced</t>
        </is>
      </c>
      <c r="B321" s="3" t="inlineStr">
        <is>
          <t>DEL_ED</t>
        </is>
      </c>
      <c r="C321" s="3" t="inlineStr">
        <is>
          <t>SIM-00004</t>
        </is>
      </c>
      <c r="D321" s="3" t="inlineStr">
        <is>
          <t>RO-00051</t>
        </is>
      </c>
      <c r="E321" s="3" t="n">
        <v>187</v>
      </c>
      <c r="F321" s="3" t="n">
        <v>10</v>
      </c>
      <c r="G321" s="3" t="n">
        <v>342</v>
      </c>
      <c r="H321" s="4">
        <f>G321/E321</f>
        <v/>
      </c>
      <c r="I321" s="3" t="n">
        <v>3.9</v>
      </c>
      <c r="J321" s="4">
        <f>(F321-Assumptions!$B$13)/(Assumptions!$C$13-Assumptions!$B$13)</f>
        <v/>
      </c>
      <c r="K321" s="4">
        <f>(H321-Assumptions!$B$14)/(Assumptions!$C$14-Assumptions!$B$14)</f>
        <v/>
      </c>
      <c r="L321" s="4">
        <f>(I321-Assumptions!$B$15)/(Assumptions!$C$15-Assumptions!$B$15)</f>
        <v/>
      </c>
      <c r="M321" s="4">
        <f>0.4*J321+0.4*K321+0.2*L321</f>
        <v/>
      </c>
    </row>
    <row r="322">
      <c r="A322" s="3" t="inlineStr">
        <is>
          <t>AirCapacityReduced</t>
        </is>
      </c>
      <c r="B322" s="3" t="inlineStr">
        <is>
          <t>DEL_BT</t>
        </is>
      </c>
      <c r="C322" s="3" t="inlineStr">
        <is>
          <t>SIM-00005</t>
        </is>
      </c>
      <c r="D322" s="3" t="inlineStr">
        <is>
          <t>RO-00069</t>
        </is>
      </c>
      <c r="E322" s="3" t="n">
        <v>4</v>
      </c>
      <c r="F322" s="3" t="n">
        <v>5</v>
      </c>
      <c r="G322" s="3" t="n">
        <v>682</v>
      </c>
      <c r="H322" s="4">
        <f>G322/E322</f>
        <v/>
      </c>
      <c r="I322" s="3" t="n">
        <v>2.6</v>
      </c>
      <c r="J322" s="4">
        <f>(F322-Assumptions!$B$13)/(Assumptions!$C$13-Assumptions!$B$13)</f>
        <v/>
      </c>
      <c r="K322" s="4">
        <f>(H322-Assumptions!$B$14)/(Assumptions!$C$14-Assumptions!$B$14)</f>
        <v/>
      </c>
      <c r="L322" s="4">
        <f>(I322-Assumptions!$B$15)/(Assumptions!$C$15-Assumptions!$B$15)</f>
        <v/>
      </c>
      <c r="M322" s="4">
        <f>0.4*J322+0.4*K322+0.2*L322</f>
        <v/>
      </c>
    </row>
    <row r="323">
      <c r="A323" s="3" t="inlineStr">
        <is>
          <t>AirCapacityReduced</t>
        </is>
      </c>
      <c r="B323" s="3" t="inlineStr">
        <is>
          <t>DEL_CE</t>
        </is>
      </c>
      <c r="C323" s="3" t="inlineStr">
        <is>
          <t>SIM-00005</t>
        </is>
      </c>
      <c r="D323" s="3" t="inlineStr">
        <is>
          <t>RO-00069</t>
        </is>
      </c>
      <c r="E323" s="3" t="n">
        <v>1395</v>
      </c>
      <c r="F323" s="3" t="n">
        <v>5</v>
      </c>
      <c r="G323" s="3" t="n">
        <v>682</v>
      </c>
      <c r="H323" s="4">
        <f>G323/E323</f>
        <v/>
      </c>
      <c r="I323" s="3" t="n">
        <v>2.6</v>
      </c>
      <c r="J323" s="4">
        <f>(F323-Assumptions!$B$13)/(Assumptions!$C$13-Assumptions!$B$13)</f>
        <v/>
      </c>
      <c r="K323" s="4">
        <f>(H323-Assumptions!$B$14)/(Assumptions!$C$14-Assumptions!$B$14)</f>
        <v/>
      </c>
      <c r="L323" s="4">
        <f>(I323-Assumptions!$B$15)/(Assumptions!$C$15-Assumptions!$B$15)</f>
        <v/>
      </c>
      <c r="M323" s="4">
        <f>0.4*J323+0.4*K323+0.2*L323</f>
        <v/>
      </c>
    </row>
    <row r="324">
      <c r="A324" s="3" t="inlineStr">
        <is>
          <t>AirCapacityReduced</t>
        </is>
      </c>
      <c r="B324" s="3" t="inlineStr">
        <is>
          <t>DEL_FN</t>
        </is>
      </c>
      <c r="C324" s="3" t="inlineStr">
        <is>
          <t>SIM-00005</t>
        </is>
      </c>
      <c r="D324" s="3" t="inlineStr">
        <is>
          <t>RO-00069</t>
        </is>
      </c>
      <c r="E324" s="3" t="n">
        <v>518.5</v>
      </c>
      <c r="F324" s="3" t="n">
        <v>5</v>
      </c>
      <c r="G324" s="3" t="n">
        <v>682</v>
      </c>
      <c r="H324" s="4">
        <f>G324/E324</f>
        <v/>
      </c>
      <c r="I324" s="3" t="n">
        <v>2.6</v>
      </c>
      <c r="J324" s="4">
        <f>(F324-Assumptions!$B$13)/(Assumptions!$C$13-Assumptions!$B$13)</f>
        <v/>
      </c>
      <c r="K324" s="4">
        <f>(H324-Assumptions!$B$14)/(Assumptions!$C$14-Assumptions!$B$14)</f>
        <v/>
      </c>
      <c r="L324" s="4">
        <f>(I324-Assumptions!$B$15)/(Assumptions!$C$15-Assumptions!$B$15)</f>
        <v/>
      </c>
      <c r="M324" s="4">
        <f>0.4*J324+0.4*K324+0.2*L324</f>
        <v/>
      </c>
    </row>
    <row r="325">
      <c r="A325" s="3" t="inlineStr">
        <is>
          <t>AirCapacityReduced</t>
        </is>
      </c>
      <c r="B325" s="3" t="inlineStr">
        <is>
          <t>DEL_EU</t>
        </is>
      </c>
      <c r="C325" s="3" t="inlineStr">
        <is>
          <t>SIM-00005</t>
        </is>
      </c>
      <c r="D325" s="3" t="inlineStr">
        <is>
          <t>RO-00069</t>
        </is>
      </c>
      <c r="E325" s="3" t="n">
        <v>451</v>
      </c>
      <c r="F325" s="3" t="n">
        <v>5</v>
      </c>
      <c r="G325" s="3" t="n">
        <v>682</v>
      </c>
      <c r="H325" s="4">
        <f>G325/E325</f>
        <v/>
      </c>
      <c r="I325" s="3" t="n">
        <v>2.6</v>
      </c>
      <c r="J325" s="4">
        <f>(F325-Assumptions!$B$13)/(Assumptions!$C$13-Assumptions!$B$13)</f>
        <v/>
      </c>
      <c r="K325" s="4">
        <f>(H325-Assumptions!$B$14)/(Assumptions!$C$14-Assumptions!$B$14)</f>
        <v/>
      </c>
      <c r="L325" s="4">
        <f>(I325-Assumptions!$B$15)/(Assumptions!$C$15-Assumptions!$B$15)</f>
        <v/>
      </c>
      <c r="M325" s="4">
        <f>0.4*J325+0.4*K325+0.2*L325</f>
        <v/>
      </c>
    </row>
    <row r="326">
      <c r="A326" s="3" t="inlineStr">
        <is>
          <t>AirCapacityReduced</t>
        </is>
      </c>
      <c r="B326" s="3" t="inlineStr">
        <is>
          <t>DEL_HI</t>
        </is>
      </c>
      <c r="C326" s="3" t="inlineStr">
        <is>
          <t>SIM-00005</t>
        </is>
      </c>
      <c r="D326" s="3" t="inlineStr">
        <is>
          <t>RO-00069</t>
        </is>
      </c>
      <c r="E326" s="3" t="n">
        <v>3.5</v>
      </c>
      <c r="F326" s="3" t="n">
        <v>5</v>
      </c>
      <c r="G326" s="3" t="n">
        <v>682</v>
      </c>
      <c r="H326" s="4">
        <f>G326/E326</f>
        <v/>
      </c>
      <c r="I326" s="3" t="n">
        <v>2.6</v>
      </c>
      <c r="J326" s="4">
        <f>(F326-Assumptions!$B$13)/(Assumptions!$C$13-Assumptions!$B$13)</f>
        <v/>
      </c>
      <c r="K326" s="4">
        <f>(H326-Assumptions!$B$14)/(Assumptions!$C$14-Assumptions!$B$14)</f>
        <v/>
      </c>
      <c r="L326" s="4">
        <f>(I326-Assumptions!$B$15)/(Assumptions!$C$15-Assumptions!$B$15)</f>
        <v/>
      </c>
      <c r="M326" s="4">
        <f>0.4*J326+0.4*K326+0.2*L326</f>
        <v/>
      </c>
    </row>
    <row r="327">
      <c r="A327" s="3" t="inlineStr">
        <is>
          <t>AirCapacityReduced</t>
        </is>
      </c>
      <c r="B327" s="3" t="inlineStr">
        <is>
          <t>DEL_GL</t>
        </is>
      </c>
      <c r="C327" s="3" t="inlineStr">
        <is>
          <t>SIM-00010</t>
        </is>
      </c>
      <c r="D327" s="3" t="inlineStr">
        <is>
          <t>RO-01110</t>
        </is>
      </c>
      <c r="E327" s="3" t="n">
        <v>96</v>
      </c>
      <c r="F327" s="3" t="n">
        <v>2</v>
      </c>
      <c r="G327" s="3" t="n">
        <v>806</v>
      </c>
      <c r="H327" s="4">
        <f>G327/E327</f>
        <v/>
      </c>
      <c r="I327" s="3" t="n">
        <v>1.7</v>
      </c>
      <c r="J327" s="4">
        <f>(F327-Assumptions!$B$13)/(Assumptions!$C$13-Assumptions!$B$13)</f>
        <v/>
      </c>
      <c r="K327" s="4">
        <f>(H327-Assumptions!$B$14)/(Assumptions!$C$14-Assumptions!$B$14)</f>
        <v/>
      </c>
      <c r="L327" s="4">
        <f>(I327-Assumptions!$B$15)/(Assumptions!$C$15-Assumptions!$B$15)</f>
        <v/>
      </c>
      <c r="M327" s="4">
        <f>0.4*J327+0.4*K327+0.2*L327</f>
        <v/>
      </c>
    </row>
    <row r="328">
      <c r="A328" s="3" t="inlineStr">
        <is>
          <t>AirCapacityReduced</t>
        </is>
      </c>
      <c r="B328" s="3" t="inlineStr">
        <is>
          <t>DEL_FL</t>
        </is>
      </c>
      <c r="C328" s="3" t="inlineStr">
        <is>
          <t>SIM-00012</t>
        </is>
      </c>
      <c r="D328" s="3" t="inlineStr">
        <is>
          <t>RO-01488</t>
        </is>
      </c>
      <c r="E328" s="3" t="n">
        <v>265.5</v>
      </c>
      <c r="F328" s="3" t="n">
        <v>6</v>
      </c>
      <c r="G328" s="3" t="n">
        <v>386</v>
      </c>
      <c r="H328" s="4">
        <f>G328/E328</f>
        <v/>
      </c>
      <c r="I328" s="3" t="n">
        <v>2.5</v>
      </c>
      <c r="J328" s="4">
        <f>(F328-Assumptions!$B$13)/(Assumptions!$C$13-Assumptions!$B$13)</f>
        <v/>
      </c>
      <c r="K328" s="4">
        <f>(H328-Assumptions!$B$14)/(Assumptions!$C$14-Assumptions!$B$14)</f>
        <v/>
      </c>
      <c r="L328" s="4">
        <f>(I328-Assumptions!$B$15)/(Assumptions!$C$15-Assumptions!$B$15)</f>
        <v/>
      </c>
      <c r="M328" s="4">
        <f>0.4*J328+0.4*K328+0.2*L328</f>
        <v/>
      </c>
    </row>
    <row r="329">
      <c r="A329" s="3" t="inlineStr">
        <is>
          <t>AirCapacityReduced</t>
        </is>
      </c>
      <c r="B329" s="3" t="inlineStr">
        <is>
          <t>DEL_FI</t>
        </is>
      </c>
      <c r="C329" s="3" t="inlineStr">
        <is>
          <t>SIM-00012</t>
        </is>
      </c>
      <c r="D329" s="3" t="inlineStr">
        <is>
          <t>RO-01488</t>
        </is>
      </c>
      <c r="E329" s="3" t="n">
        <v>4</v>
      </c>
      <c r="F329" s="3" t="n">
        <v>6</v>
      </c>
      <c r="G329" s="3" t="n">
        <v>386</v>
      </c>
      <c r="H329" s="4">
        <f>G329/E329</f>
        <v/>
      </c>
      <c r="I329" s="3" t="n">
        <v>2.5</v>
      </c>
      <c r="J329" s="4">
        <f>(F329-Assumptions!$B$13)/(Assumptions!$C$13-Assumptions!$B$13)</f>
        <v/>
      </c>
      <c r="K329" s="4">
        <f>(H329-Assumptions!$B$14)/(Assumptions!$C$14-Assumptions!$B$14)</f>
        <v/>
      </c>
      <c r="L329" s="4">
        <f>(I329-Assumptions!$B$15)/(Assumptions!$C$15-Assumptions!$B$15)</f>
        <v/>
      </c>
      <c r="M329" s="4">
        <f>0.4*J329+0.4*K329+0.2*L329</f>
        <v/>
      </c>
    </row>
    <row r="330">
      <c r="A330" s="3" t="inlineStr">
        <is>
          <t>AirCapacityReduced</t>
        </is>
      </c>
      <c r="B330" s="3" t="inlineStr">
        <is>
          <t>DEL_FJ</t>
        </is>
      </c>
      <c r="C330" s="3" t="inlineStr">
        <is>
          <t>SIM-00012</t>
        </is>
      </c>
      <c r="D330" s="3" t="inlineStr">
        <is>
          <t>RO-01488</t>
        </is>
      </c>
      <c r="E330" s="3" t="n">
        <v>6.5</v>
      </c>
      <c r="F330" s="3" t="n">
        <v>6</v>
      </c>
      <c r="G330" s="3" t="n">
        <v>386</v>
      </c>
      <c r="H330" s="4">
        <f>G330/E330</f>
        <v/>
      </c>
      <c r="I330" s="3" t="n">
        <v>2.5</v>
      </c>
      <c r="J330" s="4">
        <f>(F330-Assumptions!$B$13)/(Assumptions!$C$13-Assumptions!$B$13)</f>
        <v/>
      </c>
      <c r="K330" s="4">
        <f>(H330-Assumptions!$B$14)/(Assumptions!$C$14-Assumptions!$B$14)</f>
        <v/>
      </c>
      <c r="L330" s="4">
        <f>(I330-Assumptions!$B$15)/(Assumptions!$C$15-Assumptions!$B$15)</f>
        <v/>
      </c>
      <c r="M330" s="4">
        <f>0.4*J330+0.4*K330+0.2*L330</f>
        <v/>
      </c>
    </row>
    <row r="331">
      <c r="A331" s="3" t="inlineStr">
        <is>
          <t>AirCapacityReduced</t>
        </is>
      </c>
      <c r="B331" s="3" t="inlineStr">
        <is>
          <t>DEL_CF</t>
        </is>
      </c>
      <c r="C331" s="3" t="inlineStr">
        <is>
          <t>SIM-00016</t>
        </is>
      </c>
      <c r="D331" s="3" t="inlineStr">
        <is>
          <t>RO-02874</t>
        </is>
      </c>
      <c r="E331" s="3" t="n">
        <v>7</v>
      </c>
      <c r="F331" s="3" t="n">
        <v>4</v>
      </c>
      <c r="G331" s="3" t="n">
        <v>806</v>
      </c>
      <c r="H331" s="4">
        <f>G331/E331</f>
        <v/>
      </c>
      <c r="I331" s="3" t="n">
        <v>1.7</v>
      </c>
      <c r="J331" s="4">
        <f>(F331-Assumptions!$B$13)/(Assumptions!$C$13-Assumptions!$B$13)</f>
        <v/>
      </c>
      <c r="K331" s="4">
        <f>(H331-Assumptions!$B$14)/(Assumptions!$C$14-Assumptions!$B$14)</f>
        <v/>
      </c>
      <c r="L331" s="4">
        <f>(I331-Assumptions!$B$15)/(Assumptions!$C$15-Assumptions!$B$15)</f>
        <v/>
      </c>
      <c r="M331" s="4">
        <f>0.4*J331+0.4*K331+0.2*L331</f>
        <v/>
      </c>
    </row>
    <row r="332">
      <c r="A332" s="3" t="inlineStr">
        <is>
          <t>AirCapacityReduced</t>
        </is>
      </c>
      <c r="B332" s="3" t="inlineStr">
        <is>
          <t>DEL_G</t>
        </is>
      </c>
      <c r="C332" s="3" t="inlineStr">
        <is>
          <t>SIM-00018</t>
        </is>
      </c>
      <c r="D332" s="3" t="inlineStr">
        <is>
          <t>RO-02187</t>
        </is>
      </c>
      <c r="E332" s="3" t="n">
        <v>334</v>
      </c>
      <c r="F332" s="3" t="n">
        <v>10</v>
      </c>
      <c r="G332" s="3" t="n">
        <v>270</v>
      </c>
      <c r="H332" s="4">
        <f>G332/E332</f>
        <v/>
      </c>
      <c r="I332" s="3" t="n">
        <v>3.9</v>
      </c>
      <c r="J332" s="4">
        <f>(F332-Assumptions!$B$13)/(Assumptions!$C$13-Assumptions!$B$13)</f>
        <v/>
      </c>
      <c r="K332" s="4">
        <f>(H332-Assumptions!$B$14)/(Assumptions!$C$14-Assumptions!$B$14)</f>
        <v/>
      </c>
      <c r="L332" s="4">
        <f>(I332-Assumptions!$B$15)/(Assumptions!$C$15-Assumptions!$B$15)</f>
        <v/>
      </c>
      <c r="M332" s="4">
        <f>0.4*J332+0.4*K332+0.2*L332</f>
        <v/>
      </c>
    </row>
    <row r="333">
      <c r="A333" s="3" t="inlineStr">
        <is>
          <t>AirCapacityReduced</t>
        </is>
      </c>
      <c r="B333" s="3" t="inlineStr">
        <is>
          <t>DEL_EJ</t>
        </is>
      </c>
      <c r="C333" s="3" t="inlineStr">
        <is>
          <t>SIM-00019</t>
        </is>
      </c>
      <c r="D333" s="3" t="inlineStr">
        <is>
          <t>RO-00405</t>
        </is>
      </c>
      <c r="E333" s="3" t="n">
        <v>12.5</v>
      </c>
      <c r="F333" s="3" t="n">
        <v>3</v>
      </c>
      <c r="G333" s="3" t="n">
        <v>610</v>
      </c>
      <c r="H333" s="4">
        <f>G333/E333</f>
        <v/>
      </c>
      <c r="I333" s="3" t="n">
        <v>2.6</v>
      </c>
      <c r="J333" s="4">
        <f>(F333-Assumptions!$B$13)/(Assumptions!$C$13-Assumptions!$B$13)</f>
        <v/>
      </c>
      <c r="K333" s="4">
        <f>(H333-Assumptions!$B$14)/(Assumptions!$C$14-Assumptions!$B$14)</f>
        <v/>
      </c>
      <c r="L333" s="4">
        <f>(I333-Assumptions!$B$15)/(Assumptions!$C$15-Assumptions!$B$15)</f>
        <v/>
      </c>
      <c r="M333" s="4">
        <f>0.4*J333+0.4*K333+0.2*L333</f>
        <v/>
      </c>
    </row>
    <row r="334">
      <c r="A334" s="3" t="inlineStr">
        <is>
          <t>AirCapacityReduced</t>
        </is>
      </c>
      <c r="B334" s="3" t="inlineStr">
        <is>
          <t>DEL_EV</t>
        </is>
      </c>
      <c r="C334" s="3" t="inlineStr">
        <is>
          <t>SIM-00019</t>
        </is>
      </c>
      <c r="D334" s="3" t="inlineStr">
        <is>
          <t>RO-00405</t>
        </is>
      </c>
      <c r="E334" s="3" t="n">
        <v>8.5</v>
      </c>
      <c r="F334" s="3" t="n">
        <v>3</v>
      </c>
      <c r="G334" s="3" t="n">
        <v>610</v>
      </c>
      <c r="H334" s="4">
        <f>G334/E334</f>
        <v/>
      </c>
      <c r="I334" s="3" t="n">
        <v>2.6</v>
      </c>
      <c r="J334" s="4">
        <f>(F334-Assumptions!$B$13)/(Assumptions!$C$13-Assumptions!$B$13)</f>
        <v/>
      </c>
      <c r="K334" s="4">
        <f>(H334-Assumptions!$B$14)/(Assumptions!$C$14-Assumptions!$B$14)</f>
        <v/>
      </c>
      <c r="L334" s="4">
        <f>(I334-Assumptions!$B$15)/(Assumptions!$C$15-Assumptions!$B$15)</f>
        <v/>
      </c>
      <c r="M334" s="4">
        <f>0.4*J334+0.4*K334+0.2*L334</f>
        <v/>
      </c>
    </row>
    <row r="335">
      <c r="A335" s="3" t="inlineStr">
        <is>
          <t>AirCapacityReduced</t>
        </is>
      </c>
      <c r="B335" s="3" t="inlineStr">
        <is>
          <t>DEL_BD</t>
        </is>
      </c>
      <c r="C335" s="3" t="inlineStr">
        <is>
          <t>SIM-00021</t>
        </is>
      </c>
      <c r="D335" s="3" t="inlineStr">
        <is>
          <t>RO-00543</t>
        </is>
      </c>
      <c r="E335" s="3" t="n">
        <v>137</v>
      </c>
      <c r="F335" s="3" t="n">
        <v>11</v>
      </c>
      <c r="G335" s="3" t="n">
        <v>306</v>
      </c>
      <c r="H335" s="4">
        <f>G335/E335</f>
        <v/>
      </c>
      <c r="I335" s="3" t="n">
        <v>3.9</v>
      </c>
      <c r="J335" s="4">
        <f>(F335-Assumptions!$B$13)/(Assumptions!$C$13-Assumptions!$B$13)</f>
        <v/>
      </c>
      <c r="K335" s="4">
        <f>(H335-Assumptions!$B$14)/(Assumptions!$C$14-Assumptions!$B$14)</f>
        <v/>
      </c>
      <c r="L335" s="4">
        <f>(I335-Assumptions!$B$15)/(Assumptions!$C$15-Assumptions!$B$15)</f>
        <v/>
      </c>
      <c r="M335" s="4">
        <f>0.4*J335+0.4*K335+0.2*L335</f>
        <v/>
      </c>
    </row>
    <row r="336">
      <c r="A336" s="3" t="inlineStr">
        <is>
          <t>AirCapacityReduced</t>
        </is>
      </c>
      <c r="B336" s="3" t="inlineStr">
        <is>
          <t>DEL_BM</t>
        </is>
      </c>
      <c r="C336" s="3" t="inlineStr">
        <is>
          <t>SIM-00021</t>
        </is>
      </c>
      <c r="D336" s="3" t="inlineStr">
        <is>
          <t>RO-00543</t>
        </is>
      </c>
      <c r="E336" s="3" t="n">
        <v>22</v>
      </c>
      <c r="F336" s="3" t="n">
        <v>11</v>
      </c>
      <c r="G336" s="3" t="n">
        <v>306</v>
      </c>
      <c r="H336" s="4">
        <f>G336/E336</f>
        <v/>
      </c>
      <c r="I336" s="3" t="n">
        <v>3.9</v>
      </c>
      <c r="J336" s="4">
        <f>(F336-Assumptions!$B$13)/(Assumptions!$C$13-Assumptions!$B$13)</f>
        <v/>
      </c>
      <c r="K336" s="4">
        <f>(H336-Assumptions!$B$14)/(Assumptions!$C$14-Assumptions!$B$14)</f>
        <v/>
      </c>
      <c r="L336" s="4">
        <f>(I336-Assumptions!$B$15)/(Assumptions!$C$15-Assumptions!$B$15)</f>
        <v/>
      </c>
      <c r="M336" s="4">
        <f>0.4*J336+0.4*K336+0.2*L336</f>
        <v/>
      </c>
    </row>
    <row r="337">
      <c r="A337" s="3" t="inlineStr">
        <is>
          <t>AirCapacityReduced</t>
        </is>
      </c>
      <c r="B337" s="3" t="inlineStr">
        <is>
          <t>DEL_DX</t>
        </is>
      </c>
      <c r="C337" s="3" t="inlineStr">
        <is>
          <t>SIM-00021</t>
        </is>
      </c>
      <c r="D337" s="3" t="inlineStr">
        <is>
          <t>RO-00543</t>
        </is>
      </c>
      <c r="E337" s="3" t="n">
        <v>2553</v>
      </c>
      <c r="F337" s="3" t="n">
        <v>11</v>
      </c>
      <c r="G337" s="3" t="n">
        <v>306</v>
      </c>
      <c r="H337" s="4">
        <f>G337/E337</f>
        <v/>
      </c>
      <c r="I337" s="3" t="n">
        <v>3.9</v>
      </c>
      <c r="J337" s="4">
        <f>(F337-Assumptions!$B$13)/(Assumptions!$C$13-Assumptions!$B$13)</f>
        <v/>
      </c>
      <c r="K337" s="4">
        <f>(H337-Assumptions!$B$14)/(Assumptions!$C$14-Assumptions!$B$14)</f>
        <v/>
      </c>
      <c r="L337" s="4">
        <f>(I337-Assumptions!$B$15)/(Assumptions!$C$15-Assumptions!$B$15)</f>
        <v/>
      </c>
      <c r="M337" s="4">
        <f>0.4*J337+0.4*K337+0.2*L337</f>
        <v/>
      </c>
    </row>
    <row r="338">
      <c r="A338" s="3" t="inlineStr">
        <is>
          <t>AirCapacityReduced</t>
        </is>
      </c>
      <c r="B338" s="3" t="inlineStr">
        <is>
          <t>DEL_GE</t>
        </is>
      </c>
      <c r="C338" s="3" t="inlineStr">
        <is>
          <t>SIM-00021</t>
        </is>
      </c>
      <c r="D338" s="3" t="inlineStr">
        <is>
          <t>RO-00543</t>
        </is>
      </c>
      <c r="E338" s="3" t="n">
        <v>8</v>
      </c>
      <c r="F338" s="3" t="n">
        <v>11</v>
      </c>
      <c r="G338" s="3" t="n">
        <v>306</v>
      </c>
      <c r="H338" s="4">
        <f>G338/E338</f>
        <v/>
      </c>
      <c r="I338" s="3" t="n">
        <v>3.9</v>
      </c>
      <c r="J338" s="4">
        <f>(F338-Assumptions!$B$13)/(Assumptions!$C$13-Assumptions!$B$13)</f>
        <v/>
      </c>
      <c r="K338" s="4">
        <f>(H338-Assumptions!$B$14)/(Assumptions!$C$14-Assumptions!$B$14)</f>
        <v/>
      </c>
      <c r="L338" s="4">
        <f>(I338-Assumptions!$B$15)/(Assumptions!$C$15-Assumptions!$B$15)</f>
        <v/>
      </c>
      <c r="M338" s="4">
        <f>0.4*J338+0.4*K338+0.2*L338</f>
        <v/>
      </c>
    </row>
    <row r="339">
      <c r="A339" s="3" t="inlineStr">
        <is>
          <t>AirCapacityReduced</t>
        </is>
      </c>
      <c r="B339" s="3" t="inlineStr">
        <is>
          <t>DEL_HM</t>
        </is>
      </c>
      <c r="C339" s="3" t="inlineStr">
        <is>
          <t>SIM-00021</t>
        </is>
      </c>
      <c r="D339" s="3" t="inlineStr">
        <is>
          <t>RO-00543</t>
        </is>
      </c>
      <c r="E339" s="3" t="n">
        <v>8</v>
      </c>
      <c r="F339" s="3" t="n">
        <v>11</v>
      </c>
      <c r="G339" s="3" t="n">
        <v>306</v>
      </c>
      <c r="H339" s="4">
        <f>G339/E339</f>
        <v/>
      </c>
      <c r="I339" s="3" t="n">
        <v>3.9</v>
      </c>
      <c r="J339" s="4">
        <f>(F339-Assumptions!$B$13)/(Assumptions!$C$13-Assumptions!$B$13)</f>
        <v/>
      </c>
      <c r="K339" s="4">
        <f>(H339-Assumptions!$B$14)/(Assumptions!$C$14-Assumptions!$B$14)</f>
        <v/>
      </c>
      <c r="L339" s="4">
        <f>(I339-Assumptions!$B$15)/(Assumptions!$C$15-Assumptions!$B$15)</f>
        <v/>
      </c>
      <c r="M339" s="4">
        <f>0.4*J339+0.4*K339+0.2*L339</f>
        <v/>
      </c>
    </row>
    <row r="340">
      <c r="A340" s="3" t="inlineStr">
        <is>
          <t>AirCapacityReduced</t>
        </is>
      </c>
      <c r="B340" s="3" t="inlineStr">
        <is>
          <t>DEL_GO</t>
        </is>
      </c>
      <c r="C340" s="3" t="inlineStr">
        <is>
          <t>SIM-00022</t>
        </is>
      </c>
      <c r="D340" s="3" t="inlineStr">
        <is>
          <t>RO-02358</t>
        </is>
      </c>
      <c r="E340" s="3" t="n">
        <v>6.5</v>
      </c>
      <c r="F340" s="3" t="n">
        <v>3</v>
      </c>
      <c r="G340" s="3" t="n">
        <v>770</v>
      </c>
      <c r="H340" s="4">
        <f>G340/E340</f>
        <v/>
      </c>
      <c r="I340" s="3" t="n">
        <v>1.7</v>
      </c>
      <c r="J340" s="4">
        <f>(F340-Assumptions!$B$13)/(Assumptions!$C$13-Assumptions!$B$13)</f>
        <v/>
      </c>
      <c r="K340" s="4">
        <f>(H340-Assumptions!$B$14)/(Assumptions!$C$14-Assumptions!$B$14)</f>
        <v/>
      </c>
      <c r="L340" s="4">
        <f>(I340-Assumptions!$B$15)/(Assumptions!$C$15-Assumptions!$B$15)</f>
        <v/>
      </c>
      <c r="M340" s="4">
        <f>0.4*J340+0.4*K340+0.2*L340</f>
        <v/>
      </c>
    </row>
    <row r="341">
      <c r="A341" s="3" t="inlineStr">
        <is>
          <t>AirCapacityReduced</t>
        </is>
      </c>
      <c r="B341" s="3" t="inlineStr">
        <is>
          <t>DEL_CG</t>
        </is>
      </c>
      <c r="C341" s="3" t="inlineStr">
        <is>
          <t>SIM-00023</t>
        </is>
      </c>
      <c r="D341" s="3" t="inlineStr">
        <is>
          <t>RO-02736</t>
        </is>
      </c>
      <c r="E341" s="3" t="n">
        <v>4</v>
      </c>
      <c r="F341" s="3" t="n">
        <v>5</v>
      </c>
      <c r="G341" s="3" t="n">
        <v>350</v>
      </c>
      <c r="H341" s="4">
        <f>G341/E341</f>
        <v/>
      </c>
      <c r="I341" s="3" t="n">
        <v>2.5</v>
      </c>
      <c r="J341" s="4">
        <f>(F341-Assumptions!$B$13)/(Assumptions!$C$13-Assumptions!$B$13)</f>
        <v/>
      </c>
      <c r="K341" s="4">
        <f>(H341-Assumptions!$B$14)/(Assumptions!$C$14-Assumptions!$B$14)</f>
        <v/>
      </c>
      <c r="L341" s="4">
        <f>(I341-Assumptions!$B$15)/(Assumptions!$C$15-Assumptions!$B$15)</f>
        <v/>
      </c>
      <c r="M341" s="4">
        <f>0.4*J341+0.4*K341+0.2*L341</f>
        <v/>
      </c>
    </row>
    <row r="342">
      <c r="A342" s="3" t="inlineStr">
        <is>
          <t>AirCapacityReduced</t>
        </is>
      </c>
      <c r="B342" s="3" t="inlineStr">
        <is>
          <t>DEL_FA</t>
        </is>
      </c>
      <c r="C342" s="3" t="inlineStr">
        <is>
          <t>SIM-00024</t>
        </is>
      </c>
      <c r="D342" s="3" t="inlineStr">
        <is>
          <t>RO-01671</t>
        </is>
      </c>
      <c r="E342" s="3" t="n">
        <v>152.5</v>
      </c>
      <c r="F342" s="3" t="n">
        <v>10</v>
      </c>
      <c r="G342" s="3" t="n">
        <v>342</v>
      </c>
      <c r="H342" s="4">
        <f>G342/E342</f>
        <v/>
      </c>
      <c r="I342" s="3" t="n">
        <v>3.9</v>
      </c>
      <c r="J342" s="4">
        <f>(F342-Assumptions!$B$13)/(Assumptions!$C$13-Assumptions!$B$13)</f>
        <v/>
      </c>
      <c r="K342" s="4">
        <f>(H342-Assumptions!$B$14)/(Assumptions!$C$14-Assumptions!$B$14)</f>
        <v/>
      </c>
      <c r="L342" s="4">
        <f>(I342-Assumptions!$B$15)/(Assumptions!$C$15-Assumptions!$B$15)</f>
        <v/>
      </c>
      <c r="M342" s="4">
        <f>0.4*J342+0.4*K342+0.2*L342</f>
        <v/>
      </c>
    </row>
    <row r="343">
      <c r="A343" s="3" t="inlineStr">
        <is>
          <t>AirCapacityReduced</t>
        </is>
      </c>
      <c r="B343" s="3" t="inlineStr">
        <is>
          <t>DEL_AB</t>
        </is>
      </c>
      <c r="C343" s="3" t="inlineStr">
        <is>
          <t>SIM-00025</t>
        </is>
      </c>
      <c r="D343" s="3" t="inlineStr">
        <is>
          <t>RO-00369</t>
        </is>
      </c>
      <c r="E343" s="3" t="n">
        <v>2575</v>
      </c>
      <c r="F343" s="3" t="n">
        <v>5</v>
      </c>
      <c r="G343" s="3" t="n">
        <v>610</v>
      </c>
      <c r="H343" s="4">
        <f>G343/E343</f>
        <v/>
      </c>
      <c r="I343" s="3" t="n">
        <v>2.6</v>
      </c>
      <c r="J343" s="4">
        <f>(F343-Assumptions!$B$13)/(Assumptions!$C$13-Assumptions!$B$13)</f>
        <v/>
      </c>
      <c r="K343" s="4">
        <f>(H343-Assumptions!$B$14)/(Assumptions!$C$14-Assumptions!$B$14)</f>
        <v/>
      </c>
      <c r="L343" s="4">
        <f>(I343-Assumptions!$B$15)/(Assumptions!$C$15-Assumptions!$B$15)</f>
        <v/>
      </c>
      <c r="M343" s="4">
        <f>0.4*J343+0.4*K343+0.2*L343</f>
        <v/>
      </c>
    </row>
    <row r="344">
      <c r="A344" s="3" t="inlineStr">
        <is>
          <t>AirCapacityReduced</t>
        </is>
      </c>
      <c r="B344" s="3" t="inlineStr">
        <is>
          <t>DEL_CD</t>
        </is>
      </c>
      <c r="C344" s="3" t="inlineStr">
        <is>
          <t>SIM-00025</t>
        </is>
      </c>
      <c r="D344" s="3" t="inlineStr">
        <is>
          <t>RO-00369</t>
        </is>
      </c>
      <c r="E344" s="3" t="n">
        <v>616</v>
      </c>
      <c r="F344" s="3" t="n">
        <v>5</v>
      </c>
      <c r="G344" s="3" t="n">
        <v>610</v>
      </c>
      <c r="H344" s="4">
        <f>G344/E344</f>
        <v/>
      </c>
      <c r="I344" s="3" t="n">
        <v>2.6</v>
      </c>
      <c r="J344" s="4">
        <f>(F344-Assumptions!$B$13)/(Assumptions!$C$13-Assumptions!$B$13)</f>
        <v/>
      </c>
      <c r="K344" s="4">
        <f>(H344-Assumptions!$B$14)/(Assumptions!$C$14-Assumptions!$B$14)</f>
        <v/>
      </c>
      <c r="L344" s="4">
        <f>(I344-Assumptions!$B$15)/(Assumptions!$C$15-Assumptions!$B$15)</f>
        <v/>
      </c>
      <c r="M344" s="4">
        <f>0.4*J344+0.4*K344+0.2*L344</f>
        <v/>
      </c>
    </row>
    <row r="345">
      <c r="A345" s="3" t="inlineStr">
        <is>
          <t>AirCapacityReduced</t>
        </is>
      </c>
      <c r="B345" s="3" t="inlineStr">
        <is>
          <t>DEL_DS</t>
        </is>
      </c>
      <c r="C345" s="3" t="inlineStr">
        <is>
          <t>SIM-00028</t>
        </is>
      </c>
      <c r="D345" s="3" t="inlineStr">
        <is>
          <t>RO-00417</t>
        </is>
      </c>
      <c r="E345" s="3" t="n">
        <v>3.5</v>
      </c>
      <c r="F345" s="3" t="n">
        <v>3</v>
      </c>
      <c r="G345" s="3" t="n">
        <v>646</v>
      </c>
      <c r="H345" s="4">
        <f>G345/E345</f>
        <v/>
      </c>
      <c r="I345" s="3" t="n">
        <v>2.6</v>
      </c>
      <c r="J345" s="4">
        <f>(F345-Assumptions!$B$13)/(Assumptions!$C$13-Assumptions!$B$13)</f>
        <v/>
      </c>
      <c r="K345" s="4">
        <f>(H345-Assumptions!$B$14)/(Assumptions!$C$14-Assumptions!$B$14)</f>
        <v/>
      </c>
      <c r="L345" s="4">
        <f>(I345-Assumptions!$B$15)/(Assumptions!$C$15-Assumptions!$B$15)</f>
        <v/>
      </c>
      <c r="M345" s="4">
        <f>0.4*J345+0.4*K345+0.2*L345</f>
        <v/>
      </c>
    </row>
    <row r="346">
      <c r="A346" s="3" t="inlineStr">
        <is>
          <t>AirCapacityReduced</t>
        </is>
      </c>
      <c r="B346" s="3" t="inlineStr">
        <is>
          <t>DEL_EP</t>
        </is>
      </c>
      <c r="C346" s="3" t="inlineStr">
        <is>
          <t>SIM-00028</t>
        </is>
      </c>
      <c r="D346" s="3" t="inlineStr">
        <is>
          <t>RO-00417</t>
        </is>
      </c>
      <c r="E346" s="3" t="n">
        <v>20.5</v>
      </c>
      <c r="F346" s="3" t="n">
        <v>3</v>
      </c>
      <c r="G346" s="3" t="n">
        <v>646</v>
      </c>
      <c r="H346" s="4">
        <f>G346/E346</f>
        <v/>
      </c>
      <c r="I346" s="3" t="n">
        <v>2.6</v>
      </c>
      <c r="J346" s="4">
        <f>(F346-Assumptions!$B$13)/(Assumptions!$C$13-Assumptions!$B$13)</f>
        <v/>
      </c>
      <c r="K346" s="4">
        <f>(H346-Assumptions!$B$14)/(Assumptions!$C$14-Assumptions!$B$14)</f>
        <v/>
      </c>
      <c r="L346" s="4">
        <f>(I346-Assumptions!$B$15)/(Assumptions!$C$15-Assumptions!$B$15)</f>
        <v/>
      </c>
      <c r="M346" s="4">
        <f>0.4*J346+0.4*K346+0.2*L346</f>
        <v/>
      </c>
    </row>
    <row r="347">
      <c r="A347" s="3" t="inlineStr">
        <is>
          <t>AirCapacityReduced</t>
        </is>
      </c>
      <c r="B347" s="3" t="inlineStr">
        <is>
          <t>DEL_E</t>
        </is>
      </c>
      <c r="C347" s="3" t="inlineStr">
        <is>
          <t>SIM-00029</t>
        </is>
      </c>
      <c r="D347" s="3" t="inlineStr">
        <is>
          <t>RO-00435</t>
        </is>
      </c>
      <c r="E347" s="3" t="n">
        <v>115</v>
      </c>
      <c r="F347" s="3" t="n">
        <v>10</v>
      </c>
      <c r="G347" s="3" t="n">
        <v>306</v>
      </c>
      <c r="H347" s="4">
        <f>G347/E347</f>
        <v/>
      </c>
      <c r="I347" s="3" t="n">
        <v>3.9</v>
      </c>
      <c r="J347" s="4">
        <f>(F347-Assumptions!$B$13)/(Assumptions!$C$13-Assumptions!$B$13)</f>
        <v/>
      </c>
      <c r="K347" s="4">
        <f>(H347-Assumptions!$B$14)/(Assumptions!$C$14-Assumptions!$B$14)</f>
        <v/>
      </c>
      <c r="L347" s="4">
        <f>(I347-Assumptions!$B$15)/(Assumptions!$C$15-Assumptions!$B$15)</f>
        <v/>
      </c>
      <c r="M347" s="4">
        <f>0.4*J347+0.4*K347+0.2*L347</f>
        <v/>
      </c>
    </row>
    <row r="348">
      <c r="A348" s="3" t="inlineStr">
        <is>
          <t>AirCapacityReduced</t>
        </is>
      </c>
      <c r="B348" s="3" t="inlineStr">
        <is>
          <t>DEL_DJ</t>
        </is>
      </c>
      <c r="C348" s="3" t="inlineStr">
        <is>
          <t>SIM-00029</t>
        </is>
      </c>
      <c r="D348" s="3" t="inlineStr">
        <is>
          <t>RO-00435</t>
        </is>
      </c>
      <c r="E348" s="3" t="n">
        <v>1</v>
      </c>
      <c r="F348" s="3" t="n">
        <v>10</v>
      </c>
      <c r="G348" s="3" t="n">
        <v>306</v>
      </c>
      <c r="H348" s="4">
        <f>G348/E348</f>
        <v/>
      </c>
      <c r="I348" s="3" t="n">
        <v>3.9</v>
      </c>
      <c r="J348" s="4">
        <f>(F348-Assumptions!$B$13)/(Assumptions!$C$13-Assumptions!$B$13)</f>
        <v/>
      </c>
      <c r="K348" s="4">
        <f>(H348-Assumptions!$B$14)/(Assumptions!$C$14-Assumptions!$B$14)</f>
        <v/>
      </c>
      <c r="L348" s="4">
        <f>(I348-Assumptions!$B$15)/(Assumptions!$C$15-Assumptions!$B$15)</f>
        <v/>
      </c>
      <c r="M348" s="4">
        <f>0.4*J348+0.4*K348+0.2*L348</f>
        <v/>
      </c>
    </row>
    <row r="349">
      <c r="A349" s="3" t="inlineStr">
        <is>
          <t>AirCapacityReduced</t>
        </is>
      </c>
      <c r="B349" s="3" t="inlineStr">
        <is>
          <t>DEL_HB</t>
        </is>
      </c>
      <c r="C349" s="3" t="inlineStr">
        <is>
          <t>SIM-00029</t>
        </is>
      </c>
      <c r="D349" s="3" t="inlineStr">
        <is>
          <t>RO-00435</t>
        </is>
      </c>
      <c r="E349" s="3" t="n">
        <v>241</v>
      </c>
      <c r="F349" s="3" t="n">
        <v>10</v>
      </c>
      <c r="G349" s="3" t="n">
        <v>306</v>
      </c>
      <c r="H349" s="4">
        <f>G349/E349</f>
        <v/>
      </c>
      <c r="I349" s="3" t="n">
        <v>3.9</v>
      </c>
      <c r="J349" s="4">
        <f>(F349-Assumptions!$B$13)/(Assumptions!$C$13-Assumptions!$B$13)</f>
        <v/>
      </c>
      <c r="K349" s="4">
        <f>(H349-Assumptions!$B$14)/(Assumptions!$C$14-Assumptions!$B$14)</f>
        <v/>
      </c>
      <c r="L349" s="4">
        <f>(I349-Assumptions!$B$15)/(Assumptions!$C$15-Assumptions!$B$15)</f>
        <v/>
      </c>
      <c r="M349" s="4">
        <f>0.4*J349+0.4*K349+0.2*L349</f>
        <v/>
      </c>
    </row>
    <row r="350">
      <c r="A350" s="3" t="inlineStr">
        <is>
          <t>AirCapacityReduced</t>
        </is>
      </c>
      <c r="B350" s="3" t="inlineStr">
        <is>
          <t>DEL_BJ</t>
        </is>
      </c>
      <c r="C350" s="3" t="inlineStr">
        <is>
          <t>SIM-00032</t>
        </is>
      </c>
      <c r="D350" s="3" t="inlineStr">
        <is>
          <t>RO-00468</t>
        </is>
      </c>
      <c r="E350" s="3" t="n">
        <v>78</v>
      </c>
      <c r="F350" s="3" t="n">
        <v>6</v>
      </c>
      <c r="G350" s="3" t="n">
        <v>350</v>
      </c>
      <c r="H350" s="4">
        <f>G350/E350</f>
        <v/>
      </c>
      <c r="I350" s="3" t="n">
        <v>2.5</v>
      </c>
      <c r="J350" s="4">
        <f>(F350-Assumptions!$B$13)/(Assumptions!$C$13-Assumptions!$B$13)</f>
        <v/>
      </c>
      <c r="K350" s="4">
        <f>(H350-Assumptions!$B$14)/(Assumptions!$C$14-Assumptions!$B$14)</f>
        <v/>
      </c>
      <c r="L350" s="4">
        <f>(I350-Assumptions!$B$15)/(Assumptions!$C$15-Assumptions!$B$15)</f>
        <v/>
      </c>
      <c r="M350" s="4">
        <f>0.4*J350+0.4*K350+0.2*L350</f>
        <v/>
      </c>
    </row>
    <row r="351">
      <c r="A351" s="3" t="inlineStr">
        <is>
          <t>AirCapacityReduced</t>
        </is>
      </c>
      <c r="B351" s="3" t="inlineStr">
        <is>
          <t>DEL_AV</t>
        </is>
      </c>
      <c r="C351" s="3" t="inlineStr">
        <is>
          <t>SIM-00034</t>
        </is>
      </c>
      <c r="D351" s="3" t="inlineStr">
        <is>
          <t>RO-01341</t>
        </is>
      </c>
      <c r="E351" s="3" t="n">
        <v>5.5</v>
      </c>
      <c r="F351" s="3" t="n">
        <v>3</v>
      </c>
      <c r="G351" s="3" t="n">
        <v>610</v>
      </c>
      <c r="H351" s="4">
        <f>G351/E351</f>
        <v/>
      </c>
      <c r="I351" s="3" t="n">
        <v>2.6</v>
      </c>
      <c r="J351" s="4">
        <f>(F351-Assumptions!$B$13)/(Assumptions!$C$13-Assumptions!$B$13)</f>
        <v/>
      </c>
      <c r="K351" s="4">
        <f>(H351-Assumptions!$B$14)/(Assumptions!$C$14-Assumptions!$B$14)</f>
        <v/>
      </c>
      <c r="L351" s="4">
        <f>(I351-Assumptions!$B$15)/(Assumptions!$C$15-Assumptions!$B$15)</f>
        <v/>
      </c>
      <c r="M351" s="4">
        <f>0.4*J351+0.4*K351+0.2*L351</f>
        <v/>
      </c>
    </row>
    <row r="352">
      <c r="A352" s="3" t="inlineStr">
        <is>
          <t>AirCapacityReduced</t>
        </is>
      </c>
      <c r="B352" s="3" t="inlineStr">
        <is>
          <t>DEL_BC</t>
        </is>
      </c>
      <c r="C352" s="3" t="inlineStr">
        <is>
          <t>SIM-00036</t>
        </is>
      </c>
      <c r="D352" s="3" t="inlineStr">
        <is>
          <t>RO-02334</t>
        </is>
      </c>
      <c r="E352" s="3" t="n">
        <v>188</v>
      </c>
      <c r="F352" s="3" t="n">
        <v>4</v>
      </c>
      <c r="G352" s="3" t="n">
        <v>806</v>
      </c>
      <c r="H352" s="4">
        <f>G352/E352</f>
        <v/>
      </c>
      <c r="I352" s="3" t="n">
        <v>1.7</v>
      </c>
      <c r="J352" s="4">
        <f>(F352-Assumptions!$B$13)/(Assumptions!$C$13-Assumptions!$B$13)</f>
        <v/>
      </c>
      <c r="K352" s="4">
        <f>(H352-Assumptions!$B$14)/(Assumptions!$C$14-Assumptions!$B$14)</f>
        <v/>
      </c>
      <c r="L352" s="4">
        <f>(I352-Assumptions!$B$15)/(Assumptions!$C$15-Assumptions!$B$15)</f>
        <v/>
      </c>
      <c r="M352" s="4">
        <f>0.4*J352+0.4*K352+0.2*L352</f>
        <v/>
      </c>
    </row>
    <row r="353">
      <c r="A353" s="3" t="inlineStr">
        <is>
          <t>AirCapacityReduced</t>
        </is>
      </c>
      <c r="B353" s="3" t="inlineStr">
        <is>
          <t>DEL_HL</t>
        </is>
      </c>
      <c r="C353" s="3" t="inlineStr">
        <is>
          <t>SIM-00036</t>
        </is>
      </c>
      <c r="D353" s="3" t="inlineStr">
        <is>
          <t>RO-02334</t>
        </is>
      </c>
      <c r="E353" s="3" t="n">
        <v>7</v>
      </c>
      <c r="F353" s="3" t="n">
        <v>4</v>
      </c>
      <c r="G353" s="3" t="n">
        <v>806</v>
      </c>
      <c r="H353" s="4">
        <f>G353/E353</f>
        <v/>
      </c>
      <c r="I353" s="3" t="n">
        <v>1.7</v>
      </c>
      <c r="J353" s="4">
        <f>(F353-Assumptions!$B$13)/(Assumptions!$C$13-Assumptions!$B$13)</f>
        <v/>
      </c>
      <c r="K353" s="4">
        <f>(H353-Assumptions!$B$14)/(Assumptions!$C$14-Assumptions!$B$14)</f>
        <v/>
      </c>
      <c r="L353" s="4">
        <f>(I353-Assumptions!$B$15)/(Assumptions!$C$15-Assumptions!$B$15)</f>
        <v/>
      </c>
      <c r="M353" s="4">
        <f>0.4*J353+0.4*K353+0.2*L353</f>
        <v/>
      </c>
    </row>
    <row r="354">
      <c r="A354" s="3" t="inlineStr">
        <is>
          <t>AirCapacityReduced</t>
        </is>
      </c>
      <c r="B354" s="3" t="inlineStr">
        <is>
          <t>DEL_DH</t>
        </is>
      </c>
      <c r="C354" s="3" t="inlineStr">
        <is>
          <t>SIM-00037</t>
        </is>
      </c>
      <c r="D354" s="3" t="inlineStr">
        <is>
          <t>RO-00552</t>
        </is>
      </c>
      <c r="E354" s="3" t="n">
        <v>4.5</v>
      </c>
      <c r="F354" s="3" t="n">
        <v>5</v>
      </c>
      <c r="G354" s="3" t="n">
        <v>386</v>
      </c>
      <c r="H354" s="4">
        <f>G354/E354</f>
        <v/>
      </c>
      <c r="I354" s="3" t="n">
        <v>2.5</v>
      </c>
      <c r="J354" s="4">
        <f>(F354-Assumptions!$B$13)/(Assumptions!$C$13-Assumptions!$B$13)</f>
        <v/>
      </c>
      <c r="K354" s="4">
        <f>(H354-Assumptions!$B$14)/(Assumptions!$C$14-Assumptions!$B$14)</f>
        <v/>
      </c>
      <c r="L354" s="4">
        <f>(I354-Assumptions!$B$15)/(Assumptions!$C$15-Assumptions!$B$15)</f>
        <v/>
      </c>
      <c r="M354" s="4">
        <f>0.4*J354+0.4*K354+0.2*L354</f>
        <v/>
      </c>
    </row>
    <row r="355">
      <c r="A355" s="3" t="inlineStr">
        <is>
          <t>AirCapacityReduced</t>
        </is>
      </c>
      <c r="B355" s="3" t="inlineStr">
        <is>
          <t>DEL_CC</t>
        </is>
      </c>
      <c r="C355" s="3" t="inlineStr">
        <is>
          <t>SIM-00039</t>
        </is>
      </c>
      <c r="D355" s="3" t="inlineStr">
        <is>
          <t>RO-00585</t>
        </is>
      </c>
      <c r="E355" s="3" t="n">
        <v>406</v>
      </c>
      <c r="F355" s="3" t="n">
        <v>3</v>
      </c>
      <c r="G355" s="3" t="n">
        <v>610</v>
      </c>
      <c r="H355" s="4">
        <f>G355/E355</f>
        <v/>
      </c>
      <c r="I355" s="3" t="n">
        <v>2.6</v>
      </c>
      <c r="J355" s="4">
        <f>(F355-Assumptions!$B$13)/(Assumptions!$C$13-Assumptions!$B$13)</f>
        <v/>
      </c>
      <c r="K355" s="4">
        <f>(H355-Assumptions!$B$14)/(Assumptions!$C$14-Assumptions!$B$14)</f>
        <v/>
      </c>
      <c r="L355" s="4">
        <f>(I355-Assumptions!$B$15)/(Assumptions!$C$15-Assumptions!$B$15)</f>
        <v/>
      </c>
      <c r="M355" s="4">
        <f>0.4*J355+0.4*K355+0.2*L355</f>
        <v/>
      </c>
    </row>
    <row r="356">
      <c r="A356" s="3" t="inlineStr">
        <is>
          <t>AirCapacityReduced</t>
        </is>
      </c>
      <c r="B356" s="3" t="inlineStr">
        <is>
          <t>DEL_A</t>
        </is>
      </c>
      <c r="C356" s="3" t="inlineStr">
        <is>
          <t>SIM-00040</t>
        </is>
      </c>
      <c r="D356" s="3" t="inlineStr">
        <is>
          <t>RO-01800</t>
        </is>
      </c>
      <c r="E356" s="3" t="n">
        <v>204</v>
      </c>
      <c r="F356" s="3" t="n">
        <v>5</v>
      </c>
      <c r="G356" s="3" t="n">
        <v>350</v>
      </c>
      <c r="H356" s="4">
        <f>G356/E356</f>
        <v/>
      </c>
      <c r="I356" s="3" t="n">
        <v>2.5</v>
      </c>
      <c r="J356" s="4">
        <f>(F356-Assumptions!$B$13)/(Assumptions!$C$13-Assumptions!$B$13)</f>
        <v/>
      </c>
      <c r="K356" s="4">
        <f>(H356-Assumptions!$B$14)/(Assumptions!$C$14-Assumptions!$B$14)</f>
        <v/>
      </c>
      <c r="L356" s="4">
        <f>(I356-Assumptions!$B$15)/(Assumptions!$C$15-Assumptions!$B$15)</f>
        <v/>
      </c>
      <c r="M356" s="4">
        <f>0.4*J356+0.4*K356+0.2*L356</f>
        <v/>
      </c>
    </row>
    <row r="357">
      <c r="A357" s="3" t="inlineStr">
        <is>
          <t>AirCapacityReduced</t>
        </is>
      </c>
      <c r="B357" s="3" t="inlineStr">
        <is>
          <t>DEL_AH</t>
        </is>
      </c>
      <c r="C357" s="3" t="inlineStr">
        <is>
          <t>SIM-00040</t>
        </is>
      </c>
      <c r="D357" s="3" t="inlineStr">
        <is>
          <t>RO-01800</t>
        </is>
      </c>
      <c r="E357" s="3" t="n">
        <v>2400</v>
      </c>
      <c r="F357" s="3" t="n">
        <v>5</v>
      </c>
      <c r="G357" s="3" t="n">
        <v>350</v>
      </c>
      <c r="H357" s="4">
        <f>G357/E357</f>
        <v/>
      </c>
      <c r="I357" s="3" t="n">
        <v>2.5</v>
      </c>
      <c r="J357" s="4">
        <f>(F357-Assumptions!$B$13)/(Assumptions!$C$13-Assumptions!$B$13)</f>
        <v/>
      </c>
      <c r="K357" s="4">
        <f>(H357-Assumptions!$B$14)/(Assumptions!$C$14-Assumptions!$B$14)</f>
        <v/>
      </c>
      <c r="L357" s="4">
        <f>(I357-Assumptions!$B$15)/(Assumptions!$C$15-Assumptions!$B$15)</f>
        <v/>
      </c>
      <c r="M357" s="4">
        <f>0.4*J357+0.4*K357+0.2*L357</f>
        <v/>
      </c>
    </row>
    <row r="358">
      <c r="A358" s="3" t="inlineStr">
        <is>
          <t>AirCapacityReduced</t>
        </is>
      </c>
      <c r="B358" s="3" t="inlineStr">
        <is>
          <t>DEL_FU</t>
        </is>
      </c>
      <c r="C358" s="3" t="inlineStr">
        <is>
          <t>SIM-00040</t>
        </is>
      </c>
      <c r="D358" s="3" t="inlineStr">
        <is>
          <t>RO-01800</t>
        </is>
      </c>
      <c r="E358" s="3" t="n">
        <v>336.5</v>
      </c>
      <c r="F358" s="3" t="n">
        <v>5</v>
      </c>
      <c r="G358" s="3" t="n">
        <v>350</v>
      </c>
      <c r="H358" s="4">
        <f>G358/E358</f>
        <v/>
      </c>
      <c r="I358" s="3" t="n">
        <v>2.5</v>
      </c>
      <c r="J358" s="4">
        <f>(F358-Assumptions!$B$13)/(Assumptions!$C$13-Assumptions!$B$13)</f>
        <v/>
      </c>
      <c r="K358" s="4">
        <f>(H358-Assumptions!$B$14)/(Assumptions!$C$14-Assumptions!$B$14)</f>
        <v/>
      </c>
      <c r="L358" s="4">
        <f>(I358-Assumptions!$B$15)/(Assumptions!$C$15-Assumptions!$B$15)</f>
        <v/>
      </c>
      <c r="M358" s="4">
        <f>0.4*J358+0.4*K358+0.2*L358</f>
        <v/>
      </c>
    </row>
    <row r="359">
      <c r="A359" s="3" t="inlineStr">
        <is>
          <t>AirCapacityReduced</t>
        </is>
      </c>
      <c r="B359" s="3" t="inlineStr">
        <is>
          <t>DEL_DG</t>
        </is>
      </c>
      <c r="C359" s="3" t="inlineStr">
        <is>
          <t>SIM-00044</t>
        </is>
      </c>
      <c r="D359" s="3" t="inlineStr">
        <is>
          <t>RO-00891</t>
        </is>
      </c>
      <c r="E359" s="3" t="n">
        <v>4</v>
      </c>
      <c r="F359" s="3" t="n">
        <v>10</v>
      </c>
      <c r="G359" s="3" t="n">
        <v>270</v>
      </c>
      <c r="H359" s="4">
        <f>G359/E359</f>
        <v/>
      </c>
      <c r="I359" s="3" t="n">
        <v>3.9</v>
      </c>
      <c r="J359" s="4">
        <f>(F359-Assumptions!$B$13)/(Assumptions!$C$13-Assumptions!$B$13)</f>
        <v/>
      </c>
      <c r="K359" s="4">
        <f>(H359-Assumptions!$B$14)/(Assumptions!$C$14-Assumptions!$B$14)</f>
        <v/>
      </c>
      <c r="L359" s="4">
        <f>(I359-Assumptions!$B$15)/(Assumptions!$C$15-Assumptions!$B$15)</f>
        <v/>
      </c>
      <c r="M359" s="4">
        <f>0.4*J359+0.4*K359+0.2*L359</f>
        <v/>
      </c>
    </row>
    <row r="360">
      <c r="A360" s="3" t="inlineStr">
        <is>
          <t>AirCapacityReduced</t>
        </is>
      </c>
      <c r="B360" s="3" t="inlineStr">
        <is>
          <t>DEL_ES</t>
        </is>
      </c>
      <c r="C360" s="3" t="inlineStr">
        <is>
          <t>SIM-00045</t>
        </is>
      </c>
      <c r="D360" s="3" t="inlineStr">
        <is>
          <t>RO-03069</t>
        </is>
      </c>
      <c r="E360" s="3" t="n">
        <v>1759.5</v>
      </c>
      <c r="F360" s="3" t="n">
        <v>5</v>
      </c>
      <c r="G360" s="3" t="n">
        <v>610</v>
      </c>
      <c r="H360" s="4">
        <f>G360/E360</f>
        <v/>
      </c>
      <c r="I360" s="3" t="n">
        <v>2.6</v>
      </c>
      <c r="J360" s="4">
        <f>(F360-Assumptions!$B$13)/(Assumptions!$C$13-Assumptions!$B$13)</f>
        <v/>
      </c>
      <c r="K360" s="4">
        <f>(H360-Assumptions!$B$14)/(Assumptions!$C$14-Assumptions!$B$14)</f>
        <v/>
      </c>
      <c r="L360" s="4">
        <f>(I360-Assumptions!$B$15)/(Assumptions!$C$15-Assumptions!$B$15)</f>
        <v/>
      </c>
      <c r="M360" s="4">
        <f>0.4*J360+0.4*K360+0.2*L360</f>
        <v/>
      </c>
    </row>
    <row r="361">
      <c r="A361" s="3" t="inlineStr">
        <is>
          <t>AirCapacityReduced</t>
        </is>
      </c>
      <c r="B361" s="3" t="inlineStr">
        <is>
          <t>DEL_AL</t>
        </is>
      </c>
      <c r="C361" s="3" t="inlineStr">
        <is>
          <t>SIM-00049</t>
        </is>
      </c>
      <c r="D361" s="3" t="inlineStr">
        <is>
          <t>RO-02655</t>
        </is>
      </c>
      <c r="E361" s="3" t="n">
        <v>13</v>
      </c>
      <c r="F361" s="3" t="n">
        <v>10</v>
      </c>
      <c r="G361" s="3" t="n">
        <v>270</v>
      </c>
      <c r="H361" s="4">
        <f>G361/E361</f>
        <v/>
      </c>
      <c r="I361" s="3" t="n">
        <v>3.9</v>
      </c>
      <c r="J361" s="4">
        <f>(F361-Assumptions!$B$13)/(Assumptions!$C$13-Assumptions!$B$13)</f>
        <v/>
      </c>
      <c r="K361" s="4">
        <f>(H361-Assumptions!$B$14)/(Assumptions!$C$14-Assumptions!$B$14)</f>
        <v/>
      </c>
      <c r="L361" s="4">
        <f>(I361-Assumptions!$B$15)/(Assumptions!$C$15-Assumptions!$B$15)</f>
        <v/>
      </c>
      <c r="M361" s="4">
        <f>0.4*J361+0.4*K361+0.2*L361</f>
        <v/>
      </c>
    </row>
    <row r="362">
      <c r="A362" s="3" t="inlineStr">
        <is>
          <t>AirCapacityReduced</t>
        </is>
      </c>
      <c r="B362" s="3" t="inlineStr">
        <is>
          <t>DEL_EI</t>
        </is>
      </c>
      <c r="C362" s="3" t="inlineStr">
        <is>
          <t>SIM-00052</t>
        </is>
      </c>
      <c r="D362" s="3" t="inlineStr">
        <is>
          <t>RO-00768</t>
        </is>
      </c>
      <c r="E362" s="3" t="n">
        <v>12.5</v>
      </c>
      <c r="F362" s="3" t="n">
        <v>6</v>
      </c>
      <c r="G362" s="3" t="n">
        <v>386</v>
      </c>
      <c r="H362" s="4">
        <f>G362/E362</f>
        <v/>
      </c>
      <c r="I362" s="3" t="n">
        <v>2.5</v>
      </c>
      <c r="J362" s="4">
        <f>(F362-Assumptions!$B$13)/(Assumptions!$C$13-Assumptions!$B$13)</f>
        <v/>
      </c>
      <c r="K362" s="4">
        <f>(H362-Assumptions!$B$14)/(Assumptions!$C$14-Assumptions!$B$14)</f>
        <v/>
      </c>
      <c r="L362" s="4">
        <f>(I362-Assumptions!$B$15)/(Assumptions!$C$15-Assumptions!$B$15)</f>
        <v/>
      </c>
      <c r="M362" s="4">
        <f>0.4*J362+0.4*K362+0.2*L362</f>
        <v/>
      </c>
    </row>
    <row r="363">
      <c r="A363" s="3" t="inlineStr">
        <is>
          <t>AirCapacityReduced</t>
        </is>
      </c>
      <c r="B363" s="3" t="inlineStr">
        <is>
          <t>DEL_GR</t>
        </is>
      </c>
      <c r="C363" s="3" t="inlineStr">
        <is>
          <t>SIM-00052</t>
        </is>
      </c>
      <c r="D363" s="3" t="inlineStr">
        <is>
          <t>RO-00768</t>
        </is>
      </c>
      <c r="E363" s="3" t="n">
        <v>255</v>
      </c>
      <c r="F363" s="3" t="n">
        <v>6</v>
      </c>
      <c r="G363" s="3" t="n">
        <v>386</v>
      </c>
      <c r="H363" s="4">
        <f>G363/E363</f>
        <v/>
      </c>
      <c r="I363" s="3" t="n">
        <v>2.5</v>
      </c>
      <c r="J363" s="4">
        <f>(F363-Assumptions!$B$13)/(Assumptions!$C$13-Assumptions!$B$13)</f>
        <v/>
      </c>
      <c r="K363" s="4">
        <f>(H363-Assumptions!$B$14)/(Assumptions!$C$14-Assumptions!$B$14)</f>
        <v/>
      </c>
      <c r="L363" s="4">
        <f>(I363-Assumptions!$B$15)/(Assumptions!$C$15-Assumptions!$B$15)</f>
        <v/>
      </c>
      <c r="M363" s="4">
        <f>0.4*J363+0.4*K363+0.2*L363</f>
        <v/>
      </c>
    </row>
    <row r="364">
      <c r="A364" s="3" t="inlineStr">
        <is>
          <t>AirCapacityReduced</t>
        </is>
      </c>
      <c r="B364" s="3" t="inlineStr">
        <is>
          <t>DEL_GB</t>
        </is>
      </c>
      <c r="C364" s="3" t="inlineStr">
        <is>
          <t>SIM-00054</t>
        </is>
      </c>
      <c r="D364" s="3" t="inlineStr">
        <is>
          <t>RO-00801</t>
        </is>
      </c>
      <c r="E364" s="3" t="n">
        <v>154</v>
      </c>
      <c r="F364" s="3" t="n">
        <v>3</v>
      </c>
      <c r="G364" s="3" t="n">
        <v>610</v>
      </c>
      <c r="H364" s="4">
        <f>G364/E364</f>
        <v/>
      </c>
      <c r="I364" s="3" t="n">
        <v>2.6</v>
      </c>
      <c r="J364" s="4">
        <f>(F364-Assumptions!$B$13)/(Assumptions!$C$13-Assumptions!$B$13)</f>
        <v/>
      </c>
      <c r="K364" s="4">
        <f>(H364-Assumptions!$B$14)/(Assumptions!$C$14-Assumptions!$B$14)</f>
        <v/>
      </c>
      <c r="L364" s="4">
        <f>(I364-Assumptions!$B$15)/(Assumptions!$C$15-Assumptions!$B$15)</f>
        <v/>
      </c>
      <c r="M364" s="4">
        <f>0.4*J364+0.4*K364+0.2*L364</f>
        <v/>
      </c>
    </row>
    <row r="365">
      <c r="A365" s="3" t="inlineStr">
        <is>
          <t>AirCapacityReduced</t>
        </is>
      </c>
      <c r="B365" s="3" t="inlineStr">
        <is>
          <t>DEL_DO</t>
        </is>
      </c>
      <c r="C365" s="3" t="inlineStr">
        <is>
          <t>SIM-00057</t>
        </is>
      </c>
      <c r="D365" s="3" t="inlineStr">
        <is>
          <t>RO-00012</t>
        </is>
      </c>
      <c r="E365" s="3" t="n">
        <v>24</v>
      </c>
      <c r="F365" s="3" t="n">
        <v>5</v>
      </c>
      <c r="G365" s="3" t="n">
        <v>386</v>
      </c>
      <c r="H365" s="4">
        <f>G365/E365</f>
        <v/>
      </c>
      <c r="I365" s="3" t="n">
        <v>2.5</v>
      </c>
      <c r="J365" s="4">
        <f>(F365-Assumptions!$B$13)/(Assumptions!$C$13-Assumptions!$B$13)</f>
        <v/>
      </c>
      <c r="K365" s="4">
        <f>(H365-Assumptions!$B$14)/(Assumptions!$C$14-Assumptions!$B$14)</f>
        <v/>
      </c>
      <c r="L365" s="4">
        <f>(I365-Assumptions!$B$15)/(Assumptions!$C$15-Assumptions!$B$15)</f>
        <v/>
      </c>
      <c r="M365" s="4">
        <f>0.4*J365+0.4*K365+0.2*L365</f>
        <v/>
      </c>
    </row>
    <row r="366">
      <c r="A366" s="3" t="inlineStr">
        <is>
          <t>AirCapacityReduced</t>
        </is>
      </c>
      <c r="B366" s="3" t="inlineStr">
        <is>
          <t>DEL_GF</t>
        </is>
      </c>
      <c r="C366" s="3" t="inlineStr">
        <is>
          <t>SIM-00057</t>
        </is>
      </c>
      <c r="D366" s="3" t="inlineStr">
        <is>
          <t>RO-00012</t>
        </is>
      </c>
      <c r="E366" s="3" t="n">
        <v>31</v>
      </c>
      <c r="F366" s="3" t="n">
        <v>5</v>
      </c>
      <c r="G366" s="3" t="n">
        <v>386</v>
      </c>
      <c r="H366" s="4">
        <f>G366/E366</f>
        <v/>
      </c>
      <c r="I366" s="3" t="n">
        <v>2.5</v>
      </c>
      <c r="J366" s="4">
        <f>(F366-Assumptions!$B$13)/(Assumptions!$C$13-Assumptions!$B$13)</f>
        <v/>
      </c>
      <c r="K366" s="4">
        <f>(H366-Assumptions!$B$14)/(Assumptions!$C$14-Assumptions!$B$14)</f>
        <v/>
      </c>
      <c r="L366" s="4">
        <f>(I366-Assumptions!$B$15)/(Assumptions!$C$15-Assumptions!$B$15)</f>
        <v/>
      </c>
      <c r="M366" s="4">
        <f>0.4*J366+0.4*K366+0.2*L366</f>
        <v/>
      </c>
    </row>
    <row r="367">
      <c r="A367" s="3" t="inlineStr">
        <is>
          <t>AirCapacityReduced</t>
        </is>
      </c>
      <c r="B367" s="3" t="inlineStr">
        <is>
          <t>DEL_O</t>
        </is>
      </c>
      <c r="C367" s="3" t="inlineStr">
        <is>
          <t>SIM-00059</t>
        </is>
      </c>
      <c r="D367" s="3" t="inlineStr">
        <is>
          <t>RO-02565</t>
        </is>
      </c>
      <c r="E367" s="3" t="n">
        <v>10.5</v>
      </c>
      <c r="F367" s="3" t="n">
        <v>3</v>
      </c>
      <c r="G367" s="3" t="n">
        <v>610</v>
      </c>
      <c r="H367" s="4">
        <f>G367/E367</f>
        <v/>
      </c>
      <c r="I367" s="3" t="n">
        <v>2.6</v>
      </c>
      <c r="J367" s="4">
        <f>(F367-Assumptions!$B$13)/(Assumptions!$C$13-Assumptions!$B$13)</f>
        <v/>
      </c>
      <c r="K367" s="4">
        <f>(H367-Assumptions!$B$14)/(Assumptions!$C$14-Assumptions!$B$14)</f>
        <v/>
      </c>
      <c r="L367" s="4">
        <f>(I367-Assumptions!$B$15)/(Assumptions!$C$15-Assumptions!$B$15)</f>
        <v/>
      </c>
      <c r="M367" s="4">
        <f>0.4*J367+0.4*K367+0.2*L367</f>
        <v/>
      </c>
    </row>
    <row r="368">
      <c r="A368" s="3" t="inlineStr">
        <is>
          <t>AirCapacityReduced</t>
        </is>
      </c>
      <c r="B368" s="3" t="inlineStr">
        <is>
          <t>DEL_BV</t>
        </is>
      </c>
      <c r="C368" s="3" t="inlineStr">
        <is>
          <t>SIM-00061</t>
        </is>
      </c>
      <c r="D368" s="3" t="inlineStr">
        <is>
          <t>RO-00903</t>
        </is>
      </c>
      <c r="E368" s="3" t="n">
        <v>1838</v>
      </c>
      <c r="F368" s="3" t="n">
        <v>11</v>
      </c>
      <c r="G368" s="3" t="n">
        <v>306</v>
      </c>
      <c r="H368" s="4">
        <f>G368/E368</f>
        <v/>
      </c>
      <c r="I368" s="3" t="n">
        <v>3.9</v>
      </c>
      <c r="J368" s="4">
        <f>(F368-Assumptions!$B$13)/(Assumptions!$C$13-Assumptions!$B$13)</f>
        <v/>
      </c>
      <c r="K368" s="4">
        <f>(H368-Assumptions!$B$14)/(Assumptions!$C$14-Assumptions!$B$14)</f>
        <v/>
      </c>
      <c r="L368" s="4">
        <f>(I368-Assumptions!$B$15)/(Assumptions!$C$15-Assumptions!$B$15)</f>
        <v/>
      </c>
      <c r="M368" s="4">
        <f>0.4*J368+0.4*K368+0.2*L368</f>
        <v/>
      </c>
    </row>
    <row r="369">
      <c r="A369" s="3" t="inlineStr">
        <is>
          <t>AirCapacityReduced</t>
        </is>
      </c>
      <c r="B369" s="3" t="inlineStr">
        <is>
          <t>DEL_FZ</t>
        </is>
      </c>
      <c r="C369" s="3" t="inlineStr">
        <is>
          <t>SIM-00061</t>
        </is>
      </c>
      <c r="D369" s="3" t="inlineStr">
        <is>
          <t>RO-00903</t>
        </is>
      </c>
      <c r="E369" s="3" t="n">
        <v>3.5</v>
      </c>
      <c r="F369" s="3" t="n">
        <v>11</v>
      </c>
      <c r="G369" s="3" t="n">
        <v>306</v>
      </c>
      <c r="H369" s="4">
        <f>G369/E369</f>
        <v/>
      </c>
      <c r="I369" s="3" t="n">
        <v>3.9</v>
      </c>
      <c r="J369" s="4">
        <f>(F369-Assumptions!$B$13)/(Assumptions!$C$13-Assumptions!$B$13)</f>
        <v/>
      </c>
      <c r="K369" s="4">
        <f>(H369-Assumptions!$B$14)/(Assumptions!$C$14-Assumptions!$B$14)</f>
        <v/>
      </c>
      <c r="L369" s="4">
        <f>(I369-Assumptions!$B$15)/(Assumptions!$C$15-Assumptions!$B$15)</f>
        <v/>
      </c>
      <c r="M369" s="4">
        <f>0.4*J369+0.4*K369+0.2*L369</f>
        <v/>
      </c>
    </row>
    <row r="370">
      <c r="A370" s="3" t="inlineStr">
        <is>
          <t>AirCapacityReduced</t>
        </is>
      </c>
      <c r="B370" s="3" t="inlineStr">
        <is>
          <t>DEL_GN</t>
        </is>
      </c>
      <c r="C370" s="3" t="inlineStr">
        <is>
          <t>SIM-00061</t>
        </is>
      </c>
      <c r="D370" s="3" t="inlineStr">
        <is>
          <t>RO-00903</t>
        </is>
      </c>
      <c r="E370" s="3" t="n">
        <v>262</v>
      </c>
      <c r="F370" s="3" t="n">
        <v>11</v>
      </c>
      <c r="G370" s="3" t="n">
        <v>306</v>
      </c>
      <c r="H370" s="4">
        <f>G370/E370</f>
        <v/>
      </c>
      <c r="I370" s="3" t="n">
        <v>3.9</v>
      </c>
      <c r="J370" s="4">
        <f>(F370-Assumptions!$B$13)/(Assumptions!$C$13-Assumptions!$B$13)</f>
        <v/>
      </c>
      <c r="K370" s="4">
        <f>(H370-Assumptions!$B$14)/(Assumptions!$C$14-Assumptions!$B$14)</f>
        <v/>
      </c>
      <c r="L370" s="4">
        <f>(I370-Assumptions!$B$15)/(Assumptions!$C$15-Assumptions!$B$15)</f>
        <v/>
      </c>
      <c r="M370" s="4">
        <f>0.4*J370+0.4*K370+0.2*L370</f>
        <v/>
      </c>
    </row>
    <row r="371">
      <c r="A371" s="3" t="inlineStr">
        <is>
          <t>AirCapacityReduced</t>
        </is>
      </c>
      <c r="B371" s="3" t="inlineStr">
        <is>
          <t>DEL_AR</t>
        </is>
      </c>
      <c r="C371" s="3" t="inlineStr">
        <is>
          <t>SIM-00062</t>
        </is>
      </c>
      <c r="D371" s="3" t="inlineStr">
        <is>
          <t>RO-00918</t>
        </is>
      </c>
      <c r="E371" s="3" t="n">
        <v>242.5</v>
      </c>
      <c r="F371" s="3" t="n">
        <v>3</v>
      </c>
      <c r="G371" s="3" t="n">
        <v>770</v>
      </c>
      <c r="H371" s="4">
        <f>G371/E371</f>
        <v/>
      </c>
      <c r="I371" s="3" t="n">
        <v>1.7</v>
      </c>
      <c r="J371" s="4">
        <f>(F371-Assumptions!$B$13)/(Assumptions!$C$13-Assumptions!$B$13)</f>
        <v/>
      </c>
      <c r="K371" s="4">
        <f>(H371-Assumptions!$B$14)/(Assumptions!$C$14-Assumptions!$B$14)</f>
        <v/>
      </c>
      <c r="L371" s="4">
        <f>(I371-Assumptions!$B$15)/(Assumptions!$C$15-Assumptions!$B$15)</f>
        <v/>
      </c>
      <c r="M371" s="4">
        <f>0.4*J371+0.4*K371+0.2*L371</f>
        <v/>
      </c>
    </row>
    <row r="372">
      <c r="A372" s="3" t="inlineStr">
        <is>
          <t>AirCapacityReduced</t>
        </is>
      </c>
      <c r="B372" s="3" t="inlineStr">
        <is>
          <t>DEL_EY</t>
        </is>
      </c>
      <c r="C372" s="3" t="inlineStr">
        <is>
          <t>SIM-00063</t>
        </is>
      </c>
      <c r="D372" s="3" t="inlineStr">
        <is>
          <t>RO-00936</t>
        </is>
      </c>
      <c r="E372" s="3" t="n">
        <v>6.5</v>
      </c>
      <c r="F372" s="3" t="n">
        <v>5</v>
      </c>
      <c r="G372" s="3" t="n">
        <v>350</v>
      </c>
      <c r="H372" s="4">
        <f>G372/E372</f>
        <v/>
      </c>
      <c r="I372" s="3" t="n">
        <v>2.5</v>
      </c>
      <c r="J372" s="4">
        <f>(F372-Assumptions!$B$13)/(Assumptions!$C$13-Assumptions!$B$13)</f>
        <v/>
      </c>
      <c r="K372" s="4">
        <f>(H372-Assumptions!$B$14)/(Assumptions!$C$14-Assumptions!$B$14)</f>
        <v/>
      </c>
      <c r="L372" s="4">
        <f>(I372-Assumptions!$B$15)/(Assumptions!$C$15-Assumptions!$B$15)</f>
        <v/>
      </c>
      <c r="M372" s="4">
        <f>0.4*J372+0.4*K372+0.2*L372</f>
        <v/>
      </c>
    </row>
    <row r="373">
      <c r="A373" s="3" t="inlineStr">
        <is>
          <t>AirCapacityReduced</t>
        </is>
      </c>
      <c r="B373" s="3" t="inlineStr">
        <is>
          <t>DEL_EX</t>
        </is>
      </c>
      <c r="C373" s="3" t="inlineStr">
        <is>
          <t>SIM-00066</t>
        </is>
      </c>
      <c r="D373" s="3" t="inlineStr">
        <is>
          <t>RO-00984</t>
        </is>
      </c>
      <c r="E373" s="3" t="n">
        <v>67</v>
      </c>
      <c r="F373" s="3" t="n">
        <v>7</v>
      </c>
      <c r="G373" s="3" t="n">
        <v>386</v>
      </c>
      <c r="H373" s="4">
        <f>G373/E373</f>
        <v/>
      </c>
      <c r="I373" s="3" t="n">
        <v>2.5</v>
      </c>
      <c r="J373" s="4">
        <f>(F373-Assumptions!$B$13)/(Assumptions!$C$13-Assumptions!$B$13)</f>
        <v/>
      </c>
      <c r="K373" s="4">
        <f>(H373-Assumptions!$B$14)/(Assumptions!$C$14-Assumptions!$B$14)</f>
        <v/>
      </c>
      <c r="L373" s="4">
        <f>(I373-Assumptions!$B$15)/(Assumptions!$C$15-Assumptions!$B$15)</f>
        <v/>
      </c>
      <c r="M373" s="4">
        <f>0.4*J373+0.4*K373+0.2*L373</f>
        <v/>
      </c>
    </row>
    <row r="374">
      <c r="A374" s="3" t="inlineStr">
        <is>
          <t>AirCapacityReduced</t>
        </is>
      </c>
      <c r="B374" s="3" t="inlineStr">
        <is>
          <t>DEL_AA</t>
        </is>
      </c>
      <c r="C374" s="3" t="inlineStr">
        <is>
          <t>SIM-00074</t>
        </is>
      </c>
      <c r="D374" s="3" t="inlineStr">
        <is>
          <t>RO-00621</t>
        </is>
      </c>
      <c r="E374" s="3" t="n">
        <v>2776</v>
      </c>
      <c r="F374" s="3" t="n">
        <v>3</v>
      </c>
      <c r="G374" s="3" t="n">
        <v>610</v>
      </c>
      <c r="H374" s="4">
        <f>G374/E374</f>
        <v/>
      </c>
      <c r="I374" s="3" t="n">
        <v>2.6</v>
      </c>
      <c r="J374" s="4">
        <f>(F374-Assumptions!$B$13)/(Assumptions!$C$13-Assumptions!$B$13)</f>
        <v/>
      </c>
      <c r="K374" s="4">
        <f>(H374-Assumptions!$B$14)/(Assumptions!$C$14-Assumptions!$B$14)</f>
        <v/>
      </c>
      <c r="L374" s="4">
        <f>(I374-Assumptions!$B$15)/(Assumptions!$C$15-Assumptions!$B$15)</f>
        <v/>
      </c>
      <c r="M374" s="4">
        <f>0.4*J374+0.4*K374+0.2*L374</f>
        <v/>
      </c>
    </row>
    <row r="375">
      <c r="A375" s="3" t="inlineStr">
        <is>
          <t>AirCapacityReduced</t>
        </is>
      </c>
      <c r="B375" s="3" t="inlineStr">
        <is>
          <t>DEL_BB</t>
        </is>
      </c>
      <c r="C375" s="3" t="inlineStr">
        <is>
          <t>SIM-00076</t>
        </is>
      </c>
      <c r="D375" s="3" t="inlineStr">
        <is>
          <t>RO-00894</t>
        </is>
      </c>
      <c r="E375" s="3" t="n">
        <v>12</v>
      </c>
      <c r="F375" s="3" t="n">
        <v>4</v>
      </c>
      <c r="G375" s="3" t="n">
        <v>806</v>
      </c>
      <c r="H375" s="4">
        <f>G375/E375</f>
        <v/>
      </c>
      <c r="I375" s="3" t="n">
        <v>1.7</v>
      </c>
      <c r="J375" s="4">
        <f>(F375-Assumptions!$B$13)/(Assumptions!$C$13-Assumptions!$B$13)</f>
        <v/>
      </c>
      <c r="K375" s="4">
        <f>(H375-Assumptions!$B$14)/(Assumptions!$C$14-Assumptions!$B$14)</f>
        <v/>
      </c>
      <c r="L375" s="4">
        <f>(I375-Assumptions!$B$15)/(Assumptions!$C$15-Assumptions!$B$15)</f>
        <v/>
      </c>
      <c r="M375" s="4">
        <f>0.4*J375+0.4*K375+0.2*L375</f>
        <v/>
      </c>
    </row>
    <row r="376">
      <c r="A376" s="3" t="inlineStr">
        <is>
          <t>AirCapacityReduced</t>
        </is>
      </c>
      <c r="B376" s="3" t="inlineStr">
        <is>
          <t>DEL_ER</t>
        </is>
      </c>
      <c r="C376" s="3" t="inlineStr">
        <is>
          <t>SIM-00077</t>
        </is>
      </c>
      <c r="D376" s="3" t="inlineStr">
        <is>
          <t>RO-01152</t>
        </is>
      </c>
      <c r="E376" s="3" t="n">
        <v>157.5</v>
      </c>
      <c r="F376" s="3" t="n">
        <v>5</v>
      </c>
      <c r="G376" s="3" t="n">
        <v>350</v>
      </c>
      <c r="H376" s="4">
        <f>G376/E376</f>
        <v/>
      </c>
      <c r="I376" s="3" t="n">
        <v>2.5</v>
      </c>
      <c r="J376" s="4">
        <f>(F376-Assumptions!$B$13)/(Assumptions!$C$13-Assumptions!$B$13)</f>
        <v/>
      </c>
      <c r="K376" s="4">
        <f>(H376-Assumptions!$B$14)/(Assumptions!$C$14-Assumptions!$B$14)</f>
        <v/>
      </c>
      <c r="L376" s="4">
        <f>(I376-Assumptions!$B$15)/(Assumptions!$C$15-Assumptions!$B$15)</f>
        <v/>
      </c>
      <c r="M376" s="4">
        <f>0.4*J376+0.4*K376+0.2*L376</f>
        <v/>
      </c>
    </row>
    <row r="377">
      <c r="A377" s="3" t="inlineStr">
        <is>
          <t>AirCapacityReduced</t>
        </is>
      </c>
      <c r="B377" s="3" t="inlineStr">
        <is>
          <t>DEL_FM</t>
        </is>
      </c>
      <c r="C377" s="3" t="inlineStr">
        <is>
          <t>SIM-00077</t>
        </is>
      </c>
      <c r="D377" s="3" t="inlineStr">
        <is>
          <t>RO-01152</t>
        </is>
      </c>
      <c r="E377" s="3" t="n">
        <v>7.5</v>
      </c>
      <c r="F377" s="3" t="n">
        <v>5</v>
      </c>
      <c r="G377" s="3" t="n">
        <v>350</v>
      </c>
      <c r="H377" s="4">
        <f>G377/E377</f>
        <v/>
      </c>
      <c r="I377" s="3" t="n">
        <v>2.5</v>
      </c>
      <c r="J377" s="4">
        <f>(F377-Assumptions!$B$13)/(Assumptions!$C$13-Assumptions!$B$13)</f>
        <v/>
      </c>
      <c r="K377" s="4">
        <f>(H377-Assumptions!$B$14)/(Assumptions!$C$14-Assumptions!$B$14)</f>
        <v/>
      </c>
      <c r="L377" s="4">
        <f>(I377-Assumptions!$B$15)/(Assumptions!$C$15-Assumptions!$B$15)</f>
        <v/>
      </c>
      <c r="M377" s="4">
        <f>0.4*J377+0.4*K377+0.2*L377</f>
        <v/>
      </c>
    </row>
    <row r="378">
      <c r="A378" s="3" t="inlineStr">
        <is>
          <t>AirCapacityReduced</t>
        </is>
      </c>
      <c r="B378" s="3" t="inlineStr">
        <is>
          <t>DEL_GP</t>
        </is>
      </c>
      <c r="C378" s="3" t="inlineStr">
        <is>
          <t>SIM-00080</t>
        </is>
      </c>
      <c r="D378" s="3" t="inlineStr">
        <is>
          <t>RO-01200</t>
        </is>
      </c>
      <c r="E378" s="3" t="n">
        <v>459</v>
      </c>
      <c r="F378" s="3" t="n">
        <v>5</v>
      </c>
      <c r="G378" s="3" t="n">
        <v>386</v>
      </c>
      <c r="H378" s="4">
        <f>G378/E378</f>
        <v/>
      </c>
      <c r="I378" s="3" t="n">
        <v>2.5</v>
      </c>
      <c r="J378" s="4">
        <f>(F378-Assumptions!$B$13)/(Assumptions!$C$13-Assumptions!$B$13)</f>
        <v/>
      </c>
      <c r="K378" s="4">
        <f>(H378-Assumptions!$B$14)/(Assumptions!$C$14-Assumptions!$B$14)</f>
        <v/>
      </c>
      <c r="L378" s="4">
        <f>(I378-Assumptions!$B$15)/(Assumptions!$C$15-Assumptions!$B$15)</f>
        <v/>
      </c>
      <c r="M378" s="4">
        <f>0.4*J378+0.4*K378+0.2*L378</f>
        <v/>
      </c>
    </row>
    <row r="379">
      <c r="A379" s="3" t="inlineStr">
        <is>
          <t>AirCapacityReduced</t>
        </is>
      </c>
      <c r="B379" s="3" t="inlineStr">
        <is>
          <t>DEL_DD</t>
        </is>
      </c>
      <c r="C379" s="3" t="inlineStr">
        <is>
          <t>SIM-00084</t>
        </is>
      </c>
      <c r="D379" s="3" t="inlineStr">
        <is>
          <t>RO-01251</t>
        </is>
      </c>
      <c r="E379" s="3" t="n">
        <v>90.5</v>
      </c>
      <c r="F379" s="3" t="n">
        <v>10</v>
      </c>
      <c r="G379" s="3" t="n">
        <v>270</v>
      </c>
      <c r="H379" s="4">
        <f>G379/E379</f>
        <v/>
      </c>
      <c r="I379" s="3" t="n">
        <v>3.9</v>
      </c>
      <c r="J379" s="4">
        <f>(F379-Assumptions!$B$13)/(Assumptions!$C$13-Assumptions!$B$13)</f>
        <v/>
      </c>
      <c r="K379" s="4">
        <f>(H379-Assumptions!$B$14)/(Assumptions!$C$14-Assumptions!$B$14)</f>
        <v/>
      </c>
      <c r="L379" s="4">
        <f>(I379-Assumptions!$B$15)/(Assumptions!$C$15-Assumptions!$B$15)</f>
        <v/>
      </c>
      <c r="M379" s="4">
        <f>0.4*J379+0.4*K379+0.2*L379</f>
        <v/>
      </c>
    </row>
    <row r="380">
      <c r="A380" s="3" t="inlineStr">
        <is>
          <t>AirCapacityReduced</t>
        </is>
      </c>
      <c r="B380" s="3" t="inlineStr">
        <is>
          <t>DEL_GY</t>
        </is>
      </c>
      <c r="C380" s="3" t="inlineStr">
        <is>
          <t>SIM-00084</t>
        </is>
      </c>
      <c r="D380" s="3" t="inlineStr">
        <is>
          <t>RO-01251</t>
        </is>
      </c>
      <c r="E380" s="3" t="n">
        <v>165</v>
      </c>
      <c r="F380" s="3" t="n">
        <v>10</v>
      </c>
      <c r="G380" s="3" t="n">
        <v>270</v>
      </c>
      <c r="H380" s="4">
        <f>G380/E380</f>
        <v/>
      </c>
      <c r="I380" s="3" t="n">
        <v>3.9</v>
      </c>
      <c r="J380" s="4">
        <f>(F380-Assumptions!$B$13)/(Assumptions!$C$13-Assumptions!$B$13)</f>
        <v/>
      </c>
      <c r="K380" s="4">
        <f>(H380-Assumptions!$B$14)/(Assumptions!$C$14-Assumptions!$B$14)</f>
        <v/>
      </c>
      <c r="L380" s="4">
        <f>(I380-Assumptions!$B$15)/(Assumptions!$C$15-Assumptions!$B$15)</f>
        <v/>
      </c>
      <c r="M380" s="4">
        <f>0.4*J380+0.4*K380+0.2*L380</f>
        <v/>
      </c>
    </row>
    <row r="381">
      <c r="A381" s="3" t="inlineStr">
        <is>
          <t>AirCapacityReduced</t>
        </is>
      </c>
      <c r="B381" s="3" t="inlineStr">
        <is>
          <t>DEL_CT</t>
        </is>
      </c>
      <c r="C381" s="3" t="inlineStr">
        <is>
          <t>SIM-00088</t>
        </is>
      </c>
      <c r="D381" s="3" t="inlineStr">
        <is>
          <t>RO-00117</t>
        </is>
      </c>
      <c r="E381" s="3" t="n">
        <v>438</v>
      </c>
      <c r="F381" s="3" t="n">
        <v>3</v>
      </c>
      <c r="G381" s="3" t="n">
        <v>610</v>
      </c>
      <c r="H381" s="4">
        <f>G381/E381</f>
        <v/>
      </c>
      <c r="I381" s="3" t="n">
        <v>2.6</v>
      </c>
      <c r="J381" s="4">
        <f>(F381-Assumptions!$B$13)/(Assumptions!$C$13-Assumptions!$B$13)</f>
        <v/>
      </c>
      <c r="K381" s="4">
        <f>(H381-Assumptions!$B$14)/(Assumptions!$C$14-Assumptions!$B$14)</f>
        <v/>
      </c>
      <c r="L381" s="4">
        <f>(I381-Assumptions!$B$15)/(Assumptions!$C$15-Assumptions!$B$15)</f>
        <v/>
      </c>
      <c r="M381" s="4">
        <f>0.4*J381+0.4*K381+0.2*L381</f>
        <v/>
      </c>
    </row>
    <row r="382">
      <c r="A382" s="3" t="inlineStr">
        <is>
          <t>AirCapacityReduced</t>
        </is>
      </c>
      <c r="B382" s="3" t="inlineStr">
        <is>
          <t>DEL_CU</t>
        </is>
      </c>
      <c r="C382" s="3" t="inlineStr">
        <is>
          <t>SIM-00097</t>
        </is>
      </c>
      <c r="D382" s="3" t="inlineStr">
        <is>
          <t>RO-01452</t>
        </is>
      </c>
      <c r="E382" s="3" t="n">
        <v>2635</v>
      </c>
      <c r="F382" s="3" t="n">
        <v>5</v>
      </c>
      <c r="G382" s="3" t="n">
        <v>386</v>
      </c>
      <c r="H382" s="4">
        <f>G382/E382</f>
        <v/>
      </c>
      <c r="I382" s="3" t="n">
        <v>2.5</v>
      </c>
      <c r="J382" s="4">
        <f>(F382-Assumptions!$B$13)/(Assumptions!$C$13-Assumptions!$B$13)</f>
        <v/>
      </c>
      <c r="K382" s="4">
        <f>(H382-Assumptions!$B$14)/(Assumptions!$C$14-Assumptions!$B$14)</f>
        <v/>
      </c>
      <c r="L382" s="4">
        <f>(I382-Assumptions!$B$15)/(Assumptions!$C$15-Assumptions!$B$15)</f>
        <v/>
      </c>
      <c r="M382" s="4">
        <f>0.4*J382+0.4*K382+0.2*L382</f>
        <v/>
      </c>
    </row>
    <row r="383">
      <c r="A383" s="3" t="inlineStr">
        <is>
          <t>AirCapacityReduced</t>
        </is>
      </c>
      <c r="B383" s="3" t="inlineStr">
        <is>
          <t>DEL_DW</t>
        </is>
      </c>
      <c r="C383" s="3" t="inlineStr">
        <is>
          <t>SIM-00097</t>
        </is>
      </c>
      <c r="D383" s="3" t="inlineStr">
        <is>
          <t>RO-01452</t>
        </is>
      </c>
      <c r="E383" s="3" t="n">
        <v>1617</v>
      </c>
      <c r="F383" s="3" t="n">
        <v>5</v>
      </c>
      <c r="G383" s="3" t="n">
        <v>386</v>
      </c>
      <c r="H383" s="4">
        <f>G383/E383</f>
        <v/>
      </c>
      <c r="I383" s="3" t="n">
        <v>2.5</v>
      </c>
      <c r="J383" s="4">
        <f>(F383-Assumptions!$B$13)/(Assumptions!$C$13-Assumptions!$B$13)</f>
        <v/>
      </c>
      <c r="K383" s="4">
        <f>(H383-Assumptions!$B$14)/(Assumptions!$C$14-Assumptions!$B$14)</f>
        <v/>
      </c>
      <c r="L383" s="4">
        <f>(I383-Assumptions!$B$15)/(Assumptions!$C$15-Assumptions!$B$15)</f>
        <v/>
      </c>
      <c r="M383" s="4">
        <f>0.4*J383+0.4*K383+0.2*L383</f>
        <v/>
      </c>
    </row>
    <row r="384">
      <c r="A384" s="3" t="inlineStr">
        <is>
          <t>AirCapacityReduced</t>
        </is>
      </c>
      <c r="B384" s="3" t="inlineStr">
        <is>
          <t>DEL_EZ</t>
        </is>
      </c>
      <c r="C384" s="3" t="inlineStr">
        <is>
          <t>SIM-00098</t>
        </is>
      </c>
      <c r="D384" s="3" t="inlineStr">
        <is>
          <t>RO-01467</t>
        </is>
      </c>
      <c r="E384" s="3" t="n">
        <v>5</v>
      </c>
      <c r="F384" s="3" t="n">
        <v>10</v>
      </c>
      <c r="G384" s="3" t="n">
        <v>270</v>
      </c>
      <c r="H384" s="4">
        <f>G384/E384</f>
        <v/>
      </c>
      <c r="I384" s="3" t="n">
        <v>3.9</v>
      </c>
      <c r="J384" s="4">
        <f>(F384-Assumptions!$B$13)/(Assumptions!$C$13-Assumptions!$B$13)</f>
        <v/>
      </c>
      <c r="K384" s="4">
        <f>(H384-Assumptions!$B$14)/(Assumptions!$C$14-Assumptions!$B$14)</f>
        <v/>
      </c>
      <c r="L384" s="4">
        <f>(I384-Assumptions!$B$15)/(Assumptions!$C$15-Assumptions!$B$15)</f>
        <v/>
      </c>
      <c r="M384" s="4">
        <f>0.4*J384+0.4*K384+0.2*L384</f>
        <v/>
      </c>
    </row>
    <row r="385">
      <c r="A385" s="3" t="inlineStr">
        <is>
          <t>AirCapacityReduced</t>
        </is>
      </c>
      <c r="B385" s="3" t="inlineStr">
        <is>
          <t>DEL_DP</t>
        </is>
      </c>
      <c r="C385" s="3" t="inlineStr">
        <is>
          <t>SIM-00100</t>
        </is>
      </c>
      <c r="D385" s="3" t="inlineStr">
        <is>
          <t>RO-00180</t>
        </is>
      </c>
      <c r="E385" s="3" t="n">
        <v>8.5</v>
      </c>
      <c r="F385" s="3" t="n">
        <v>5</v>
      </c>
      <c r="G385" s="3" t="n">
        <v>350</v>
      </c>
      <c r="H385" s="4">
        <f>G385/E385</f>
        <v/>
      </c>
      <c r="I385" s="3" t="n">
        <v>2.5</v>
      </c>
      <c r="J385" s="4">
        <f>(F385-Assumptions!$B$13)/(Assumptions!$C$13-Assumptions!$B$13)</f>
        <v/>
      </c>
      <c r="K385" s="4">
        <f>(H385-Assumptions!$B$14)/(Assumptions!$C$14-Assumptions!$B$14)</f>
        <v/>
      </c>
      <c r="L385" s="4">
        <f>(I385-Assumptions!$B$15)/(Assumptions!$C$15-Assumptions!$B$15)</f>
        <v/>
      </c>
      <c r="M385" s="4">
        <f>0.4*J385+0.4*K385+0.2*L385</f>
        <v/>
      </c>
    </row>
    <row r="386">
      <c r="A386" s="3" t="inlineStr">
        <is>
          <t>AirCapacityReduced</t>
        </is>
      </c>
      <c r="B386" s="3" t="inlineStr">
        <is>
          <t>DEL_HE</t>
        </is>
      </c>
      <c r="C386" s="3" t="inlineStr">
        <is>
          <t>SIM-00100</t>
        </is>
      </c>
      <c r="D386" s="3" t="inlineStr">
        <is>
          <t>RO-00180</t>
        </is>
      </c>
      <c r="E386" s="3" t="n">
        <v>374</v>
      </c>
      <c r="F386" s="3" t="n">
        <v>5</v>
      </c>
      <c r="G386" s="3" t="n">
        <v>350</v>
      </c>
      <c r="H386" s="4">
        <f>G386/E386</f>
        <v/>
      </c>
      <c r="I386" s="3" t="n">
        <v>2.5</v>
      </c>
      <c r="J386" s="4">
        <f>(F386-Assumptions!$B$13)/(Assumptions!$C$13-Assumptions!$B$13)</f>
        <v/>
      </c>
      <c r="K386" s="4">
        <f>(H386-Assumptions!$B$14)/(Assumptions!$C$14-Assumptions!$B$14)</f>
        <v/>
      </c>
      <c r="L386" s="4">
        <f>(I386-Assumptions!$B$15)/(Assumptions!$C$15-Assumptions!$B$15)</f>
        <v/>
      </c>
      <c r="M386" s="4">
        <f>0.4*J386+0.4*K386+0.2*L386</f>
        <v/>
      </c>
    </row>
    <row r="387">
      <c r="A387" s="3" t="inlineStr">
        <is>
          <t>AirCapacityReduced</t>
        </is>
      </c>
      <c r="B387" s="3" t="inlineStr">
        <is>
          <t>DEL_CN</t>
        </is>
      </c>
      <c r="C387" s="3" t="inlineStr">
        <is>
          <t>SIM-00102</t>
        </is>
      </c>
      <c r="D387" s="3" t="inlineStr">
        <is>
          <t>RO-01758</t>
        </is>
      </c>
      <c r="E387" s="3" t="n">
        <v>2</v>
      </c>
      <c r="F387" s="3" t="n">
        <v>3</v>
      </c>
      <c r="G387" s="3" t="n">
        <v>806</v>
      </c>
      <c r="H387" s="4">
        <f>G387/E387</f>
        <v/>
      </c>
      <c r="I387" s="3" t="n">
        <v>1.7</v>
      </c>
      <c r="J387" s="4">
        <f>(F387-Assumptions!$B$13)/(Assumptions!$C$13-Assumptions!$B$13)</f>
        <v/>
      </c>
      <c r="K387" s="4">
        <f>(H387-Assumptions!$B$14)/(Assumptions!$C$14-Assumptions!$B$14)</f>
        <v/>
      </c>
      <c r="L387" s="4">
        <f>(I387-Assumptions!$B$15)/(Assumptions!$C$15-Assumptions!$B$15)</f>
        <v/>
      </c>
      <c r="M387" s="4">
        <f>0.4*J387+0.4*K387+0.2*L387</f>
        <v/>
      </c>
    </row>
    <row r="388">
      <c r="A388" s="3" t="inlineStr">
        <is>
          <t>AirCapacityReduced</t>
        </is>
      </c>
      <c r="B388" s="3" t="inlineStr">
        <is>
          <t>DEL_FP</t>
        </is>
      </c>
      <c r="C388" s="3" t="inlineStr">
        <is>
          <t>SIM-00102</t>
        </is>
      </c>
      <c r="D388" s="3" t="inlineStr">
        <is>
          <t>RO-01758</t>
        </is>
      </c>
      <c r="E388" s="3" t="n">
        <v>8.5</v>
      </c>
      <c r="F388" s="3" t="n">
        <v>3</v>
      </c>
      <c r="G388" s="3" t="n">
        <v>806</v>
      </c>
      <c r="H388" s="4">
        <f>G388/E388</f>
        <v/>
      </c>
      <c r="I388" s="3" t="n">
        <v>1.7</v>
      </c>
      <c r="J388" s="4">
        <f>(F388-Assumptions!$B$13)/(Assumptions!$C$13-Assumptions!$B$13)</f>
        <v/>
      </c>
      <c r="K388" s="4">
        <f>(H388-Assumptions!$B$14)/(Assumptions!$C$14-Assumptions!$B$14)</f>
        <v/>
      </c>
      <c r="L388" s="4">
        <f>(I388-Assumptions!$B$15)/(Assumptions!$C$15-Assumptions!$B$15)</f>
        <v/>
      </c>
      <c r="M388" s="4">
        <f>0.4*J388+0.4*K388+0.2*L388</f>
        <v/>
      </c>
    </row>
    <row r="389">
      <c r="A389" s="3" t="inlineStr">
        <is>
          <t>AirCapacityReduced</t>
        </is>
      </c>
      <c r="B389" s="3" t="inlineStr">
        <is>
          <t>DEL_Z</t>
        </is>
      </c>
      <c r="C389" s="3" t="inlineStr">
        <is>
          <t>SIM-00104</t>
        </is>
      </c>
      <c r="D389" s="3" t="inlineStr">
        <is>
          <t>RO-01071</t>
        </is>
      </c>
      <c r="E389" s="3" t="n">
        <v>401.5</v>
      </c>
      <c r="F389" s="3" t="n">
        <v>10</v>
      </c>
      <c r="G389" s="3" t="n">
        <v>270</v>
      </c>
      <c r="H389" s="4">
        <f>G389/E389</f>
        <v/>
      </c>
      <c r="I389" s="3" t="n">
        <v>3.9</v>
      </c>
      <c r="J389" s="4">
        <f>(F389-Assumptions!$B$13)/(Assumptions!$C$13-Assumptions!$B$13)</f>
        <v/>
      </c>
      <c r="K389" s="4">
        <f>(H389-Assumptions!$B$14)/(Assumptions!$C$14-Assumptions!$B$14)</f>
        <v/>
      </c>
      <c r="L389" s="4">
        <f>(I389-Assumptions!$B$15)/(Assumptions!$C$15-Assumptions!$B$15)</f>
        <v/>
      </c>
      <c r="M389" s="4">
        <f>0.4*J389+0.4*K389+0.2*L389</f>
        <v/>
      </c>
    </row>
    <row r="390">
      <c r="A390" s="3" t="inlineStr">
        <is>
          <t>AirCapacityReduced</t>
        </is>
      </c>
      <c r="B390" s="3" t="inlineStr">
        <is>
          <t>DEL_EO</t>
        </is>
      </c>
      <c r="C390" s="3" t="inlineStr">
        <is>
          <t>SIM-00105</t>
        </is>
      </c>
      <c r="D390" s="3" t="inlineStr">
        <is>
          <t>RO-03369</t>
        </is>
      </c>
      <c r="E390" s="3" t="n">
        <v>42.5</v>
      </c>
      <c r="F390" s="3" t="n">
        <v>5</v>
      </c>
      <c r="G390" s="3" t="n">
        <v>646</v>
      </c>
      <c r="H390" s="4">
        <f>G390/E390</f>
        <v/>
      </c>
      <c r="I390" s="3" t="n">
        <v>2.6</v>
      </c>
      <c r="J390" s="4">
        <f>(F390-Assumptions!$B$13)/(Assumptions!$C$13-Assumptions!$B$13)</f>
        <v/>
      </c>
      <c r="K390" s="4">
        <f>(H390-Assumptions!$B$14)/(Assumptions!$C$14-Assumptions!$B$14)</f>
        <v/>
      </c>
      <c r="L390" s="4">
        <f>(I390-Assumptions!$B$15)/(Assumptions!$C$15-Assumptions!$B$15)</f>
        <v/>
      </c>
      <c r="M390" s="4">
        <f>0.4*J390+0.4*K390+0.2*L390</f>
        <v/>
      </c>
    </row>
    <row r="391">
      <c r="A391" s="3" t="inlineStr">
        <is>
          <t>AirCapacityReduced</t>
        </is>
      </c>
      <c r="B391" s="3" t="inlineStr">
        <is>
          <t>DEL_CZ</t>
        </is>
      </c>
      <c r="C391" s="3" t="inlineStr">
        <is>
          <t>SIM-00109</t>
        </is>
      </c>
      <c r="D391" s="3" t="inlineStr">
        <is>
          <t>RO-01635</t>
        </is>
      </c>
      <c r="E391" s="3" t="n">
        <v>21</v>
      </c>
      <c r="F391" s="3" t="n">
        <v>10</v>
      </c>
      <c r="G391" s="3" t="n">
        <v>342</v>
      </c>
      <c r="H391" s="4">
        <f>G391/E391</f>
        <v/>
      </c>
      <c r="I391" s="3" t="n">
        <v>3.9</v>
      </c>
      <c r="J391" s="4">
        <f>(F391-Assumptions!$B$13)/(Assumptions!$C$13-Assumptions!$B$13)</f>
        <v/>
      </c>
      <c r="K391" s="4">
        <f>(H391-Assumptions!$B$14)/(Assumptions!$C$14-Assumptions!$B$14)</f>
        <v/>
      </c>
      <c r="L391" s="4">
        <f>(I391-Assumptions!$B$15)/(Assumptions!$C$15-Assumptions!$B$15)</f>
        <v/>
      </c>
      <c r="M391" s="4">
        <f>0.4*J391+0.4*K391+0.2*L391</f>
        <v/>
      </c>
    </row>
    <row r="392">
      <c r="A392" s="3" t="inlineStr">
        <is>
          <t>AirCapacityReduced</t>
        </is>
      </c>
      <c r="B392" s="3" t="inlineStr">
        <is>
          <t>DEL_HN</t>
        </is>
      </c>
      <c r="C392" s="3" t="inlineStr">
        <is>
          <t>SIM-00109</t>
        </is>
      </c>
      <c r="D392" s="3" t="inlineStr">
        <is>
          <t>RO-01635</t>
        </is>
      </c>
      <c r="E392" s="3" t="n">
        <v>27.5</v>
      </c>
      <c r="F392" s="3" t="n">
        <v>10</v>
      </c>
      <c r="G392" s="3" t="n">
        <v>342</v>
      </c>
      <c r="H392" s="4">
        <f>G392/E392</f>
        <v/>
      </c>
      <c r="I392" s="3" t="n">
        <v>3.9</v>
      </c>
      <c r="J392" s="4">
        <f>(F392-Assumptions!$B$13)/(Assumptions!$C$13-Assumptions!$B$13)</f>
        <v/>
      </c>
      <c r="K392" s="4">
        <f>(H392-Assumptions!$B$14)/(Assumptions!$C$14-Assumptions!$B$14)</f>
        <v/>
      </c>
      <c r="L392" s="4">
        <f>(I392-Assumptions!$B$15)/(Assumptions!$C$15-Assumptions!$B$15)</f>
        <v/>
      </c>
      <c r="M392" s="4">
        <f>0.4*J392+0.4*K392+0.2*L392</f>
        <v/>
      </c>
    </row>
    <row r="393">
      <c r="A393" s="3" t="inlineStr">
        <is>
          <t>AirCapacityReduced</t>
        </is>
      </c>
      <c r="B393" s="3" t="inlineStr">
        <is>
          <t>DEL_HK</t>
        </is>
      </c>
      <c r="C393" s="3" t="inlineStr">
        <is>
          <t>SIM-00109</t>
        </is>
      </c>
      <c r="D393" s="3" t="inlineStr">
        <is>
          <t>RO-01635</t>
        </is>
      </c>
      <c r="E393" s="3" t="n">
        <v>20.5</v>
      </c>
      <c r="F393" s="3" t="n">
        <v>10</v>
      </c>
      <c r="G393" s="3" t="n">
        <v>342</v>
      </c>
      <c r="H393" s="4">
        <f>G393/E393</f>
        <v/>
      </c>
      <c r="I393" s="3" t="n">
        <v>3.9</v>
      </c>
      <c r="J393" s="4">
        <f>(F393-Assumptions!$B$13)/(Assumptions!$C$13-Assumptions!$B$13)</f>
        <v/>
      </c>
      <c r="K393" s="4">
        <f>(H393-Assumptions!$B$14)/(Assumptions!$C$14-Assumptions!$B$14)</f>
        <v/>
      </c>
      <c r="L393" s="4">
        <f>(I393-Assumptions!$B$15)/(Assumptions!$C$15-Assumptions!$B$15)</f>
        <v/>
      </c>
      <c r="M393" s="4">
        <f>0.4*J393+0.4*K393+0.2*L393</f>
        <v/>
      </c>
    </row>
    <row r="394">
      <c r="A394" s="3" t="inlineStr">
        <is>
          <t>AirCapacityReduced</t>
        </is>
      </c>
      <c r="B394" s="3" t="inlineStr">
        <is>
          <t>DEL_FD</t>
        </is>
      </c>
      <c r="C394" s="3" t="inlineStr">
        <is>
          <t>SIM-00112</t>
        </is>
      </c>
      <c r="D394" s="3" t="inlineStr">
        <is>
          <t>RO-00828</t>
        </is>
      </c>
      <c r="E394" s="3" t="n">
        <v>230.5</v>
      </c>
      <c r="F394" s="3" t="n">
        <v>6</v>
      </c>
      <c r="G394" s="3" t="n">
        <v>350</v>
      </c>
      <c r="H394" s="4">
        <f>G394/E394</f>
        <v/>
      </c>
      <c r="I394" s="3" t="n">
        <v>2.5</v>
      </c>
      <c r="J394" s="4">
        <f>(F394-Assumptions!$B$13)/(Assumptions!$C$13-Assumptions!$B$13)</f>
        <v/>
      </c>
      <c r="K394" s="4">
        <f>(H394-Assumptions!$B$14)/(Assumptions!$C$14-Assumptions!$B$14)</f>
        <v/>
      </c>
      <c r="L394" s="4">
        <f>(I394-Assumptions!$B$15)/(Assumptions!$C$15-Assumptions!$B$15)</f>
        <v/>
      </c>
      <c r="M394" s="4">
        <f>0.4*J394+0.4*K394+0.2*L394</f>
        <v/>
      </c>
    </row>
    <row r="395">
      <c r="A395" s="3" t="inlineStr">
        <is>
          <t>AirCapacityReduced</t>
        </is>
      </c>
      <c r="B395" s="3" t="inlineStr">
        <is>
          <t>DEL_V</t>
        </is>
      </c>
      <c r="C395" s="3" t="inlineStr">
        <is>
          <t>SIM-00114</t>
        </is>
      </c>
      <c r="D395" s="3" t="inlineStr">
        <is>
          <t>RO-01701</t>
        </is>
      </c>
      <c r="E395" s="3" t="n">
        <v>2729</v>
      </c>
      <c r="F395" s="3" t="n">
        <v>3</v>
      </c>
      <c r="G395" s="3" t="n">
        <v>610</v>
      </c>
      <c r="H395" s="4">
        <f>G395/E395</f>
        <v/>
      </c>
      <c r="I395" s="3" t="n">
        <v>2.6</v>
      </c>
      <c r="J395" s="4">
        <f>(F395-Assumptions!$B$13)/(Assumptions!$C$13-Assumptions!$B$13)</f>
        <v/>
      </c>
      <c r="K395" s="4">
        <f>(H395-Assumptions!$B$14)/(Assumptions!$C$14-Assumptions!$B$14)</f>
        <v/>
      </c>
      <c r="L395" s="4">
        <f>(I395-Assumptions!$B$15)/(Assumptions!$C$15-Assumptions!$B$15)</f>
        <v/>
      </c>
      <c r="M395" s="4">
        <f>0.4*J395+0.4*K395+0.2*L395</f>
        <v/>
      </c>
    </row>
    <row r="396">
      <c r="A396" s="3" t="inlineStr">
        <is>
          <t>AirCapacityReduced</t>
        </is>
      </c>
      <c r="B396" s="3" t="inlineStr">
        <is>
          <t>DEL_GI</t>
        </is>
      </c>
      <c r="C396" s="3" t="inlineStr">
        <is>
          <t>SIM-00120</t>
        </is>
      </c>
      <c r="D396" s="3" t="inlineStr">
        <is>
          <t>RO-01800</t>
        </is>
      </c>
      <c r="E396" s="3" t="n">
        <v>7.5</v>
      </c>
      <c r="F396" s="3" t="n">
        <v>5</v>
      </c>
      <c r="G396" s="3" t="n">
        <v>350</v>
      </c>
      <c r="H396" s="4">
        <f>G396/E396</f>
        <v/>
      </c>
      <c r="I396" s="3" t="n">
        <v>2.5</v>
      </c>
      <c r="J396" s="4">
        <f>(F396-Assumptions!$B$13)/(Assumptions!$C$13-Assumptions!$B$13)</f>
        <v/>
      </c>
      <c r="K396" s="4">
        <f>(H396-Assumptions!$B$14)/(Assumptions!$C$14-Assumptions!$B$14)</f>
        <v/>
      </c>
      <c r="L396" s="4">
        <f>(I396-Assumptions!$B$15)/(Assumptions!$C$15-Assumptions!$B$15)</f>
        <v/>
      </c>
      <c r="M396" s="4">
        <f>0.4*J396+0.4*K396+0.2*L396</f>
        <v/>
      </c>
    </row>
    <row r="397">
      <c r="A397" s="3" t="inlineStr">
        <is>
          <t>AirCapacityReduced</t>
        </is>
      </c>
      <c r="B397" s="3" t="inlineStr">
        <is>
          <t>DEL_CJ</t>
        </is>
      </c>
      <c r="C397" s="3" t="inlineStr">
        <is>
          <t>SIM-00121</t>
        </is>
      </c>
      <c r="D397" s="3" t="inlineStr">
        <is>
          <t>RO-01803</t>
        </is>
      </c>
      <c r="E397" s="3" t="n">
        <v>5.5</v>
      </c>
      <c r="F397" s="3" t="n">
        <v>11</v>
      </c>
      <c r="G397" s="3" t="n">
        <v>306</v>
      </c>
      <c r="H397" s="4">
        <f>G397/E397</f>
        <v/>
      </c>
      <c r="I397" s="3" t="n">
        <v>3.9</v>
      </c>
      <c r="J397" s="4">
        <f>(F397-Assumptions!$B$13)/(Assumptions!$C$13-Assumptions!$B$13)</f>
        <v/>
      </c>
      <c r="K397" s="4">
        <f>(H397-Assumptions!$B$14)/(Assumptions!$C$14-Assumptions!$B$14)</f>
        <v/>
      </c>
      <c r="L397" s="4">
        <f>(I397-Assumptions!$B$15)/(Assumptions!$C$15-Assumptions!$B$15)</f>
        <v/>
      </c>
      <c r="M397" s="4">
        <f>0.4*J397+0.4*K397+0.2*L397</f>
        <v/>
      </c>
    </row>
    <row r="398">
      <c r="A398" s="3" t="inlineStr">
        <is>
          <t>AirCapacityReduced</t>
        </is>
      </c>
      <c r="B398" s="3" t="inlineStr">
        <is>
          <t>DEL_FF</t>
        </is>
      </c>
      <c r="C398" s="3" t="inlineStr">
        <is>
          <t>SIM-00121</t>
        </is>
      </c>
      <c r="D398" s="3" t="inlineStr">
        <is>
          <t>RO-01803</t>
        </is>
      </c>
      <c r="E398" s="3" t="n">
        <v>28</v>
      </c>
      <c r="F398" s="3" t="n">
        <v>11</v>
      </c>
      <c r="G398" s="3" t="n">
        <v>306</v>
      </c>
      <c r="H398" s="4">
        <f>G398/E398</f>
        <v/>
      </c>
      <c r="I398" s="3" t="n">
        <v>3.9</v>
      </c>
      <c r="J398" s="4">
        <f>(F398-Assumptions!$B$13)/(Assumptions!$C$13-Assumptions!$B$13)</f>
        <v/>
      </c>
      <c r="K398" s="4">
        <f>(H398-Assumptions!$B$14)/(Assumptions!$C$14-Assumptions!$B$14)</f>
        <v/>
      </c>
      <c r="L398" s="4">
        <f>(I398-Assumptions!$B$15)/(Assumptions!$C$15-Assumptions!$B$15)</f>
        <v/>
      </c>
      <c r="M398" s="4">
        <f>0.4*J398+0.4*K398+0.2*L398</f>
        <v/>
      </c>
    </row>
    <row r="399">
      <c r="A399" s="3" t="inlineStr">
        <is>
          <t>AirCapacityReduced</t>
        </is>
      </c>
      <c r="B399" s="3" t="inlineStr">
        <is>
          <t>DEL_CR</t>
        </is>
      </c>
      <c r="C399" s="3" t="inlineStr">
        <is>
          <t>SIM-00123</t>
        </is>
      </c>
      <c r="D399" s="3" t="inlineStr">
        <is>
          <t>RO-01836</t>
        </is>
      </c>
      <c r="E399" s="3" t="n">
        <v>389</v>
      </c>
      <c r="F399" s="3" t="n">
        <v>5</v>
      </c>
      <c r="G399" s="3" t="n">
        <v>350</v>
      </c>
      <c r="H399" s="4">
        <f>G399/E399</f>
        <v/>
      </c>
      <c r="I399" s="3" t="n">
        <v>2.5</v>
      </c>
      <c r="J399" s="4">
        <f>(F399-Assumptions!$B$13)/(Assumptions!$C$13-Assumptions!$B$13)</f>
        <v/>
      </c>
      <c r="K399" s="4">
        <f>(H399-Assumptions!$B$14)/(Assumptions!$C$14-Assumptions!$B$14)</f>
        <v/>
      </c>
      <c r="L399" s="4">
        <f>(I399-Assumptions!$B$15)/(Assumptions!$C$15-Assumptions!$B$15)</f>
        <v/>
      </c>
      <c r="M399" s="4">
        <f>0.4*J399+0.4*K399+0.2*L399</f>
        <v/>
      </c>
    </row>
    <row r="400">
      <c r="A400" s="3" t="inlineStr">
        <is>
          <t>AirCapacityReduced</t>
        </is>
      </c>
      <c r="B400" s="3" t="inlineStr">
        <is>
          <t>DEL_HF</t>
        </is>
      </c>
      <c r="C400" s="3" t="inlineStr">
        <is>
          <t>SIM-00124</t>
        </is>
      </c>
      <c r="D400" s="3" t="inlineStr">
        <is>
          <t>RO-02691</t>
        </is>
      </c>
      <c r="E400" s="3" t="n">
        <v>3.5</v>
      </c>
      <c r="F400" s="3" t="n">
        <v>10</v>
      </c>
      <c r="G400" s="3" t="n">
        <v>270</v>
      </c>
      <c r="H400" s="4">
        <f>G400/E400</f>
        <v/>
      </c>
      <c r="I400" s="3" t="n">
        <v>3.9</v>
      </c>
      <c r="J400" s="4">
        <f>(F400-Assumptions!$B$13)/(Assumptions!$C$13-Assumptions!$B$13)</f>
        <v/>
      </c>
      <c r="K400" s="4">
        <f>(H400-Assumptions!$B$14)/(Assumptions!$C$14-Assumptions!$B$14)</f>
        <v/>
      </c>
      <c r="L400" s="4">
        <f>(I400-Assumptions!$B$15)/(Assumptions!$C$15-Assumptions!$B$15)</f>
        <v/>
      </c>
      <c r="M400" s="4">
        <f>0.4*J400+0.4*K400+0.2*L400</f>
        <v/>
      </c>
    </row>
    <row r="401">
      <c r="A401" s="3" t="inlineStr">
        <is>
          <t>AirCapacityReduced</t>
        </is>
      </c>
      <c r="B401" s="3" t="inlineStr">
        <is>
          <t>DEL_BH</t>
        </is>
      </c>
      <c r="C401" s="3" t="inlineStr">
        <is>
          <t>SIM-00125</t>
        </is>
      </c>
      <c r="D401" s="3" t="inlineStr">
        <is>
          <t>RO-02469</t>
        </is>
      </c>
      <c r="E401" s="3" t="n">
        <v>4</v>
      </c>
      <c r="F401" s="3" t="n">
        <v>5</v>
      </c>
      <c r="G401" s="3" t="n">
        <v>646</v>
      </c>
      <c r="H401" s="4">
        <f>G401/E401</f>
        <v/>
      </c>
      <c r="I401" s="3" t="n">
        <v>2.6</v>
      </c>
      <c r="J401" s="4">
        <f>(F401-Assumptions!$B$13)/(Assumptions!$C$13-Assumptions!$B$13)</f>
        <v/>
      </c>
      <c r="K401" s="4">
        <f>(H401-Assumptions!$B$14)/(Assumptions!$C$14-Assumptions!$B$14)</f>
        <v/>
      </c>
      <c r="L401" s="4">
        <f>(I401-Assumptions!$B$15)/(Assumptions!$C$15-Assumptions!$B$15)</f>
        <v/>
      </c>
      <c r="M401" s="4">
        <f>0.4*J401+0.4*K401+0.2*L401</f>
        <v/>
      </c>
    </row>
    <row r="402">
      <c r="A402" s="3" t="inlineStr">
        <is>
          <t>AirCapacityReduced</t>
        </is>
      </c>
      <c r="B402" s="3" t="inlineStr">
        <is>
          <t>DEL_DV</t>
        </is>
      </c>
      <c r="C402" s="3" t="inlineStr">
        <is>
          <t>SIM-00126</t>
        </is>
      </c>
      <c r="D402" s="3" t="inlineStr">
        <is>
          <t>RO-01884</t>
        </is>
      </c>
      <c r="E402" s="3" t="n">
        <v>27</v>
      </c>
      <c r="F402" s="3" t="n">
        <v>7</v>
      </c>
      <c r="G402" s="3" t="n">
        <v>386</v>
      </c>
      <c r="H402" s="4">
        <f>G402/E402</f>
        <v/>
      </c>
      <c r="I402" s="3" t="n">
        <v>2.5</v>
      </c>
      <c r="J402" s="4">
        <f>(F402-Assumptions!$B$13)/(Assumptions!$C$13-Assumptions!$B$13)</f>
        <v/>
      </c>
      <c r="K402" s="4">
        <f>(H402-Assumptions!$B$14)/(Assumptions!$C$14-Assumptions!$B$14)</f>
        <v/>
      </c>
      <c r="L402" s="4">
        <f>(I402-Assumptions!$B$15)/(Assumptions!$C$15-Assumptions!$B$15)</f>
        <v/>
      </c>
      <c r="M402" s="4">
        <f>0.4*J402+0.4*K402+0.2*L402</f>
        <v/>
      </c>
    </row>
    <row r="403">
      <c r="A403" s="3" t="inlineStr">
        <is>
          <t>AirCapacityReduced</t>
        </is>
      </c>
      <c r="B403" s="3" t="inlineStr">
        <is>
          <t>DEL_DK</t>
        </is>
      </c>
      <c r="C403" s="3" t="inlineStr">
        <is>
          <t>SIM-00128</t>
        </is>
      </c>
      <c r="D403" s="3" t="inlineStr">
        <is>
          <t>RO-02637</t>
        </is>
      </c>
      <c r="E403" s="3" t="n">
        <v>1899.5</v>
      </c>
      <c r="F403" s="3" t="n">
        <v>3</v>
      </c>
      <c r="G403" s="3" t="n">
        <v>610</v>
      </c>
      <c r="H403" s="4">
        <f>G403/E403</f>
        <v/>
      </c>
      <c r="I403" s="3" t="n">
        <v>2.6</v>
      </c>
      <c r="J403" s="4">
        <f>(F403-Assumptions!$B$13)/(Assumptions!$C$13-Assumptions!$B$13)</f>
        <v/>
      </c>
      <c r="K403" s="4">
        <f>(H403-Assumptions!$B$14)/(Assumptions!$C$14-Assumptions!$B$14)</f>
        <v/>
      </c>
      <c r="L403" s="4">
        <f>(I403-Assumptions!$B$15)/(Assumptions!$C$15-Assumptions!$B$15)</f>
        <v/>
      </c>
      <c r="M403" s="4">
        <f>0.4*J403+0.4*K403+0.2*L403</f>
        <v/>
      </c>
    </row>
    <row r="404">
      <c r="A404" s="3" t="inlineStr">
        <is>
          <t>AirCapacityReduced</t>
        </is>
      </c>
      <c r="B404" s="3" t="inlineStr">
        <is>
          <t>DEL_AE</t>
        </is>
      </c>
      <c r="C404" s="3" t="inlineStr">
        <is>
          <t>SIM-00130</t>
        </is>
      </c>
      <c r="D404" s="3" t="inlineStr">
        <is>
          <t>RO-01950</t>
        </is>
      </c>
      <c r="E404" s="3" t="n">
        <v>56</v>
      </c>
      <c r="F404" s="3" t="n">
        <v>2</v>
      </c>
      <c r="G404" s="3" t="n">
        <v>842</v>
      </c>
      <c r="H404" s="4">
        <f>G404/E404</f>
        <v/>
      </c>
      <c r="I404" s="3" t="n">
        <v>1.7</v>
      </c>
      <c r="J404" s="4">
        <f>(F404-Assumptions!$B$13)/(Assumptions!$C$13-Assumptions!$B$13)</f>
        <v/>
      </c>
      <c r="K404" s="4">
        <f>(H404-Assumptions!$B$14)/(Assumptions!$C$14-Assumptions!$B$14)</f>
        <v/>
      </c>
      <c r="L404" s="4">
        <f>(I404-Assumptions!$B$15)/(Assumptions!$C$15-Assumptions!$B$15)</f>
        <v/>
      </c>
      <c r="M404" s="4">
        <f>0.4*J404+0.4*K404+0.2*L404</f>
        <v/>
      </c>
    </row>
    <row r="405">
      <c r="A405" s="3" t="inlineStr">
        <is>
          <t>AirCapacityReduced</t>
        </is>
      </c>
      <c r="B405" s="3" t="inlineStr">
        <is>
          <t>DEL_N</t>
        </is>
      </c>
      <c r="C405" s="3" t="inlineStr">
        <is>
          <t>SIM-00137</t>
        </is>
      </c>
      <c r="D405" s="3" t="inlineStr">
        <is>
          <t>RO-02052</t>
        </is>
      </c>
      <c r="E405" s="3" t="n">
        <v>61</v>
      </c>
      <c r="F405" s="3" t="n">
        <v>5</v>
      </c>
      <c r="G405" s="3" t="n">
        <v>350</v>
      </c>
      <c r="H405" s="4">
        <f>G405/E405</f>
        <v/>
      </c>
      <c r="I405" s="3" t="n">
        <v>2.5</v>
      </c>
      <c r="J405" s="4">
        <f>(F405-Assumptions!$B$13)/(Assumptions!$C$13-Assumptions!$B$13)</f>
        <v/>
      </c>
      <c r="K405" s="4">
        <f>(H405-Assumptions!$B$14)/(Assumptions!$C$14-Assumptions!$B$14)</f>
        <v/>
      </c>
      <c r="L405" s="4">
        <f>(I405-Assumptions!$B$15)/(Assumptions!$C$15-Assumptions!$B$15)</f>
        <v/>
      </c>
      <c r="M405" s="4">
        <f>0.4*J405+0.4*K405+0.2*L405</f>
        <v/>
      </c>
    </row>
    <row r="406">
      <c r="A406" s="3" t="inlineStr">
        <is>
          <t>AirCapacityReduced</t>
        </is>
      </c>
      <c r="B406" s="3" t="inlineStr">
        <is>
          <t>DEL_AN</t>
        </is>
      </c>
      <c r="C406" s="3" t="inlineStr">
        <is>
          <t>SIM-00137</t>
        </is>
      </c>
      <c r="D406" s="3" t="inlineStr">
        <is>
          <t>RO-02052</t>
        </is>
      </c>
      <c r="E406" s="3" t="n">
        <v>3438</v>
      </c>
      <c r="F406" s="3" t="n">
        <v>5</v>
      </c>
      <c r="G406" s="3" t="n">
        <v>350</v>
      </c>
      <c r="H406" s="4">
        <f>G406/E406</f>
        <v/>
      </c>
      <c r="I406" s="3" t="n">
        <v>2.5</v>
      </c>
      <c r="J406" s="4">
        <f>(F406-Assumptions!$B$13)/(Assumptions!$C$13-Assumptions!$B$13)</f>
        <v/>
      </c>
      <c r="K406" s="4">
        <f>(H406-Assumptions!$B$14)/(Assumptions!$C$14-Assumptions!$B$14)</f>
        <v/>
      </c>
      <c r="L406" s="4">
        <f>(I406-Assumptions!$B$15)/(Assumptions!$C$15-Assumptions!$B$15)</f>
        <v/>
      </c>
      <c r="M406" s="4">
        <f>0.4*J406+0.4*K406+0.2*L406</f>
        <v/>
      </c>
    </row>
    <row r="407">
      <c r="A407" s="3" t="inlineStr">
        <is>
          <t>AirCapacityReduced</t>
        </is>
      </c>
      <c r="B407" s="3" t="inlineStr">
        <is>
          <t>DEL_CK</t>
        </is>
      </c>
      <c r="C407" s="3" t="inlineStr">
        <is>
          <t>SIM-00137</t>
        </is>
      </c>
      <c r="D407" s="3" t="inlineStr">
        <is>
          <t>RO-02052</t>
        </is>
      </c>
      <c r="E407" s="3" t="n">
        <v>12.5</v>
      </c>
      <c r="F407" s="3" t="n">
        <v>5</v>
      </c>
      <c r="G407" s="3" t="n">
        <v>350</v>
      </c>
      <c r="H407" s="4">
        <f>G407/E407</f>
        <v/>
      </c>
      <c r="I407" s="3" t="n">
        <v>2.5</v>
      </c>
      <c r="J407" s="4">
        <f>(F407-Assumptions!$B$13)/(Assumptions!$C$13-Assumptions!$B$13)</f>
        <v/>
      </c>
      <c r="K407" s="4">
        <f>(H407-Assumptions!$B$14)/(Assumptions!$C$14-Assumptions!$B$14)</f>
        <v/>
      </c>
      <c r="L407" s="4">
        <f>(I407-Assumptions!$B$15)/(Assumptions!$C$15-Assumptions!$B$15)</f>
        <v/>
      </c>
      <c r="M407" s="4">
        <f>0.4*J407+0.4*K407+0.2*L407</f>
        <v/>
      </c>
    </row>
    <row r="408">
      <c r="A408" s="3" t="inlineStr">
        <is>
          <t>AirCapacityReduced</t>
        </is>
      </c>
      <c r="B408" s="3" t="inlineStr">
        <is>
          <t>DEL_CQ</t>
        </is>
      </c>
      <c r="C408" s="3" t="inlineStr">
        <is>
          <t>SIM-00137</t>
        </is>
      </c>
      <c r="D408" s="3" t="inlineStr">
        <is>
          <t>RO-02052</t>
        </is>
      </c>
      <c r="E408" s="3" t="n">
        <v>2400</v>
      </c>
      <c r="F408" s="3" t="n">
        <v>5</v>
      </c>
      <c r="G408" s="3" t="n">
        <v>350</v>
      </c>
      <c r="H408" s="4">
        <f>G408/E408</f>
        <v/>
      </c>
      <c r="I408" s="3" t="n">
        <v>2.5</v>
      </c>
      <c r="J408" s="4">
        <f>(F408-Assumptions!$B$13)/(Assumptions!$C$13-Assumptions!$B$13)</f>
        <v/>
      </c>
      <c r="K408" s="4">
        <f>(H408-Assumptions!$B$14)/(Assumptions!$C$14-Assumptions!$B$14)</f>
        <v/>
      </c>
      <c r="L408" s="4">
        <f>(I408-Assumptions!$B$15)/(Assumptions!$C$15-Assumptions!$B$15)</f>
        <v/>
      </c>
      <c r="M408" s="4">
        <f>0.4*J408+0.4*K408+0.2*L408</f>
        <v/>
      </c>
    </row>
    <row r="409">
      <c r="A409" s="3" t="inlineStr">
        <is>
          <t>AirCapacityReduced</t>
        </is>
      </c>
      <c r="B409" s="3" t="inlineStr">
        <is>
          <t>DEL_EW</t>
        </is>
      </c>
      <c r="C409" s="3" t="inlineStr">
        <is>
          <t>SIM-00137</t>
        </is>
      </c>
      <c r="D409" s="3" t="inlineStr">
        <is>
          <t>RO-02052</t>
        </is>
      </c>
      <c r="E409" s="3" t="n">
        <v>1133</v>
      </c>
      <c r="F409" s="3" t="n">
        <v>5</v>
      </c>
      <c r="G409" s="3" t="n">
        <v>350</v>
      </c>
      <c r="H409" s="4">
        <f>G409/E409</f>
        <v/>
      </c>
      <c r="I409" s="3" t="n">
        <v>2.5</v>
      </c>
      <c r="J409" s="4">
        <f>(F409-Assumptions!$B$13)/(Assumptions!$C$13-Assumptions!$B$13)</f>
        <v/>
      </c>
      <c r="K409" s="4">
        <f>(H409-Assumptions!$B$14)/(Assumptions!$C$14-Assumptions!$B$14)</f>
        <v/>
      </c>
      <c r="L409" s="4">
        <f>(I409-Assumptions!$B$15)/(Assumptions!$C$15-Assumptions!$B$15)</f>
        <v/>
      </c>
      <c r="M409" s="4">
        <f>0.4*J409+0.4*K409+0.2*L409</f>
        <v/>
      </c>
    </row>
    <row r="410">
      <c r="A410" s="3" t="inlineStr">
        <is>
          <t>AirCapacityReduced</t>
        </is>
      </c>
      <c r="B410" s="3" t="inlineStr">
        <is>
          <t>DEL_GA</t>
        </is>
      </c>
      <c r="C410" s="3" t="inlineStr">
        <is>
          <t>SIM-00140</t>
        </is>
      </c>
      <c r="D410" s="3" t="inlineStr">
        <is>
          <t>RO-02100</t>
        </is>
      </c>
      <c r="E410" s="3" t="n">
        <v>1611</v>
      </c>
      <c r="F410" s="3" t="n">
        <v>5</v>
      </c>
      <c r="G410" s="3" t="n">
        <v>386</v>
      </c>
      <c r="H410" s="4">
        <f>G410/E410</f>
        <v/>
      </c>
      <c r="I410" s="3" t="n">
        <v>2.5</v>
      </c>
      <c r="J410" s="4">
        <f>(F410-Assumptions!$B$13)/(Assumptions!$C$13-Assumptions!$B$13)</f>
        <v/>
      </c>
      <c r="K410" s="4">
        <f>(H410-Assumptions!$B$14)/(Assumptions!$C$14-Assumptions!$B$14)</f>
        <v/>
      </c>
      <c r="L410" s="4">
        <f>(I410-Assumptions!$B$15)/(Assumptions!$C$15-Assumptions!$B$15)</f>
        <v/>
      </c>
      <c r="M410" s="4">
        <f>0.4*J410+0.4*K410+0.2*L410</f>
        <v/>
      </c>
    </row>
    <row r="411">
      <c r="A411" s="3" t="inlineStr">
        <is>
          <t>AirCapacityReduced</t>
        </is>
      </c>
      <c r="B411" s="3" t="inlineStr">
        <is>
          <t>DEL_DA</t>
        </is>
      </c>
      <c r="C411" s="3" t="inlineStr">
        <is>
          <t>SIM-00144</t>
        </is>
      </c>
      <c r="D411" s="3" t="inlineStr">
        <is>
          <t>RO-02151</t>
        </is>
      </c>
      <c r="E411" s="3" t="n">
        <v>108.5</v>
      </c>
      <c r="F411" s="3" t="n">
        <v>10</v>
      </c>
      <c r="G411" s="3" t="n">
        <v>270</v>
      </c>
      <c r="H411" s="4">
        <f>G411/E411</f>
        <v/>
      </c>
      <c r="I411" s="3" t="n">
        <v>3.9</v>
      </c>
      <c r="J411" s="4">
        <f>(F411-Assumptions!$B$13)/(Assumptions!$C$13-Assumptions!$B$13)</f>
        <v/>
      </c>
      <c r="K411" s="4">
        <f>(H411-Assumptions!$B$14)/(Assumptions!$C$14-Assumptions!$B$14)</f>
        <v/>
      </c>
      <c r="L411" s="4">
        <f>(I411-Assumptions!$B$15)/(Assumptions!$C$15-Assumptions!$B$15)</f>
        <v/>
      </c>
      <c r="M411" s="4">
        <f>0.4*J411+0.4*K411+0.2*L411</f>
        <v/>
      </c>
    </row>
    <row r="412">
      <c r="A412" s="3" t="inlineStr">
        <is>
          <t>AirCapacityReduced</t>
        </is>
      </c>
      <c r="B412" s="3" t="inlineStr">
        <is>
          <t>DEL_GJ</t>
        </is>
      </c>
      <c r="C412" s="3" t="inlineStr">
        <is>
          <t>SIM-00145</t>
        </is>
      </c>
      <c r="D412" s="3" t="inlineStr">
        <is>
          <t>RO-02169</t>
        </is>
      </c>
      <c r="E412" s="3" t="n">
        <v>30.5</v>
      </c>
      <c r="F412" s="3" t="n">
        <v>5</v>
      </c>
      <c r="G412" s="3" t="n">
        <v>610</v>
      </c>
      <c r="H412" s="4">
        <f>G412/E412</f>
        <v/>
      </c>
      <c r="I412" s="3" t="n">
        <v>2.6</v>
      </c>
      <c r="J412" s="4">
        <f>(F412-Assumptions!$B$13)/(Assumptions!$C$13-Assumptions!$B$13)</f>
        <v/>
      </c>
      <c r="K412" s="4">
        <f>(H412-Assumptions!$B$14)/(Assumptions!$C$14-Assumptions!$B$14)</f>
        <v/>
      </c>
      <c r="L412" s="4">
        <f>(I412-Assumptions!$B$15)/(Assumptions!$C$15-Assumptions!$B$15)</f>
        <v/>
      </c>
      <c r="M412" s="4">
        <f>0.4*J412+0.4*K412+0.2*L412</f>
        <v/>
      </c>
    </row>
    <row r="413">
      <c r="A413" s="3" t="inlineStr">
        <is>
          <t>AirCapacityReduced</t>
        </is>
      </c>
      <c r="B413" s="3" t="inlineStr">
        <is>
          <t>DEL_HP</t>
        </is>
      </c>
      <c r="C413" s="3" t="inlineStr">
        <is>
          <t>SIM-00149</t>
        </is>
      </c>
      <c r="D413" s="3" t="inlineStr">
        <is>
          <t>RO-02835</t>
        </is>
      </c>
      <c r="E413" s="3" t="n">
        <v>2.5</v>
      </c>
      <c r="F413" s="3" t="n">
        <v>10</v>
      </c>
      <c r="G413" s="3" t="n">
        <v>270</v>
      </c>
      <c r="H413" s="4">
        <f>G413/E413</f>
        <v/>
      </c>
      <c r="I413" s="3" t="n">
        <v>3.9</v>
      </c>
      <c r="J413" s="4">
        <f>(F413-Assumptions!$B$13)/(Assumptions!$C$13-Assumptions!$B$13)</f>
        <v/>
      </c>
      <c r="K413" s="4">
        <f>(H413-Assumptions!$B$14)/(Assumptions!$C$14-Assumptions!$B$14)</f>
        <v/>
      </c>
      <c r="L413" s="4">
        <f>(I413-Assumptions!$B$15)/(Assumptions!$C$15-Assumptions!$B$15)</f>
        <v/>
      </c>
      <c r="M413" s="4">
        <f>0.4*J413+0.4*K413+0.2*L413</f>
        <v/>
      </c>
    </row>
    <row r="414">
      <c r="A414" s="3" t="inlineStr">
        <is>
          <t>AirCapacityReduced</t>
        </is>
      </c>
      <c r="B414" s="3" t="inlineStr">
        <is>
          <t>DEL_H</t>
        </is>
      </c>
      <c r="C414" s="3" t="inlineStr">
        <is>
          <t>SIM-00152</t>
        </is>
      </c>
      <c r="D414" s="3" t="inlineStr">
        <is>
          <t>RO-02268</t>
        </is>
      </c>
      <c r="E414" s="3" t="n">
        <v>140</v>
      </c>
      <c r="F414" s="3" t="n">
        <v>6</v>
      </c>
      <c r="G414" s="3" t="n">
        <v>350</v>
      </c>
      <c r="H414" s="4">
        <f>G414/E414</f>
        <v/>
      </c>
      <c r="I414" s="3" t="n">
        <v>2.5</v>
      </c>
      <c r="J414" s="4">
        <f>(F414-Assumptions!$B$13)/(Assumptions!$C$13-Assumptions!$B$13)</f>
        <v/>
      </c>
      <c r="K414" s="4">
        <f>(H414-Assumptions!$B$14)/(Assumptions!$C$14-Assumptions!$B$14)</f>
        <v/>
      </c>
      <c r="L414" s="4">
        <f>(I414-Assumptions!$B$15)/(Assumptions!$C$15-Assumptions!$B$15)</f>
        <v/>
      </c>
      <c r="M414" s="4">
        <f>0.4*J414+0.4*K414+0.2*L414</f>
        <v/>
      </c>
    </row>
    <row r="415">
      <c r="A415" s="3" t="inlineStr">
        <is>
          <t>AirCapacityReduced</t>
        </is>
      </c>
      <c r="B415" s="3" t="inlineStr">
        <is>
          <t>DEL_P</t>
        </is>
      </c>
      <c r="C415" s="3" t="inlineStr">
        <is>
          <t>SIM-00152</t>
        </is>
      </c>
      <c r="D415" s="3" t="inlineStr">
        <is>
          <t>RO-02268</t>
        </is>
      </c>
      <c r="E415" s="3" t="n">
        <v>11</v>
      </c>
      <c r="F415" s="3" t="n">
        <v>6</v>
      </c>
      <c r="G415" s="3" t="n">
        <v>350</v>
      </c>
      <c r="H415" s="4">
        <f>G415/E415</f>
        <v/>
      </c>
      <c r="I415" s="3" t="n">
        <v>2.5</v>
      </c>
      <c r="J415" s="4">
        <f>(F415-Assumptions!$B$13)/(Assumptions!$C$13-Assumptions!$B$13)</f>
        <v/>
      </c>
      <c r="K415" s="4">
        <f>(H415-Assumptions!$B$14)/(Assumptions!$C$14-Assumptions!$B$14)</f>
        <v/>
      </c>
      <c r="L415" s="4">
        <f>(I415-Assumptions!$B$15)/(Assumptions!$C$15-Assumptions!$B$15)</f>
        <v/>
      </c>
      <c r="M415" s="4">
        <f>0.4*J415+0.4*K415+0.2*L415</f>
        <v/>
      </c>
    </row>
    <row r="416">
      <c r="A416" s="3" t="inlineStr">
        <is>
          <t>AirCapacityReduced</t>
        </is>
      </c>
      <c r="B416" s="3" t="inlineStr">
        <is>
          <t>DEL_DF</t>
        </is>
      </c>
      <c r="C416" s="3" t="inlineStr">
        <is>
          <t>SIM-00152</t>
        </is>
      </c>
      <c r="D416" s="3" t="inlineStr">
        <is>
          <t>RO-02268</t>
        </is>
      </c>
      <c r="E416" s="3" t="n">
        <v>767.5</v>
      </c>
      <c r="F416" s="3" t="n">
        <v>6</v>
      </c>
      <c r="G416" s="3" t="n">
        <v>350</v>
      </c>
      <c r="H416" s="4">
        <f>G416/E416</f>
        <v/>
      </c>
      <c r="I416" s="3" t="n">
        <v>2.5</v>
      </c>
      <c r="J416" s="4">
        <f>(F416-Assumptions!$B$13)/(Assumptions!$C$13-Assumptions!$B$13)</f>
        <v/>
      </c>
      <c r="K416" s="4">
        <f>(H416-Assumptions!$B$14)/(Assumptions!$C$14-Assumptions!$B$14)</f>
        <v/>
      </c>
      <c r="L416" s="4">
        <f>(I416-Assumptions!$B$15)/(Assumptions!$C$15-Assumptions!$B$15)</f>
        <v/>
      </c>
      <c r="M416" s="4">
        <f>0.4*J416+0.4*K416+0.2*L416</f>
        <v/>
      </c>
    </row>
    <row r="417">
      <c r="A417" s="3" t="inlineStr">
        <is>
          <t>AirCapacityReduced</t>
        </is>
      </c>
      <c r="B417" s="3" t="inlineStr">
        <is>
          <t>DEL_DU</t>
        </is>
      </c>
      <c r="C417" s="3" t="inlineStr">
        <is>
          <t>SIM-00152</t>
        </is>
      </c>
      <c r="D417" s="3" t="inlineStr">
        <is>
          <t>RO-02268</t>
        </is>
      </c>
      <c r="E417" s="3" t="n">
        <v>1200</v>
      </c>
      <c r="F417" s="3" t="n">
        <v>6</v>
      </c>
      <c r="G417" s="3" t="n">
        <v>350</v>
      </c>
      <c r="H417" s="4">
        <f>G417/E417</f>
        <v/>
      </c>
      <c r="I417" s="3" t="n">
        <v>2.5</v>
      </c>
      <c r="J417" s="4">
        <f>(F417-Assumptions!$B$13)/(Assumptions!$C$13-Assumptions!$B$13)</f>
        <v/>
      </c>
      <c r="K417" s="4">
        <f>(H417-Assumptions!$B$14)/(Assumptions!$C$14-Assumptions!$B$14)</f>
        <v/>
      </c>
      <c r="L417" s="4">
        <f>(I417-Assumptions!$B$15)/(Assumptions!$C$15-Assumptions!$B$15)</f>
        <v/>
      </c>
      <c r="M417" s="4">
        <f>0.4*J417+0.4*K417+0.2*L417</f>
        <v/>
      </c>
    </row>
    <row r="418">
      <c r="A418" s="3" t="inlineStr">
        <is>
          <t>AirCapacityReduced</t>
        </is>
      </c>
      <c r="B418" s="3" t="inlineStr">
        <is>
          <t>DEL_GM</t>
        </is>
      </c>
      <c r="C418" s="3" t="inlineStr">
        <is>
          <t>SIM-00152</t>
        </is>
      </c>
      <c r="D418" s="3" t="inlineStr">
        <is>
          <t>RO-02268</t>
        </is>
      </c>
      <c r="E418" s="3" t="n">
        <v>91</v>
      </c>
      <c r="F418" s="3" t="n">
        <v>6</v>
      </c>
      <c r="G418" s="3" t="n">
        <v>350</v>
      </c>
      <c r="H418" s="4">
        <f>G418/E418</f>
        <v/>
      </c>
      <c r="I418" s="3" t="n">
        <v>2.5</v>
      </c>
      <c r="J418" s="4">
        <f>(F418-Assumptions!$B$13)/(Assumptions!$C$13-Assumptions!$B$13)</f>
        <v/>
      </c>
      <c r="K418" s="4">
        <f>(H418-Assumptions!$B$14)/(Assumptions!$C$14-Assumptions!$B$14)</f>
        <v/>
      </c>
      <c r="L418" s="4">
        <f>(I418-Assumptions!$B$15)/(Assumptions!$C$15-Assumptions!$B$15)</f>
        <v/>
      </c>
      <c r="M418" s="4">
        <f>0.4*J418+0.4*K418+0.2*L418</f>
        <v/>
      </c>
    </row>
    <row r="419">
      <c r="A419" s="3" t="inlineStr">
        <is>
          <t>AirCapacityReduced</t>
        </is>
      </c>
      <c r="B419" s="3" t="inlineStr">
        <is>
          <t>DEL_FV</t>
        </is>
      </c>
      <c r="C419" s="3" t="inlineStr">
        <is>
          <t>SIM-00154</t>
        </is>
      </c>
      <c r="D419" s="3" t="inlineStr">
        <is>
          <t>RO-02421</t>
        </is>
      </c>
      <c r="E419" s="3" t="n">
        <v>1611</v>
      </c>
      <c r="F419" s="3" t="n">
        <v>3</v>
      </c>
      <c r="G419" s="3" t="n">
        <v>610</v>
      </c>
      <c r="H419" s="4">
        <f>G419/E419</f>
        <v/>
      </c>
      <c r="I419" s="3" t="n">
        <v>2.6</v>
      </c>
      <c r="J419" s="4">
        <f>(F419-Assumptions!$B$13)/(Assumptions!$C$13-Assumptions!$B$13)</f>
        <v/>
      </c>
      <c r="K419" s="4">
        <f>(H419-Assumptions!$B$14)/(Assumptions!$C$14-Assumptions!$B$14)</f>
        <v/>
      </c>
      <c r="L419" s="4">
        <f>(I419-Assumptions!$B$15)/(Assumptions!$C$15-Assumptions!$B$15)</f>
        <v/>
      </c>
      <c r="M419" s="4">
        <f>0.4*J419+0.4*K419+0.2*L419</f>
        <v/>
      </c>
    </row>
    <row r="420">
      <c r="A420" s="3" t="inlineStr">
        <is>
          <t>AirCapacityReduced</t>
        </is>
      </c>
      <c r="B420" s="3" t="inlineStr">
        <is>
          <t>DEL_U</t>
        </is>
      </c>
      <c r="C420" s="3" t="inlineStr">
        <is>
          <t>SIM-00162</t>
        </is>
      </c>
      <c r="D420" s="3" t="inlineStr">
        <is>
          <t>RO-02898</t>
        </is>
      </c>
      <c r="E420" s="3" t="n">
        <v>497.5</v>
      </c>
      <c r="F420" s="3" t="n">
        <v>3</v>
      </c>
      <c r="G420" s="3" t="n">
        <v>770</v>
      </c>
      <c r="H420" s="4">
        <f>G420/E420</f>
        <v/>
      </c>
      <c r="I420" s="3" t="n">
        <v>1.7</v>
      </c>
      <c r="J420" s="4">
        <f>(F420-Assumptions!$B$13)/(Assumptions!$C$13-Assumptions!$B$13)</f>
        <v/>
      </c>
      <c r="K420" s="4">
        <f>(H420-Assumptions!$B$14)/(Assumptions!$C$14-Assumptions!$B$14)</f>
        <v/>
      </c>
      <c r="L420" s="4">
        <f>(I420-Assumptions!$B$15)/(Assumptions!$C$15-Assumptions!$B$15)</f>
        <v/>
      </c>
      <c r="M420" s="4">
        <f>0.4*J420+0.4*K420+0.2*L420</f>
        <v/>
      </c>
    </row>
    <row r="421">
      <c r="A421" s="3" t="inlineStr">
        <is>
          <t>AirCapacityReduced</t>
        </is>
      </c>
      <c r="B421" s="3" t="inlineStr">
        <is>
          <t>DEL_DE</t>
        </is>
      </c>
      <c r="C421" s="3" t="inlineStr">
        <is>
          <t>SIM-00165</t>
        </is>
      </c>
      <c r="D421" s="3" t="inlineStr">
        <is>
          <t>RO-02469</t>
        </is>
      </c>
      <c r="E421" s="3" t="n">
        <v>5</v>
      </c>
      <c r="F421" s="3" t="n">
        <v>5</v>
      </c>
      <c r="G421" s="3" t="n">
        <v>646</v>
      </c>
      <c r="H421" s="4">
        <f>G421/E421</f>
        <v/>
      </c>
      <c r="I421" s="3" t="n">
        <v>2.6</v>
      </c>
      <c r="J421" s="4">
        <f>(F421-Assumptions!$B$13)/(Assumptions!$C$13-Assumptions!$B$13)</f>
        <v/>
      </c>
      <c r="K421" s="4">
        <f>(H421-Assumptions!$B$14)/(Assumptions!$C$14-Assumptions!$B$14)</f>
        <v/>
      </c>
      <c r="L421" s="4">
        <f>(I421-Assumptions!$B$15)/(Assumptions!$C$15-Assumptions!$B$15)</f>
        <v/>
      </c>
      <c r="M421" s="4">
        <f>0.4*J421+0.4*K421+0.2*L421</f>
        <v/>
      </c>
    </row>
    <row r="422">
      <c r="A422" s="3" t="inlineStr">
        <is>
          <t>AirCapacityReduced</t>
        </is>
      </c>
      <c r="B422" s="3" t="inlineStr">
        <is>
          <t>DEL_GS</t>
        </is>
      </c>
      <c r="C422" s="3" t="inlineStr">
        <is>
          <t>SIM-00166</t>
        </is>
      </c>
      <c r="D422" s="3" t="inlineStr">
        <is>
          <t>RO-02964</t>
        </is>
      </c>
      <c r="E422" s="3" t="n">
        <v>4.5</v>
      </c>
      <c r="F422" s="3" t="n">
        <v>7</v>
      </c>
      <c r="G422" s="3" t="n">
        <v>386</v>
      </c>
      <c r="H422" s="4">
        <f>G422/E422</f>
        <v/>
      </c>
      <c r="I422" s="3" t="n">
        <v>2.5</v>
      </c>
      <c r="J422" s="4">
        <f>(F422-Assumptions!$B$13)/(Assumptions!$C$13-Assumptions!$B$13)</f>
        <v/>
      </c>
      <c r="K422" s="4">
        <f>(H422-Assumptions!$B$14)/(Assumptions!$C$14-Assumptions!$B$14)</f>
        <v/>
      </c>
      <c r="L422" s="4">
        <f>(I422-Assumptions!$B$15)/(Assumptions!$C$15-Assumptions!$B$15)</f>
        <v/>
      </c>
      <c r="M422" s="4">
        <f>0.4*J422+0.4*K422+0.2*L422</f>
        <v/>
      </c>
    </row>
    <row r="423">
      <c r="A423" s="3" t="inlineStr">
        <is>
          <t>AirCapacityReduced</t>
        </is>
      </c>
      <c r="B423" s="3" t="inlineStr">
        <is>
          <t>DEL_GD</t>
        </is>
      </c>
      <c r="C423" s="3" t="inlineStr">
        <is>
          <t>SIM-00168</t>
        </is>
      </c>
      <c r="D423" s="3" t="inlineStr">
        <is>
          <t>RO-02517</t>
        </is>
      </c>
      <c r="E423" s="3" t="n">
        <v>1020</v>
      </c>
      <c r="F423" s="3" t="n">
        <v>3</v>
      </c>
      <c r="G423" s="3" t="n">
        <v>682</v>
      </c>
      <c r="H423" s="4">
        <f>G423/E423</f>
        <v/>
      </c>
      <c r="I423" s="3" t="n">
        <v>2.6</v>
      </c>
      <c r="J423" s="4">
        <f>(F423-Assumptions!$B$13)/(Assumptions!$C$13-Assumptions!$B$13)</f>
        <v/>
      </c>
      <c r="K423" s="4">
        <f>(H423-Assumptions!$B$14)/(Assumptions!$C$14-Assumptions!$B$14)</f>
        <v/>
      </c>
      <c r="L423" s="4">
        <f>(I423-Assumptions!$B$15)/(Assumptions!$C$15-Assumptions!$B$15)</f>
        <v/>
      </c>
      <c r="M423" s="4">
        <f>0.4*J423+0.4*K423+0.2*L423</f>
        <v/>
      </c>
    </row>
    <row r="424">
      <c r="A424" s="3" t="inlineStr">
        <is>
          <t>AirCapacityReduced</t>
        </is>
      </c>
      <c r="B424" s="3" t="inlineStr">
        <is>
          <t>DEL_Y</t>
        </is>
      </c>
      <c r="C424" s="3" t="inlineStr">
        <is>
          <t>SIM-00170</t>
        </is>
      </c>
      <c r="D424" s="3" t="inlineStr">
        <is>
          <t>RO-01710</t>
        </is>
      </c>
      <c r="E424" s="3" t="n">
        <v>139</v>
      </c>
      <c r="F424" s="3" t="n">
        <v>2</v>
      </c>
      <c r="G424" s="3" t="n">
        <v>770</v>
      </c>
      <c r="H424" s="4">
        <f>G424/E424</f>
        <v/>
      </c>
      <c r="I424" s="3" t="n">
        <v>1.7</v>
      </c>
      <c r="J424" s="4">
        <f>(F424-Assumptions!$B$13)/(Assumptions!$C$13-Assumptions!$B$13)</f>
        <v/>
      </c>
      <c r="K424" s="4">
        <f>(H424-Assumptions!$B$14)/(Assumptions!$C$14-Assumptions!$B$14)</f>
        <v/>
      </c>
      <c r="L424" s="4">
        <f>(I424-Assumptions!$B$15)/(Assumptions!$C$15-Assumptions!$B$15)</f>
        <v/>
      </c>
      <c r="M424" s="4">
        <f>0.4*J424+0.4*K424+0.2*L424</f>
        <v/>
      </c>
    </row>
    <row r="425">
      <c r="A425" s="3" t="inlineStr">
        <is>
          <t>AirCapacityReduced</t>
        </is>
      </c>
      <c r="B425" s="3" t="inlineStr">
        <is>
          <t>DEL_DN</t>
        </is>
      </c>
      <c r="C425" s="3" t="inlineStr">
        <is>
          <t>SIM-00170</t>
        </is>
      </c>
      <c r="D425" s="3" t="inlineStr">
        <is>
          <t>RO-01710</t>
        </is>
      </c>
      <c r="E425" s="3" t="n">
        <v>342</v>
      </c>
      <c r="F425" s="3" t="n">
        <v>2</v>
      </c>
      <c r="G425" s="3" t="n">
        <v>770</v>
      </c>
      <c r="H425" s="4">
        <f>G425/E425</f>
        <v/>
      </c>
      <c r="I425" s="3" t="n">
        <v>1.7</v>
      </c>
      <c r="J425" s="4">
        <f>(F425-Assumptions!$B$13)/(Assumptions!$C$13-Assumptions!$B$13)</f>
        <v/>
      </c>
      <c r="K425" s="4">
        <f>(H425-Assumptions!$B$14)/(Assumptions!$C$14-Assumptions!$B$14)</f>
        <v/>
      </c>
      <c r="L425" s="4">
        <f>(I425-Assumptions!$B$15)/(Assumptions!$C$15-Assumptions!$B$15)</f>
        <v/>
      </c>
      <c r="M425" s="4">
        <f>0.4*J425+0.4*K425+0.2*L425</f>
        <v/>
      </c>
    </row>
    <row r="426">
      <c r="A426" s="3" t="inlineStr">
        <is>
          <t>AirCapacityReduced</t>
        </is>
      </c>
      <c r="B426" s="3" t="inlineStr">
        <is>
          <t>DEL_GQ</t>
        </is>
      </c>
      <c r="C426" s="3" t="inlineStr">
        <is>
          <t>SIM-00173</t>
        </is>
      </c>
      <c r="D426" s="3" t="inlineStr">
        <is>
          <t>RO-02586</t>
        </is>
      </c>
      <c r="E426" s="3" t="n">
        <v>13.5</v>
      </c>
      <c r="F426" s="3" t="n">
        <v>2</v>
      </c>
      <c r="G426" s="3" t="n">
        <v>806</v>
      </c>
      <c r="H426" s="4">
        <f>G426/E426</f>
        <v/>
      </c>
      <c r="I426" s="3" t="n">
        <v>1.7</v>
      </c>
      <c r="J426" s="4">
        <f>(F426-Assumptions!$B$13)/(Assumptions!$C$13-Assumptions!$B$13)</f>
        <v/>
      </c>
      <c r="K426" s="4">
        <f>(H426-Assumptions!$B$14)/(Assumptions!$C$14-Assumptions!$B$14)</f>
        <v/>
      </c>
      <c r="L426" s="4">
        <f>(I426-Assumptions!$B$15)/(Assumptions!$C$15-Assumptions!$B$15)</f>
        <v/>
      </c>
      <c r="M426" s="4">
        <f>0.4*J426+0.4*K426+0.2*L426</f>
        <v/>
      </c>
    </row>
    <row r="427">
      <c r="A427" s="3" t="inlineStr">
        <is>
          <t>AirCapacityReduced</t>
        </is>
      </c>
      <c r="B427" s="3" t="inlineStr">
        <is>
          <t>DEL_AT</t>
        </is>
      </c>
      <c r="C427" s="3" t="inlineStr">
        <is>
          <t>SIM-00174</t>
        </is>
      </c>
      <c r="D427" s="3" t="inlineStr">
        <is>
          <t>RO-02601</t>
        </is>
      </c>
      <c r="E427" s="3" t="n">
        <v>19.5</v>
      </c>
      <c r="F427" s="3" t="n">
        <v>3</v>
      </c>
      <c r="G427" s="3" t="n">
        <v>610</v>
      </c>
      <c r="H427" s="4">
        <f>G427/E427</f>
        <v/>
      </c>
      <c r="I427" s="3" t="n">
        <v>2.6</v>
      </c>
      <c r="J427" s="4">
        <f>(F427-Assumptions!$B$13)/(Assumptions!$C$13-Assumptions!$B$13)</f>
        <v/>
      </c>
      <c r="K427" s="4">
        <f>(H427-Assumptions!$B$14)/(Assumptions!$C$14-Assumptions!$B$14)</f>
        <v/>
      </c>
      <c r="L427" s="4">
        <f>(I427-Assumptions!$B$15)/(Assumptions!$C$15-Assumptions!$B$15)</f>
        <v/>
      </c>
      <c r="M427" s="4">
        <f>0.4*J427+0.4*K427+0.2*L427</f>
        <v/>
      </c>
    </row>
    <row r="428">
      <c r="A428" s="3" t="inlineStr">
        <is>
          <t>AirCapacityReduced</t>
        </is>
      </c>
      <c r="B428" s="3" t="inlineStr">
        <is>
          <t>DEL_BP</t>
        </is>
      </c>
      <c r="C428" s="3" t="inlineStr">
        <is>
          <t>SIM-00174</t>
        </is>
      </c>
      <c r="D428" s="3" t="inlineStr">
        <is>
          <t>RO-02601</t>
        </is>
      </c>
      <c r="E428" s="3" t="n">
        <v>4.5</v>
      </c>
      <c r="F428" s="3" t="n">
        <v>3</v>
      </c>
      <c r="G428" s="3" t="n">
        <v>610</v>
      </c>
      <c r="H428" s="4">
        <f>G428/E428</f>
        <v/>
      </c>
      <c r="I428" s="3" t="n">
        <v>2.6</v>
      </c>
      <c r="J428" s="4">
        <f>(F428-Assumptions!$B$13)/(Assumptions!$C$13-Assumptions!$B$13)</f>
        <v/>
      </c>
      <c r="K428" s="4">
        <f>(H428-Assumptions!$B$14)/(Assumptions!$C$14-Assumptions!$B$14)</f>
        <v/>
      </c>
      <c r="L428" s="4">
        <f>(I428-Assumptions!$B$15)/(Assumptions!$C$15-Assumptions!$B$15)</f>
        <v/>
      </c>
      <c r="M428" s="4">
        <f>0.4*J428+0.4*K428+0.2*L428</f>
        <v/>
      </c>
    </row>
    <row r="429">
      <c r="A429" s="3" t="inlineStr">
        <is>
          <t>AirCapacityReduced</t>
        </is>
      </c>
      <c r="B429" s="3" t="inlineStr">
        <is>
          <t>DEL_AI</t>
        </is>
      </c>
      <c r="C429" s="3" t="inlineStr">
        <is>
          <t>SIM-00176</t>
        </is>
      </c>
      <c r="D429" s="3" t="inlineStr">
        <is>
          <t>RO-02874</t>
        </is>
      </c>
      <c r="E429" s="3" t="n">
        <v>361</v>
      </c>
      <c r="F429" s="3" t="n">
        <v>4</v>
      </c>
      <c r="G429" s="3" t="n">
        <v>806</v>
      </c>
      <c r="H429" s="4">
        <f>G429/E429</f>
        <v/>
      </c>
      <c r="I429" s="3" t="n">
        <v>1.7</v>
      </c>
      <c r="J429" s="4">
        <f>(F429-Assumptions!$B$13)/(Assumptions!$C$13-Assumptions!$B$13)</f>
        <v/>
      </c>
      <c r="K429" s="4">
        <f>(H429-Assumptions!$B$14)/(Assumptions!$C$14-Assumptions!$B$14)</f>
        <v/>
      </c>
      <c r="L429" s="4">
        <f>(I429-Assumptions!$B$15)/(Assumptions!$C$15-Assumptions!$B$15)</f>
        <v/>
      </c>
      <c r="M429" s="4">
        <f>0.4*J429+0.4*K429+0.2*L429</f>
        <v/>
      </c>
    </row>
    <row r="430">
      <c r="A430" s="3" t="inlineStr">
        <is>
          <t>AirCapacityReduced</t>
        </is>
      </c>
      <c r="B430" s="3" t="inlineStr">
        <is>
          <t>DEL_GK</t>
        </is>
      </c>
      <c r="C430" s="3" t="inlineStr">
        <is>
          <t>SIM-00180</t>
        </is>
      </c>
      <c r="D430" s="3" t="inlineStr">
        <is>
          <t>RO-02580</t>
        </is>
      </c>
      <c r="E430" s="3" t="n">
        <v>1023</v>
      </c>
      <c r="F430" s="3" t="n">
        <v>5</v>
      </c>
      <c r="G430" s="3" t="n">
        <v>422</v>
      </c>
      <c r="H430" s="4">
        <f>G430/E430</f>
        <v/>
      </c>
      <c r="I430" s="3" t="n">
        <v>2.5</v>
      </c>
      <c r="J430" s="4">
        <f>(F430-Assumptions!$B$13)/(Assumptions!$C$13-Assumptions!$B$13)</f>
        <v/>
      </c>
      <c r="K430" s="4">
        <f>(H430-Assumptions!$B$14)/(Assumptions!$C$14-Assumptions!$B$14)</f>
        <v/>
      </c>
      <c r="L430" s="4">
        <f>(I430-Assumptions!$B$15)/(Assumptions!$C$15-Assumptions!$B$15)</f>
        <v/>
      </c>
      <c r="M430" s="4">
        <f>0.4*J430+0.4*K430+0.2*L430</f>
        <v/>
      </c>
    </row>
    <row r="431">
      <c r="A431" s="3" t="inlineStr">
        <is>
          <t>AirCapacityReduced</t>
        </is>
      </c>
      <c r="B431" s="3" t="inlineStr">
        <is>
          <t>DEL_S</t>
        </is>
      </c>
      <c r="C431" s="3" t="inlineStr">
        <is>
          <t>SIM-00183</t>
        </is>
      </c>
      <c r="D431" s="3" t="inlineStr">
        <is>
          <t>RO-02736</t>
        </is>
      </c>
      <c r="E431" s="3" t="n">
        <v>6.5</v>
      </c>
      <c r="F431" s="3" t="n">
        <v>5</v>
      </c>
      <c r="G431" s="3" t="n">
        <v>350</v>
      </c>
      <c r="H431" s="4">
        <f>G431/E431</f>
        <v/>
      </c>
      <c r="I431" s="3" t="n">
        <v>2.5</v>
      </c>
      <c r="J431" s="4">
        <f>(F431-Assumptions!$B$13)/(Assumptions!$C$13-Assumptions!$B$13)</f>
        <v/>
      </c>
      <c r="K431" s="4">
        <f>(H431-Assumptions!$B$14)/(Assumptions!$C$14-Assumptions!$B$14)</f>
        <v/>
      </c>
      <c r="L431" s="4">
        <f>(I431-Assumptions!$B$15)/(Assumptions!$C$15-Assumptions!$B$15)</f>
        <v/>
      </c>
      <c r="M431" s="4">
        <f>0.4*J431+0.4*K431+0.2*L431</f>
        <v/>
      </c>
    </row>
    <row r="432">
      <c r="A432" s="3" t="inlineStr">
        <is>
          <t>AirCapacityReduced</t>
        </is>
      </c>
      <c r="B432" s="3" t="inlineStr">
        <is>
          <t>DEL_EA</t>
        </is>
      </c>
      <c r="C432" s="3" t="inlineStr">
        <is>
          <t>SIM-00184</t>
        </is>
      </c>
      <c r="D432" s="3" t="inlineStr">
        <is>
          <t>RO-01071</t>
        </is>
      </c>
      <c r="E432" s="3" t="n">
        <v>254.5</v>
      </c>
      <c r="F432" s="3" t="n">
        <v>10</v>
      </c>
      <c r="G432" s="3" t="n">
        <v>270</v>
      </c>
      <c r="H432" s="4">
        <f>G432/E432</f>
        <v/>
      </c>
      <c r="I432" s="3" t="n">
        <v>3.9</v>
      </c>
      <c r="J432" s="4">
        <f>(F432-Assumptions!$B$13)/(Assumptions!$C$13-Assumptions!$B$13)</f>
        <v/>
      </c>
      <c r="K432" s="4">
        <f>(H432-Assumptions!$B$14)/(Assumptions!$C$14-Assumptions!$B$14)</f>
        <v/>
      </c>
      <c r="L432" s="4">
        <f>(I432-Assumptions!$B$15)/(Assumptions!$C$15-Assumptions!$B$15)</f>
        <v/>
      </c>
      <c r="M432" s="4">
        <f>0.4*J432+0.4*K432+0.2*L432</f>
        <v/>
      </c>
    </row>
    <row r="433">
      <c r="A433" s="3" t="inlineStr">
        <is>
          <t>AirCapacityReduced</t>
        </is>
      </c>
      <c r="B433" s="3" t="inlineStr">
        <is>
          <t>DEL_BW</t>
        </is>
      </c>
      <c r="C433" s="3" t="inlineStr">
        <is>
          <t>SIM-00185</t>
        </is>
      </c>
      <c r="D433" s="3" t="inlineStr">
        <is>
          <t>RO-02769</t>
        </is>
      </c>
      <c r="E433" s="3" t="n">
        <v>4.5</v>
      </c>
      <c r="F433" s="3" t="n">
        <v>5</v>
      </c>
      <c r="G433" s="3" t="n">
        <v>682</v>
      </c>
      <c r="H433" s="4">
        <f>G433/E433</f>
        <v/>
      </c>
      <c r="I433" s="3" t="n">
        <v>2.6</v>
      </c>
      <c r="J433" s="4">
        <f>(F433-Assumptions!$B$13)/(Assumptions!$C$13-Assumptions!$B$13)</f>
        <v/>
      </c>
      <c r="K433" s="4">
        <f>(H433-Assumptions!$B$14)/(Assumptions!$C$14-Assumptions!$B$14)</f>
        <v/>
      </c>
      <c r="L433" s="4">
        <f>(I433-Assumptions!$B$15)/(Assumptions!$C$15-Assumptions!$B$15)</f>
        <v/>
      </c>
      <c r="M433" s="4">
        <f>0.4*J433+0.4*K433+0.2*L433</f>
        <v/>
      </c>
    </row>
    <row r="434">
      <c r="A434" s="3" t="inlineStr">
        <is>
          <t>AirCapacityReduced</t>
        </is>
      </c>
      <c r="B434" s="3" t="inlineStr">
        <is>
          <t>DEL_EM</t>
        </is>
      </c>
      <c r="C434" s="3" t="inlineStr">
        <is>
          <t>SIM-00189</t>
        </is>
      </c>
      <c r="D434" s="3" t="inlineStr">
        <is>
          <t>RO-02835</t>
        </is>
      </c>
      <c r="E434" s="3" t="n">
        <v>154.5</v>
      </c>
      <c r="F434" s="3" t="n">
        <v>10</v>
      </c>
      <c r="G434" s="3" t="n">
        <v>270</v>
      </c>
      <c r="H434" s="4">
        <f>G434/E434</f>
        <v/>
      </c>
      <c r="I434" s="3" t="n">
        <v>3.9</v>
      </c>
      <c r="J434" s="4">
        <f>(F434-Assumptions!$B$13)/(Assumptions!$C$13-Assumptions!$B$13)</f>
        <v/>
      </c>
      <c r="K434" s="4">
        <f>(H434-Assumptions!$B$14)/(Assumptions!$C$14-Assumptions!$B$14)</f>
        <v/>
      </c>
      <c r="L434" s="4">
        <f>(I434-Assumptions!$B$15)/(Assumptions!$C$15-Assumptions!$B$15)</f>
        <v/>
      </c>
      <c r="M434" s="4">
        <f>0.4*J434+0.4*K434+0.2*L434</f>
        <v/>
      </c>
    </row>
    <row r="435">
      <c r="A435" s="3" t="inlineStr">
        <is>
          <t>AirCapacityReduced</t>
        </is>
      </c>
      <c r="B435" s="3" t="inlineStr">
        <is>
          <t>DEL_HC</t>
        </is>
      </c>
      <c r="C435" s="3" t="inlineStr">
        <is>
          <t>SIM-00192</t>
        </is>
      </c>
      <c r="D435" s="3" t="inlineStr">
        <is>
          <t>RO-02628</t>
        </is>
      </c>
      <c r="E435" s="3" t="n">
        <v>64.5</v>
      </c>
      <c r="F435" s="3" t="n">
        <v>6</v>
      </c>
      <c r="G435" s="3" t="n">
        <v>350</v>
      </c>
      <c r="H435" s="4">
        <f>G435/E435</f>
        <v/>
      </c>
      <c r="I435" s="3" t="n">
        <v>2.5</v>
      </c>
      <c r="J435" s="4">
        <f>(F435-Assumptions!$B$13)/(Assumptions!$C$13-Assumptions!$B$13)</f>
        <v/>
      </c>
      <c r="K435" s="4">
        <f>(H435-Assumptions!$B$14)/(Assumptions!$C$14-Assumptions!$B$14)</f>
        <v/>
      </c>
      <c r="L435" s="4">
        <f>(I435-Assumptions!$B$15)/(Assumptions!$C$15-Assumptions!$B$15)</f>
        <v/>
      </c>
      <c r="M435" s="4">
        <f>0.4*J435+0.4*K435+0.2*L435</f>
        <v/>
      </c>
    </row>
    <row r="436">
      <c r="A436" s="3" t="inlineStr">
        <is>
          <t>AirCapacityReduced</t>
        </is>
      </c>
      <c r="B436" s="3" t="inlineStr">
        <is>
          <t>DEL_FH</t>
        </is>
      </c>
      <c r="C436" s="3" t="inlineStr">
        <is>
          <t>SIM-00196</t>
        </is>
      </c>
      <c r="D436" s="3" t="inlineStr">
        <is>
          <t>RO-01614</t>
        </is>
      </c>
      <c r="E436" s="3" t="n">
        <v>4.5</v>
      </c>
      <c r="F436" s="3" t="n">
        <v>4</v>
      </c>
      <c r="G436" s="3" t="n">
        <v>806</v>
      </c>
      <c r="H436" s="4">
        <f>G436/E436</f>
        <v/>
      </c>
      <c r="I436" s="3" t="n">
        <v>1.7</v>
      </c>
      <c r="J436" s="4">
        <f>(F436-Assumptions!$B$13)/(Assumptions!$C$13-Assumptions!$B$13)</f>
        <v/>
      </c>
      <c r="K436" s="4">
        <f>(H436-Assumptions!$B$14)/(Assumptions!$C$14-Assumptions!$B$14)</f>
        <v/>
      </c>
      <c r="L436" s="4">
        <f>(I436-Assumptions!$B$15)/(Assumptions!$C$15-Assumptions!$B$15)</f>
        <v/>
      </c>
      <c r="M436" s="4">
        <f>0.4*J436+0.4*K436+0.2*L436</f>
        <v/>
      </c>
    </row>
    <row r="437">
      <c r="A437" s="3" t="inlineStr">
        <is>
          <t>AirCapacityReduced</t>
        </is>
      </c>
      <c r="B437" s="3" t="inlineStr">
        <is>
          <t>DEL_B</t>
        </is>
      </c>
      <c r="C437" s="3" t="inlineStr">
        <is>
          <t>SIM-00200</t>
        </is>
      </c>
      <c r="D437" s="3" t="inlineStr">
        <is>
          <t>RO-03000</t>
        </is>
      </c>
      <c r="E437" s="3" t="n">
        <v>335</v>
      </c>
      <c r="F437" s="3" t="n">
        <v>5</v>
      </c>
      <c r="G437" s="3" t="n">
        <v>386</v>
      </c>
      <c r="H437" s="4">
        <f>G437/E437</f>
        <v/>
      </c>
      <c r="I437" s="3" t="n">
        <v>2.5</v>
      </c>
      <c r="J437" s="4">
        <f>(F437-Assumptions!$B$13)/(Assumptions!$C$13-Assumptions!$B$13)</f>
        <v/>
      </c>
      <c r="K437" s="4">
        <f>(H437-Assumptions!$B$14)/(Assumptions!$C$14-Assumptions!$B$14)</f>
        <v/>
      </c>
      <c r="L437" s="4">
        <f>(I437-Assumptions!$B$15)/(Assumptions!$C$15-Assumptions!$B$15)</f>
        <v/>
      </c>
      <c r="M437" s="4">
        <f>0.4*J437+0.4*K437+0.2*L437</f>
        <v/>
      </c>
    </row>
    <row r="438">
      <c r="A438" s="3" t="inlineStr">
        <is>
          <t>AirCapacityReduced</t>
        </is>
      </c>
      <c r="B438" s="3" t="inlineStr">
        <is>
          <t>DEL_Q</t>
        </is>
      </c>
      <c r="C438" s="3" t="inlineStr">
        <is>
          <t>SIM-00205</t>
        </is>
      </c>
      <c r="D438" s="3" t="inlineStr">
        <is>
          <t>RO-03069</t>
        </is>
      </c>
      <c r="E438" s="3" t="n">
        <v>392</v>
      </c>
      <c r="F438" s="3" t="n">
        <v>5</v>
      </c>
      <c r="G438" s="3" t="n">
        <v>610</v>
      </c>
      <c r="H438" s="4">
        <f>G438/E438</f>
        <v/>
      </c>
      <c r="I438" s="3" t="n">
        <v>2.6</v>
      </c>
      <c r="J438" s="4">
        <f>(F438-Assumptions!$B$13)/(Assumptions!$C$13-Assumptions!$B$13)</f>
        <v/>
      </c>
      <c r="K438" s="4">
        <f>(H438-Assumptions!$B$14)/(Assumptions!$C$14-Assumptions!$B$14)</f>
        <v/>
      </c>
      <c r="L438" s="4">
        <f>(I438-Assumptions!$B$15)/(Assumptions!$C$15-Assumptions!$B$15)</f>
        <v/>
      </c>
      <c r="M438" s="4">
        <f>0.4*J438+0.4*K438+0.2*L438</f>
        <v/>
      </c>
    </row>
    <row r="439">
      <c r="A439" s="3" t="inlineStr">
        <is>
          <t>AirCapacityReduced</t>
        </is>
      </c>
      <c r="B439" s="3" t="inlineStr">
        <is>
          <t>DEL_DT</t>
        </is>
      </c>
      <c r="C439" s="3" t="inlineStr">
        <is>
          <t>SIM-00205</t>
        </is>
      </c>
      <c r="D439" s="3" t="inlineStr">
        <is>
          <t>RO-03069</t>
        </is>
      </c>
      <c r="E439" s="3" t="n">
        <v>951.5</v>
      </c>
      <c r="F439" s="3" t="n">
        <v>5</v>
      </c>
      <c r="G439" s="3" t="n">
        <v>610</v>
      </c>
      <c r="H439" s="4">
        <f>G439/E439</f>
        <v/>
      </c>
      <c r="I439" s="3" t="n">
        <v>2.6</v>
      </c>
      <c r="J439" s="4">
        <f>(F439-Assumptions!$B$13)/(Assumptions!$C$13-Assumptions!$B$13)</f>
        <v/>
      </c>
      <c r="K439" s="4">
        <f>(H439-Assumptions!$B$14)/(Assumptions!$C$14-Assumptions!$B$14)</f>
        <v/>
      </c>
      <c r="L439" s="4">
        <f>(I439-Assumptions!$B$15)/(Assumptions!$C$15-Assumptions!$B$15)</f>
        <v/>
      </c>
      <c r="M439" s="4">
        <f>0.4*J439+0.4*K439+0.2*L439</f>
        <v/>
      </c>
    </row>
    <row r="440">
      <c r="A440" s="3" t="inlineStr">
        <is>
          <t>AirCapacityReduced</t>
        </is>
      </c>
      <c r="B440" s="3" t="inlineStr">
        <is>
          <t>DEL_T</t>
        </is>
      </c>
      <c r="C440" s="3" t="inlineStr">
        <is>
          <t>SIM-00209</t>
        </is>
      </c>
      <c r="D440" s="3" t="inlineStr">
        <is>
          <t>RO-01935</t>
        </is>
      </c>
      <c r="E440" s="3" t="n">
        <v>236</v>
      </c>
      <c r="F440" s="3" t="n">
        <v>10</v>
      </c>
      <c r="G440" s="3" t="n">
        <v>270</v>
      </c>
      <c r="H440" s="4">
        <f>G440/E440</f>
        <v/>
      </c>
      <c r="I440" s="3" t="n">
        <v>3.9</v>
      </c>
      <c r="J440" s="4">
        <f>(F440-Assumptions!$B$13)/(Assumptions!$C$13-Assumptions!$B$13)</f>
        <v/>
      </c>
      <c r="K440" s="4">
        <f>(H440-Assumptions!$B$14)/(Assumptions!$C$14-Assumptions!$B$14)</f>
        <v/>
      </c>
      <c r="L440" s="4">
        <f>(I440-Assumptions!$B$15)/(Assumptions!$C$15-Assumptions!$B$15)</f>
        <v/>
      </c>
      <c r="M440" s="4">
        <f>0.4*J440+0.4*K440+0.2*L440</f>
        <v/>
      </c>
    </row>
    <row r="441">
      <c r="A441" s="3" t="inlineStr">
        <is>
          <t>AirCapacityReduced</t>
        </is>
      </c>
      <c r="B441" s="3" t="inlineStr">
        <is>
          <t>DEL_EC</t>
        </is>
      </c>
      <c r="C441" s="3" t="inlineStr">
        <is>
          <t>SIM-00212</t>
        </is>
      </c>
      <c r="D441" s="3" t="inlineStr">
        <is>
          <t>RO-03528</t>
        </is>
      </c>
      <c r="E441" s="3" t="n">
        <v>402.5</v>
      </c>
      <c r="F441" s="3" t="n">
        <v>6</v>
      </c>
      <c r="G441" s="3" t="n">
        <v>350</v>
      </c>
      <c r="H441" s="4">
        <f>G441/E441</f>
        <v/>
      </c>
      <c r="I441" s="3" t="n">
        <v>2.5</v>
      </c>
      <c r="J441" s="4">
        <f>(F441-Assumptions!$B$13)/(Assumptions!$C$13-Assumptions!$B$13)</f>
        <v/>
      </c>
      <c r="K441" s="4">
        <f>(H441-Assumptions!$B$14)/(Assumptions!$C$14-Assumptions!$B$14)</f>
        <v/>
      </c>
      <c r="L441" s="4">
        <f>(I441-Assumptions!$B$15)/(Assumptions!$C$15-Assumptions!$B$15)</f>
        <v/>
      </c>
      <c r="M441" s="4">
        <f>0.4*J441+0.4*K441+0.2*L441</f>
        <v/>
      </c>
    </row>
    <row r="442">
      <c r="A442" s="3" t="inlineStr">
        <is>
          <t>AirCapacityReduced</t>
        </is>
      </c>
      <c r="B442" s="3" t="inlineStr">
        <is>
          <t>DEL_W</t>
        </is>
      </c>
      <c r="C442" s="3" t="inlineStr">
        <is>
          <t>SIM-00217</t>
        </is>
      </c>
      <c r="D442" s="3" t="inlineStr">
        <is>
          <t>RO-03252</t>
        </is>
      </c>
      <c r="E442" s="3" t="n">
        <v>65</v>
      </c>
      <c r="F442" s="3" t="n">
        <v>5</v>
      </c>
      <c r="G442" s="3" t="n">
        <v>386</v>
      </c>
      <c r="H442" s="4">
        <f>G442/E442</f>
        <v/>
      </c>
      <c r="I442" s="3" t="n">
        <v>2.5</v>
      </c>
      <c r="J442" s="4">
        <f>(F442-Assumptions!$B$13)/(Assumptions!$C$13-Assumptions!$B$13)</f>
        <v/>
      </c>
      <c r="K442" s="4">
        <f>(H442-Assumptions!$B$14)/(Assumptions!$C$14-Assumptions!$B$14)</f>
        <v/>
      </c>
      <c r="L442" s="4">
        <f>(I442-Assumptions!$B$15)/(Assumptions!$C$15-Assumptions!$B$15)</f>
        <v/>
      </c>
      <c r="M442" s="4">
        <f>0.4*J442+0.4*K442+0.2*L442</f>
        <v/>
      </c>
    </row>
    <row r="443">
      <c r="A443" s="3" t="inlineStr">
        <is>
          <t>AirCapacityReduced</t>
        </is>
      </c>
      <c r="B443" s="3" t="inlineStr">
        <is>
          <t>DEL_AF</t>
        </is>
      </c>
      <c r="C443" s="3" t="inlineStr">
        <is>
          <t>SIM-00218</t>
        </is>
      </c>
      <c r="D443" s="3" t="inlineStr">
        <is>
          <t>RO-03267</t>
        </is>
      </c>
      <c r="E443" s="3" t="n">
        <v>663</v>
      </c>
      <c r="F443" s="3" t="n">
        <v>10</v>
      </c>
      <c r="G443" s="3" t="n">
        <v>270</v>
      </c>
      <c r="H443" s="4">
        <f>G443/E443</f>
        <v/>
      </c>
      <c r="I443" s="3" t="n">
        <v>3.9</v>
      </c>
      <c r="J443" s="4">
        <f>(F443-Assumptions!$B$13)/(Assumptions!$C$13-Assumptions!$B$13)</f>
        <v/>
      </c>
      <c r="K443" s="4">
        <f>(H443-Assumptions!$B$14)/(Assumptions!$C$14-Assumptions!$B$14)</f>
        <v/>
      </c>
      <c r="L443" s="4">
        <f>(I443-Assumptions!$B$15)/(Assumptions!$C$15-Assumptions!$B$15)</f>
        <v/>
      </c>
      <c r="M443" s="4">
        <f>0.4*J443+0.4*K443+0.2*L443</f>
        <v/>
      </c>
    </row>
    <row r="444">
      <c r="A444" s="3" t="inlineStr">
        <is>
          <t>AirCapacityReduced</t>
        </is>
      </c>
      <c r="B444" s="3" t="inlineStr">
        <is>
          <t>DEL_EH</t>
        </is>
      </c>
      <c r="C444" s="3" t="inlineStr">
        <is>
          <t>SIM-00219</t>
        </is>
      </c>
      <c r="D444" s="3" t="inlineStr">
        <is>
          <t>RO-03285</t>
        </is>
      </c>
      <c r="E444" s="3" t="n">
        <v>4.5</v>
      </c>
      <c r="F444" s="3" t="n">
        <v>3</v>
      </c>
      <c r="G444" s="3" t="n">
        <v>610</v>
      </c>
      <c r="H444" s="4">
        <f>G444/E444</f>
        <v/>
      </c>
      <c r="I444" s="3" t="n">
        <v>2.6</v>
      </c>
      <c r="J444" s="4">
        <f>(F444-Assumptions!$B$13)/(Assumptions!$C$13-Assumptions!$B$13)</f>
        <v/>
      </c>
      <c r="K444" s="4">
        <f>(H444-Assumptions!$B$14)/(Assumptions!$C$14-Assumptions!$B$14)</f>
        <v/>
      </c>
      <c r="L444" s="4">
        <f>(I444-Assumptions!$B$15)/(Assumptions!$C$15-Assumptions!$B$15)</f>
        <v/>
      </c>
      <c r="M444" s="4">
        <f>0.4*J444+0.4*K444+0.2*L444</f>
        <v/>
      </c>
    </row>
    <row r="445">
      <c r="A445" s="3" t="inlineStr">
        <is>
          <t>AirCapacityReduced</t>
        </is>
      </c>
      <c r="B445" s="3" t="inlineStr">
        <is>
          <t>DEL_AG</t>
        </is>
      </c>
      <c r="C445" s="3" t="inlineStr">
        <is>
          <t>SIM-00222</t>
        </is>
      </c>
      <c r="D445" s="3" t="inlineStr">
        <is>
          <t>RO-03438</t>
        </is>
      </c>
      <c r="E445" s="3" t="n">
        <v>29.5</v>
      </c>
      <c r="F445" s="3" t="n">
        <v>3</v>
      </c>
      <c r="G445" s="3" t="n">
        <v>770</v>
      </c>
      <c r="H445" s="4">
        <f>G445/E445</f>
        <v/>
      </c>
      <c r="I445" s="3" t="n">
        <v>1.7</v>
      </c>
      <c r="J445" s="4">
        <f>(F445-Assumptions!$B$13)/(Assumptions!$C$13-Assumptions!$B$13)</f>
        <v/>
      </c>
      <c r="K445" s="4">
        <f>(H445-Assumptions!$B$14)/(Assumptions!$C$14-Assumptions!$B$14)</f>
        <v/>
      </c>
      <c r="L445" s="4">
        <f>(I445-Assumptions!$B$15)/(Assumptions!$C$15-Assumptions!$B$15)</f>
        <v/>
      </c>
      <c r="M445" s="4">
        <f>0.4*J445+0.4*K445+0.2*L445</f>
        <v/>
      </c>
    </row>
    <row r="446">
      <c r="A446" s="3" t="inlineStr">
        <is>
          <t>AirCapacityReduced</t>
        </is>
      </c>
      <c r="B446" s="3" t="inlineStr">
        <is>
          <t>DEL_BY</t>
        </is>
      </c>
      <c r="C446" s="3" t="inlineStr">
        <is>
          <t>SIM-00222</t>
        </is>
      </c>
      <c r="D446" s="3" t="inlineStr">
        <is>
          <t>RO-03438</t>
        </is>
      </c>
      <c r="E446" s="3" t="n">
        <v>19.5</v>
      </c>
      <c r="F446" s="3" t="n">
        <v>3</v>
      </c>
      <c r="G446" s="3" t="n">
        <v>770</v>
      </c>
      <c r="H446" s="4">
        <f>G446/E446</f>
        <v/>
      </c>
      <c r="I446" s="3" t="n">
        <v>1.7</v>
      </c>
      <c r="J446" s="4">
        <f>(F446-Assumptions!$B$13)/(Assumptions!$C$13-Assumptions!$B$13)</f>
        <v/>
      </c>
      <c r="K446" s="4">
        <f>(H446-Assumptions!$B$14)/(Assumptions!$C$14-Assumptions!$B$14)</f>
        <v/>
      </c>
      <c r="L446" s="4">
        <f>(I446-Assumptions!$B$15)/(Assumptions!$C$15-Assumptions!$B$15)</f>
        <v/>
      </c>
      <c r="M446" s="4">
        <f>0.4*J446+0.4*K446+0.2*L446</f>
        <v/>
      </c>
    </row>
    <row r="447">
      <c r="A447" s="3" t="inlineStr">
        <is>
          <t>AirCapacityReduced</t>
        </is>
      </c>
      <c r="B447" s="3" t="inlineStr">
        <is>
          <t>DEL_FR</t>
        </is>
      </c>
      <c r="C447" s="3" t="inlineStr">
        <is>
          <t>SIM-00222</t>
        </is>
      </c>
      <c r="D447" s="3" t="inlineStr">
        <is>
          <t>RO-03438</t>
        </is>
      </c>
      <c r="E447" s="3" t="n">
        <v>4</v>
      </c>
      <c r="F447" s="3" t="n">
        <v>3</v>
      </c>
      <c r="G447" s="3" t="n">
        <v>770</v>
      </c>
      <c r="H447" s="4">
        <f>G447/E447</f>
        <v/>
      </c>
      <c r="I447" s="3" t="n">
        <v>1.7</v>
      </c>
      <c r="J447" s="4">
        <f>(F447-Assumptions!$B$13)/(Assumptions!$C$13-Assumptions!$B$13)</f>
        <v/>
      </c>
      <c r="K447" s="4">
        <f>(H447-Assumptions!$B$14)/(Assumptions!$C$14-Assumptions!$B$14)</f>
        <v/>
      </c>
      <c r="L447" s="4">
        <f>(I447-Assumptions!$B$15)/(Assumptions!$C$15-Assumptions!$B$15)</f>
        <v/>
      </c>
      <c r="M447" s="4">
        <f>0.4*J447+0.4*K447+0.2*L447</f>
        <v/>
      </c>
    </row>
    <row r="448">
      <c r="A448" s="3" t="inlineStr">
        <is>
          <t>AirCapacityReduced</t>
        </is>
      </c>
      <c r="B448" s="3" t="inlineStr">
        <is>
          <t>DEL_GZ</t>
        </is>
      </c>
      <c r="C448" s="3" t="inlineStr">
        <is>
          <t>SIM-00222</t>
        </is>
      </c>
      <c r="D448" s="3" t="inlineStr">
        <is>
          <t>RO-03438</t>
        </is>
      </c>
      <c r="E448" s="3" t="n">
        <v>6</v>
      </c>
      <c r="F448" s="3" t="n">
        <v>3</v>
      </c>
      <c r="G448" s="3" t="n">
        <v>770</v>
      </c>
      <c r="H448" s="4">
        <f>G448/E448</f>
        <v/>
      </c>
      <c r="I448" s="3" t="n">
        <v>1.7</v>
      </c>
      <c r="J448" s="4">
        <f>(F448-Assumptions!$B$13)/(Assumptions!$C$13-Assumptions!$B$13)</f>
        <v/>
      </c>
      <c r="K448" s="4">
        <f>(H448-Assumptions!$B$14)/(Assumptions!$C$14-Assumptions!$B$14)</f>
        <v/>
      </c>
      <c r="L448" s="4">
        <f>(I448-Assumptions!$B$15)/(Assumptions!$C$15-Assumptions!$B$15)</f>
        <v/>
      </c>
      <c r="M448" s="4">
        <f>0.4*J448+0.4*K448+0.2*L448</f>
        <v/>
      </c>
    </row>
    <row r="449">
      <c r="A449" s="3" t="inlineStr">
        <is>
          <t>AirCapacityReduced</t>
        </is>
      </c>
      <c r="B449" s="3" t="inlineStr">
        <is>
          <t>DEL_GX</t>
        </is>
      </c>
      <c r="C449" s="3" t="inlineStr">
        <is>
          <t>SIM-00222</t>
        </is>
      </c>
      <c r="D449" s="3" t="inlineStr">
        <is>
          <t>RO-03438</t>
        </is>
      </c>
      <c r="E449" s="3" t="n">
        <v>29.5</v>
      </c>
      <c r="F449" s="3" t="n">
        <v>3</v>
      </c>
      <c r="G449" s="3" t="n">
        <v>770</v>
      </c>
      <c r="H449" s="4">
        <f>G449/E449</f>
        <v/>
      </c>
      <c r="I449" s="3" t="n">
        <v>1.7</v>
      </c>
      <c r="J449" s="4">
        <f>(F449-Assumptions!$B$13)/(Assumptions!$C$13-Assumptions!$B$13)</f>
        <v/>
      </c>
      <c r="K449" s="4">
        <f>(H449-Assumptions!$B$14)/(Assumptions!$C$14-Assumptions!$B$14)</f>
        <v/>
      </c>
      <c r="L449" s="4">
        <f>(I449-Assumptions!$B$15)/(Assumptions!$C$15-Assumptions!$B$15)</f>
        <v/>
      </c>
      <c r="M449" s="4">
        <f>0.4*J449+0.4*K449+0.2*L449</f>
        <v/>
      </c>
    </row>
    <row r="450">
      <c r="A450" s="3" t="inlineStr">
        <is>
          <t>AirCapacityReduced</t>
        </is>
      </c>
      <c r="B450" s="3" t="inlineStr">
        <is>
          <t>DEL_GV</t>
        </is>
      </c>
      <c r="C450" s="3" t="inlineStr">
        <is>
          <t>SIM-00222</t>
        </is>
      </c>
      <c r="D450" s="3" t="inlineStr">
        <is>
          <t>RO-03438</t>
        </is>
      </c>
      <c r="E450" s="3" t="n">
        <v>411</v>
      </c>
      <c r="F450" s="3" t="n">
        <v>3</v>
      </c>
      <c r="G450" s="3" t="n">
        <v>770</v>
      </c>
      <c r="H450" s="4">
        <f>G450/E450</f>
        <v/>
      </c>
      <c r="I450" s="3" t="n">
        <v>1.7</v>
      </c>
      <c r="J450" s="4">
        <f>(F450-Assumptions!$B$13)/(Assumptions!$C$13-Assumptions!$B$13)</f>
        <v/>
      </c>
      <c r="K450" s="4">
        <f>(H450-Assumptions!$B$14)/(Assumptions!$C$14-Assumptions!$B$14)</f>
        <v/>
      </c>
      <c r="L450" s="4">
        <f>(I450-Assumptions!$B$15)/(Assumptions!$C$15-Assumptions!$B$15)</f>
        <v/>
      </c>
      <c r="M450" s="4">
        <f>0.4*J450+0.4*K450+0.2*L450</f>
        <v/>
      </c>
    </row>
    <row r="451">
      <c r="A451" s="3" t="inlineStr">
        <is>
          <t>AirCapacityReduced</t>
        </is>
      </c>
      <c r="B451" s="3" t="inlineStr">
        <is>
          <t>DEL_X</t>
        </is>
      </c>
      <c r="C451" s="3" t="inlineStr">
        <is>
          <t>SIM-00230</t>
        </is>
      </c>
      <c r="D451" s="3" t="inlineStr">
        <is>
          <t>RO-03330</t>
        </is>
      </c>
      <c r="E451" s="3" t="n">
        <v>6.5</v>
      </c>
      <c r="F451" s="3" t="n">
        <v>2</v>
      </c>
      <c r="G451" s="3" t="n">
        <v>770</v>
      </c>
      <c r="H451" s="4">
        <f>G451/E451</f>
        <v/>
      </c>
      <c r="I451" s="3" t="n">
        <v>1.7</v>
      </c>
      <c r="J451" s="4">
        <f>(F451-Assumptions!$B$13)/(Assumptions!$C$13-Assumptions!$B$13)</f>
        <v/>
      </c>
      <c r="K451" s="4">
        <f>(H451-Assumptions!$B$14)/(Assumptions!$C$14-Assumptions!$B$14)</f>
        <v/>
      </c>
      <c r="L451" s="4">
        <f>(I451-Assumptions!$B$15)/(Assumptions!$C$15-Assumptions!$B$15)</f>
        <v/>
      </c>
      <c r="M451" s="4">
        <f>0.4*J451+0.4*K451+0.2*L451</f>
        <v/>
      </c>
    </row>
    <row r="452">
      <c r="A452" s="3" t="inlineStr">
        <is>
          <t>AirCapacityReduced</t>
        </is>
      </c>
      <c r="B452" s="3" t="inlineStr">
        <is>
          <t>DEL_CL</t>
        </is>
      </c>
      <c r="C452" s="3" t="inlineStr">
        <is>
          <t>SIM-00230</t>
        </is>
      </c>
      <c r="D452" s="3" t="inlineStr">
        <is>
          <t>RO-03330</t>
        </is>
      </c>
      <c r="E452" s="3" t="n">
        <v>27.5</v>
      </c>
      <c r="F452" s="3" t="n">
        <v>2</v>
      </c>
      <c r="G452" s="3" t="n">
        <v>770</v>
      </c>
      <c r="H452" s="4">
        <f>G452/E452</f>
        <v/>
      </c>
      <c r="I452" s="3" t="n">
        <v>1.7</v>
      </c>
      <c r="J452" s="4">
        <f>(F452-Assumptions!$B$13)/(Assumptions!$C$13-Assumptions!$B$13)</f>
        <v/>
      </c>
      <c r="K452" s="4">
        <f>(H452-Assumptions!$B$14)/(Assumptions!$C$14-Assumptions!$B$14)</f>
        <v/>
      </c>
      <c r="L452" s="4">
        <f>(I452-Assumptions!$B$15)/(Assumptions!$C$15-Assumptions!$B$15)</f>
        <v/>
      </c>
      <c r="M452" s="4">
        <f>0.4*J452+0.4*K452+0.2*L452</f>
        <v/>
      </c>
    </row>
    <row r="453">
      <c r="A453" s="3" t="inlineStr">
        <is>
          <t>AirCapacityReduced</t>
        </is>
      </c>
      <c r="B453" s="3" t="inlineStr">
        <is>
          <t>DEL_DM</t>
        </is>
      </c>
      <c r="C453" s="3" t="inlineStr">
        <is>
          <t>SIM-00230</t>
        </is>
      </c>
      <c r="D453" s="3" t="inlineStr">
        <is>
          <t>RO-03330</t>
        </is>
      </c>
      <c r="E453" s="3" t="n">
        <v>8</v>
      </c>
      <c r="F453" s="3" t="n">
        <v>2</v>
      </c>
      <c r="G453" s="3" t="n">
        <v>770</v>
      </c>
      <c r="H453" s="4">
        <f>G453/E453</f>
        <v/>
      </c>
      <c r="I453" s="3" t="n">
        <v>1.7</v>
      </c>
      <c r="J453" s="4">
        <f>(F453-Assumptions!$B$13)/(Assumptions!$C$13-Assumptions!$B$13)</f>
        <v/>
      </c>
      <c r="K453" s="4">
        <f>(H453-Assumptions!$B$14)/(Assumptions!$C$14-Assumptions!$B$14)</f>
        <v/>
      </c>
      <c r="L453" s="4">
        <f>(I453-Assumptions!$B$15)/(Assumptions!$C$15-Assumptions!$B$15)</f>
        <v/>
      </c>
      <c r="M453" s="4">
        <f>0.4*J453+0.4*K453+0.2*L453</f>
        <v/>
      </c>
    </row>
    <row r="454">
      <c r="A454" s="3" t="inlineStr">
        <is>
          <t>AirCapacityReduced</t>
        </is>
      </c>
      <c r="B454" s="3" t="inlineStr">
        <is>
          <t>DEL_HQ</t>
        </is>
      </c>
      <c r="C454" s="3" t="inlineStr">
        <is>
          <t>SIM-00230</t>
        </is>
      </c>
      <c r="D454" s="3" t="inlineStr">
        <is>
          <t>RO-03330</t>
        </is>
      </c>
      <c r="E454" s="3" t="n">
        <v>5</v>
      </c>
      <c r="F454" s="3" t="n">
        <v>2</v>
      </c>
      <c r="G454" s="3" t="n">
        <v>770</v>
      </c>
      <c r="H454" s="4">
        <f>G454/E454</f>
        <v/>
      </c>
      <c r="I454" s="3" t="n">
        <v>1.7</v>
      </c>
      <c r="J454" s="4">
        <f>(F454-Assumptions!$B$13)/(Assumptions!$C$13-Assumptions!$B$13)</f>
        <v/>
      </c>
      <c r="K454" s="4">
        <f>(H454-Assumptions!$B$14)/(Assumptions!$C$14-Assumptions!$B$14)</f>
        <v/>
      </c>
      <c r="L454" s="4">
        <f>(I454-Assumptions!$B$15)/(Assumptions!$C$15-Assumptions!$B$15)</f>
        <v/>
      </c>
      <c r="M454" s="4">
        <f>0.4*J454+0.4*K454+0.2*L454</f>
        <v/>
      </c>
    </row>
    <row r="455">
      <c r="A455" s="3" t="inlineStr">
        <is>
          <t>AirCapacityReduced</t>
        </is>
      </c>
      <c r="B455" s="3" t="inlineStr">
        <is>
          <t>DEL_GT</t>
        </is>
      </c>
      <c r="C455" s="3" t="inlineStr">
        <is>
          <t>SIM-00230</t>
        </is>
      </c>
      <c r="D455" s="3" t="inlineStr">
        <is>
          <t>RO-03330</t>
        </is>
      </c>
      <c r="E455" s="3" t="n">
        <v>1</v>
      </c>
      <c r="F455" s="3" t="n">
        <v>2</v>
      </c>
      <c r="G455" s="3" t="n">
        <v>770</v>
      </c>
      <c r="H455" s="4">
        <f>G455/E455</f>
        <v/>
      </c>
      <c r="I455" s="3" t="n">
        <v>1.7</v>
      </c>
      <c r="J455" s="4">
        <f>(F455-Assumptions!$B$13)/(Assumptions!$C$13-Assumptions!$B$13)</f>
        <v/>
      </c>
      <c r="K455" s="4">
        <f>(H455-Assumptions!$B$14)/(Assumptions!$C$14-Assumptions!$B$14)</f>
        <v/>
      </c>
      <c r="L455" s="4">
        <f>(I455-Assumptions!$B$15)/(Assumptions!$C$15-Assumptions!$B$15)</f>
        <v/>
      </c>
      <c r="M455" s="4">
        <f>0.4*J455+0.4*K455+0.2*L455</f>
        <v/>
      </c>
    </row>
    <row r="456">
      <c r="A456" s="3" t="inlineStr">
        <is>
          <t>AirCapacityReduced</t>
        </is>
      </c>
      <c r="B456" s="3" t="inlineStr">
        <is>
          <t>DEL_AO</t>
        </is>
      </c>
      <c r="C456" s="3" t="inlineStr">
        <is>
          <t>SIM-00232</t>
        </is>
      </c>
      <c r="D456" s="3" t="inlineStr">
        <is>
          <t>RO-03468</t>
        </is>
      </c>
      <c r="E456" s="3" t="n">
        <v>3.5</v>
      </c>
      <c r="F456" s="3" t="n">
        <v>6</v>
      </c>
      <c r="G456" s="3" t="n">
        <v>386</v>
      </c>
      <c r="H456" s="4">
        <f>G456/E456</f>
        <v/>
      </c>
      <c r="I456" s="3" t="n">
        <v>2.5</v>
      </c>
      <c r="J456" s="4">
        <f>(F456-Assumptions!$B$13)/(Assumptions!$C$13-Assumptions!$B$13)</f>
        <v/>
      </c>
      <c r="K456" s="4">
        <f>(H456-Assumptions!$B$14)/(Assumptions!$C$14-Assumptions!$B$14)</f>
        <v/>
      </c>
      <c r="L456" s="4">
        <f>(I456-Assumptions!$B$15)/(Assumptions!$C$15-Assumptions!$B$15)</f>
        <v/>
      </c>
      <c r="M456" s="4">
        <f>0.4*J456+0.4*K456+0.2*L456</f>
        <v/>
      </c>
    </row>
    <row r="457">
      <c r="A457" s="3" t="inlineStr">
        <is>
          <t>AirCapacityReduced</t>
        </is>
      </c>
      <c r="B457" s="3" t="inlineStr">
        <is>
          <t>DEL_EQ</t>
        </is>
      </c>
      <c r="C457" s="3" t="inlineStr">
        <is>
          <t>SIM-00232</t>
        </is>
      </c>
      <c r="D457" s="3" t="inlineStr">
        <is>
          <t>RO-03468</t>
        </is>
      </c>
      <c r="E457" s="3" t="n">
        <v>40.5</v>
      </c>
      <c r="F457" s="3" t="n">
        <v>6</v>
      </c>
      <c r="G457" s="3" t="n">
        <v>386</v>
      </c>
      <c r="H457" s="4">
        <f>G457/E457</f>
        <v/>
      </c>
      <c r="I457" s="3" t="n">
        <v>2.5</v>
      </c>
      <c r="J457" s="4">
        <f>(F457-Assumptions!$B$13)/(Assumptions!$C$13-Assumptions!$B$13)</f>
        <v/>
      </c>
      <c r="K457" s="4">
        <f>(H457-Assumptions!$B$14)/(Assumptions!$C$14-Assumptions!$B$14)</f>
        <v/>
      </c>
      <c r="L457" s="4">
        <f>(I457-Assumptions!$B$15)/(Assumptions!$C$15-Assumptions!$B$15)</f>
        <v/>
      </c>
      <c r="M457" s="4">
        <f>0.4*J457+0.4*K457+0.2*L457</f>
        <v/>
      </c>
    </row>
    <row r="458">
      <c r="A458" s="3" t="inlineStr">
        <is>
          <t>AirCapacityReduced</t>
        </is>
      </c>
      <c r="B458" s="3" t="inlineStr">
        <is>
          <t>DEL_HD</t>
        </is>
      </c>
      <c r="C458" s="3" t="inlineStr">
        <is>
          <t>SIM-00232</t>
        </is>
      </c>
      <c r="D458" s="3" t="inlineStr">
        <is>
          <t>RO-03468</t>
        </is>
      </c>
      <c r="E458" s="3" t="n">
        <v>20.5</v>
      </c>
      <c r="F458" s="3" t="n">
        <v>6</v>
      </c>
      <c r="G458" s="3" t="n">
        <v>386</v>
      </c>
      <c r="H458" s="4">
        <f>G458/E458</f>
        <v/>
      </c>
      <c r="I458" s="3" t="n">
        <v>2.5</v>
      </c>
      <c r="J458" s="4">
        <f>(F458-Assumptions!$B$13)/(Assumptions!$C$13-Assumptions!$B$13)</f>
        <v/>
      </c>
      <c r="K458" s="4">
        <f>(H458-Assumptions!$B$14)/(Assumptions!$C$14-Assumptions!$B$14)</f>
        <v/>
      </c>
      <c r="L458" s="4">
        <f>(I458-Assumptions!$B$15)/(Assumptions!$C$15-Assumptions!$B$15)</f>
        <v/>
      </c>
      <c r="M458" s="4">
        <f>0.4*J458+0.4*K458+0.2*L458</f>
        <v/>
      </c>
    </row>
    <row r="459">
      <c r="A459" s="3" t="inlineStr">
        <is>
          <t>AirCapacityReduced</t>
        </is>
      </c>
      <c r="B459" s="3" t="inlineStr">
        <is>
          <t>DEL_HH</t>
        </is>
      </c>
      <c r="C459" s="3" t="inlineStr">
        <is>
          <t>SIM-00232</t>
        </is>
      </c>
      <c r="D459" s="3" t="inlineStr">
        <is>
          <t>RO-03468</t>
        </is>
      </c>
      <c r="E459" s="3" t="n">
        <v>7</v>
      </c>
      <c r="F459" s="3" t="n">
        <v>6</v>
      </c>
      <c r="G459" s="3" t="n">
        <v>386</v>
      </c>
      <c r="H459" s="4">
        <f>G459/E459</f>
        <v/>
      </c>
      <c r="I459" s="3" t="n">
        <v>2.5</v>
      </c>
      <c r="J459" s="4">
        <f>(F459-Assumptions!$B$13)/(Assumptions!$C$13-Assumptions!$B$13)</f>
        <v/>
      </c>
      <c r="K459" s="4">
        <f>(H459-Assumptions!$B$14)/(Assumptions!$C$14-Assumptions!$B$14)</f>
        <v/>
      </c>
      <c r="L459" s="4">
        <f>(I459-Assumptions!$B$15)/(Assumptions!$C$15-Assumptions!$B$15)</f>
        <v/>
      </c>
      <c r="M459" s="4">
        <f>0.4*J459+0.4*K459+0.2*L459</f>
        <v/>
      </c>
    </row>
    <row r="460">
      <c r="A460" s="3" t="inlineStr">
        <is>
          <t>AirCapacityReduced</t>
        </is>
      </c>
      <c r="B460" s="3" t="inlineStr">
        <is>
          <t>DEL_AJ</t>
        </is>
      </c>
      <c r="C460" s="3" t="inlineStr">
        <is>
          <t>SIM-00233</t>
        </is>
      </c>
      <c r="D460" s="3" t="inlineStr">
        <is>
          <t>RO-03366</t>
        </is>
      </c>
      <c r="E460" s="3" t="n">
        <v>165.5</v>
      </c>
      <c r="F460" s="3" t="n">
        <v>2</v>
      </c>
      <c r="G460" s="3" t="n">
        <v>770</v>
      </c>
      <c r="H460" s="4">
        <f>G460/E460</f>
        <v/>
      </c>
      <c r="I460" s="3" t="n">
        <v>1.7</v>
      </c>
      <c r="J460" s="4">
        <f>(F460-Assumptions!$B$13)/(Assumptions!$C$13-Assumptions!$B$13)</f>
        <v/>
      </c>
      <c r="K460" s="4">
        <f>(H460-Assumptions!$B$14)/(Assumptions!$C$14-Assumptions!$B$14)</f>
        <v/>
      </c>
      <c r="L460" s="4">
        <f>(I460-Assumptions!$B$15)/(Assumptions!$C$15-Assumptions!$B$15)</f>
        <v/>
      </c>
      <c r="M460" s="4">
        <f>0.4*J460+0.4*K460+0.2*L460</f>
        <v/>
      </c>
    </row>
    <row r="461">
      <c r="A461" s="3" t="inlineStr">
        <is>
          <t>AirCapacityReduced</t>
        </is>
      </c>
      <c r="B461" s="3" t="inlineStr">
        <is>
          <t>DEL_AX</t>
        </is>
      </c>
      <c r="C461" s="3" t="inlineStr">
        <is>
          <t>SIM-00233</t>
        </is>
      </c>
      <c r="D461" s="3" t="inlineStr">
        <is>
          <t>RO-03366</t>
        </is>
      </c>
      <c r="E461" s="3" t="n">
        <v>762</v>
      </c>
      <c r="F461" s="3" t="n">
        <v>2</v>
      </c>
      <c r="G461" s="3" t="n">
        <v>770</v>
      </c>
      <c r="H461" s="4">
        <f>G461/E461</f>
        <v/>
      </c>
      <c r="I461" s="3" t="n">
        <v>1.7</v>
      </c>
      <c r="J461" s="4">
        <f>(F461-Assumptions!$B$13)/(Assumptions!$C$13-Assumptions!$B$13)</f>
        <v/>
      </c>
      <c r="K461" s="4">
        <f>(H461-Assumptions!$B$14)/(Assumptions!$C$14-Assumptions!$B$14)</f>
        <v/>
      </c>
      <c r="L461" s="4">
        <f>(I461-Assumptions!$B$15)/(Assumptions!$C$15-Assumptions!$B$15)</f>
        <v/>
      </c>
      <c r="M461" s="4">
        <f>0.4*J461+0.4*K461+0.2*L461</f>
        <v/>
      </c>
    </row>
    <row r="462">
      <c r="A462" s="3" t="inlineStr">
        <is>
          <t>AirCapacityReduced</t>
        </is>
      </c>
      <c r="B462" s="3" t="inlineStr">
        <is>
          <t>DEL_CW</t>
        </is>
      </c>
      <c r="C462" s="3" t="inlineStr">
        <is>
          <t>SIM-00233</t>
        </is>
      </c>
      <c r="D462" s="3" t="inlineStr">
        <is>
          <t>RO-03366</t>
        </is>
      </c>
      <c r="E462" s="3" t="n">
        <v>152</v>
      </c>
      <c r="F462" s="3" t="n">
        <v>2</v>
      </c>
      <c r="G462" s="3" t="n">
        <v>770</v>
      </c>
      <c r="H462" s="4">
        <f>G462/E462</f>
        <v/>
      </c>
      <c r="I462" s="3" t="n">
        <v>1.7</v>
      </c>
      <c r="J462" s="4">
        <f>(F462-Assumptions!$B$13)/(Assumptions!$C$13-Assumptions!$B$13)</f>
        <v/>
      </c>
      <c r="K462" s="4">
        <f>(H462-Assumptions!$B$14)/(Assumptions!$C$14-Assumptions!$B$14)</f>
        <v/>
      </c>
      <c r="L462" s="4">
        <f>(I462-Assumptions!$B$15)/(Assumptions!$C$15-Assumptions!$B$15)</f>
        <v/>
      </c>
      <c r="M462" s="4">
        <f>0.4*J462+0.4*K462+0.2*L462</f>
        <v/>
      </c>
    </row>
    <row r="463">
      <c r="A463" s="3" t="inlineStr">
        <is>
          <t>AirCapacityReduced</t>
        </is>
      </c>
      <c r="B463" s="3" t="inlineStr">
        <is>
          <t>DEL_BU</t>
        </is>
      </c>
      <c r="C463" s="3" t="inlineStr">
        <is>
          <t>SIM-00237</t>
        </is>
      </c>
      <c r="D463" s="3" t="inlineStr">
        <is>
          <t>RO-03312</t>
        </is>
      </c>
      <c r="E463" s="3" t="n">
        <v>32</v>
      </c>
      <c r="F463" s="3" t="n">
        <v>5</v>
      </c>
      <c r="G463" s="3" t="n">
        <v>350</v>
      </c>
      <c r="H463" s="4">
        <f>G463/E463</f>
        <v/>
      </c>
      <c r="I463" s="3" t="n">
        <v>2.5</v>
      </c>
      <c r="J463" s="4">
        <f>(F463-Assumptions!$B$13)/(Assumptions!$C$13-Assumptions!$B$13)</f>
        <v/>
      </c>
      <c r="K463" s="4">
        <f>(H463-Assumptions!$B$14)/(Assumptions!$C$14-Assumptions!$B$14)</f>
        <v/>
      </c>
      <c r="L463" s="4">
        <f>(I463-Assumptions!$B$15)/(Assumptions!$C$15-Assumptions!$B$15)</f>
        <v/>
      </c>
      <c r="M463" s="4">
        <f>0.4*J463+0.4*K463+0.2*L463</f>
        <v/>
      </c>
    </row>
    <row r="464">
      <c r="A464" s="3" t="inlineStr">
        <is>
          <t>AirCapacityReduced</t>
        </is>
      </c>
      <c r="B464" s="3" t="inlineStr">
        <is>
          <t>DEL_EN</t>
        </is>
      </c>
      <c r="C464" s="3" t="inlineStr">
        <is>
          <t>SIM-00238</t>
        </is>
      </c>
      <c r="D464" s="3" t="inlineStr">
        <is>
          <t>RO-03567</t>
        </is>
      </c>
      <c r="E464" s="3" t="n">
        <v>839.5</v>
      </c>
      <c r="F464" s="3" t="n">
        <v>10</v>
      </c>
      <c r="G464" s="3" t="n">
        <v>306</v>
      </c>
      <c r="H464" s="4">
        <f>G464/E464</f>
        <v/>
      </c>
      <c r="I464" s="3" t="n">
        <v>3.9</v>
      </c>
      <c r="J464" s="4">
        <f>(F464-Assumptions!$B$13)/(Assumptions!$C$13-Assumptions!$B$13)</f>
        <v/>
      </c>
      <c r="K464" s="4">
        <f>(H464-Assumptions!$B$14)/(Assumptions!$C$14-Assumptions!$B$14)</f>
        <v/>
      </c>
      <c r="L464" s="4">
        <f>(I464-Assumptions!$B$15)/(Assumptions!$C$15-Assumptions!$B$15)</f>
        <v/>
      </c>
      <c r="M464" s="4">
        <f>0.4*J464+0.4*K464+0.2*L464</f>
        <v/>
      </c>
    </row>
    <row r="465">
      <c r="A465" s="3" t="inlineStr">
        <is>
          <t>AirCapacityReduced</t>
        </is>
      </c>
      <c r="B465" s="3" t="inlineStr">
        <is>
          <t>DEL_DY</t>
        </is>
      </c>
      <c r="C465" s="3" t="inlineStr">
        <is>
          <t>SIM-00240</t>
        </is>
      </c>
      <c r="D465" s="3" t="inlineStr">
        <is>
          <t>RO-03240</t>
        </is>
      </c>
      <c r="E465" s="3" t="n">
        <v>78</v>
      </c>
      <c r="F465" s="3" t="n">
        <v>5</v>
      </c>
      <c r="G465" s="3" t="n">
        <v>350</v>
      </c>
      <c r="H465" s="4">
        <f>G465/E465</f>
        <v/>
      </c>
      <c r="I465" s="3" t="n">
        <v>2.5</v>
      </c>
      <c r="J465" s="4">
        <f>(F465-Assumptions!$B$13)/(Assumptions!$C$13-Assumptions!$B$13)</f>
        <v/>
      </c>
      <c r="K465" s="4">
        <f>(H465-Assumptions!$B$14)/(Assumptions!$C$14-Assumptions!$B$14)</f>
        <v/>
      </c>
      <c r="L465" s="4">
        <f>(I465-Assumptions!$B$15)/(Assumptions!$C$15-Assumptions!$B$15)</f>
        <v/>
      </c>
      <c r="M465" s="4">
        <f>0.4*J465+0.4*K465+0.2*L465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DeliveryNo</t>
        </is>
      </c>
      <c r="C1" s="2" t="inlineStr">
        <is>
          <t>ShipmentID</t>
        </is>
      </c>
      <c r="D1" s="2" t="inlineStr">
        <is>
          <t>RouteOptionID</t>
        </is>
      </c>
      <c r="E1" s="2" t="inlineStr">
        <is>
          <t>ChargeableWeight_KG</t>
        </is>
      </c>
      <c r="F1" s="2" t="inlineStr">
        <is>
          <t>BaseLeadTimeDays</t>
        </is>
      </c>
      <c r="G1" s="2" t="inlineStr">
        <is>
          <t>BaseCostEUR</t>
        </is>
      </c>
      <c r="H1" s="2" t="inlineStr">
        <is>
          <t>CostPerKG</t>
        </is>
      </c>
      <c r="I1" s="2" t="inlineStr">
        <is>
          <t>RiskScore</t>
        </is>
      </c>
      <c r="J1" s="2" t="inlineStr">
        <is>
          <t>n_lead</t>
        </is>
      </c>
      <c r="K1" s="2" t="inlineStr">
        <is>
          <t>n_cost</t>
        </is>
      </c>
      <c r="L1" s="2" t="inlineStr">
        <is>
          <t>n_risk</t>
        </is>
      </c>
      <c r="M1" s="2" t="inlineStr">
        <is>
          <t>DeliveryMinScore</t>
        </is>
      </c>
      <c r="O1" s="3" t="inlineStr">
        <is>
          <t>Baseline = primary planned lanes through the SAME capacity-constrained solver. No primary lanes exist under disruption scenarios.</t>
        </is>
      </c>
    </row>
    <row r="2">
      <c r="A2" s="3" t="inlineStr">
        <is>
          <t>Normal</t>
        </is>
      </c>
      <c r="B2" s="3" t="inlineStr">
        <is>
          <t>DEL_CX</t>
        </is>
      </c>
      <c r="C2" s="3" t="inlineStr">
        <is>
          <t>SIM-00001</t>
        </is>
      </c>
      <c r="D2" s="3" t="inlineStr">
        <is>
          <t>RO-03601</t>
        </is>
      </c>
      <c r="E2" s="3" t="n">
        <v>4</v>
      </c>
      <c r="F2" s="3" t="n">
        <v>2</v>
      </c>
      <c r="G2" s="3" t="n">
        <v>497</v>
      </c>
      <c r="H2" s="4">
        <f>G2/E2</f>
        <v/>
      </c>
      <c r="I2" s="3" t="n">
        <v>1.2</v>
      </c>
      <c r="J2" s="4">
        <f>(F2-Assumptions!$B$13)/(Assumptions!$C$13-Assumptions!$B$13)</f>
        <v/>
      </c>
      <c r="K2" s="4">
        <f>(H2-Assumptions!$B$14)/(Assumptions!$C$14-Assumptions!$B$14)</f>
        <v/>
      </c>
      <c r="L2" s="4">
        <f>(I2-Assumptions!$B$15)/(Assumptions!$C$15-Assumptions!$B$15)</f>
        <v/>
      </c>
      <c r="M2" s="4">
        <f>0.4*J2+0.4*K2+0.2*L2</f>
        <v/>
      </c>
    </row>
    <row r="3">
      <c r="A3" s="3" t="inlineStr">
        <is>
          <t>Normal</t>
        </is>
      </c>
      <c r="B3" s="3" t="inlineStr">
        <is>
          <t>DEL_GH</t>
        </is>
      </c>
      <c r="C3" s="3" t="inlineStr">
        <is>
          <t>SIM-00001</t>
        </is>
      </c>
      <c r="D3" s="3" t="inlineStr">
        <is>
          <t>RO-03601</t>
        </is>
      </c>
      <c r="E3" s="3" t="n">
        <v>1</v>
      </c>
      <c r="F3" s="3" t="n">
        <v>2</v>
      </c>
      <c r="G3" s="3" t="n">
        <v>497</v>
      </c>
      <c r="H3" s="4">
        <f>G3/E3</f>
        <v/>
      </c>
      <c r="I3" s="3" t="n">
        <v>1.2</v>
      </c>
      <c r="J3" s="4">
        <f>(F3-Assumptions!$B$13)/(Assumptions!$C$13-Assumptions!$B$13)</f>
        <v/>
      </c>
      <c r="K3" s="4">
        <f>(H3-Assumptions!$B$14)/(Assumptions!$C$14-Assumptions!$B$14)</f>
        <v/>
      </c>
      <c r="L3" s="4">
        <f>(I3-Assumptions!$B$15)/(Assumptions!$C$15-Assumptions!$B$15)</f>
        <v/>
      </c>
      <c r="M3" s="4">
        <f>0.4*J3+0.4*K3+0.2*L3</f>
        <v/>
      </c>
    </row>
    <row r="4">
      <c r="A4" s="3" t="inlineStr">
        <is>
          <t>Normal</t>
        </is>
      </c>
      <c r="B4" s="3" t="inlineStr">
        <is>
          <t>DEL_CO</t>
        </is>
      </c>
      <c r="C4" s="3" t="inlineStr">
        <is>
          <t>SIM-00002</t>
        </is>
      </c>
      <c r="D4" s="3" t="inlineStr">
        <is>
          <t>RO-03602</t>
        </is>
      </c>
      <c r="E4" s="3" t="n">
        <v>1063.5</v>
      </c>
      <c r="F4" s="3" t="n">
        <v>4</v>
      </c>
      <c r="G4" s="3" t="n">
        <v>249</v>
      </c>
      <c r="H4" s="4">
        <f>G4/E4</f>
        <v/>
      </c>
      <c r="I4" s="3" t="n">
        <v>1.8</v>
      </c>
      <c r="J4" s="4">
        <f>(F4-Assumptions!$B$13)/(Assumptions!$C$13-Assumptions!$B$13)</f>
        <v/>
      </c>
      <c r="K4" s="4">
        <f>(H4-Assumptions!$B$14)/(Assumptions!$C$14-Assumptions!$B$14)</f>
        <v/>
      </c>
      <c r="L4" s="4">
        <f>(I4-Assumptions!$B$15)/(Assumptions!$C$15-Assumptions!$B$15)</f>
        <v/>
      </c>
      <c r="M4" s="4">
        <f>0.4*J4+0.4*K4+0.2*L4</f>
        <v/>
      </c>
    </row>
    <row r="5">
      <c r="A5" s="3" t="inlineStr">
        <is>
          <t>Normal</t>
        </is>
      </c>
      <c r="B5" s="3" t="inlineStr">
        <is>
          <t>DEL_GU</t>
        </is>
      </c>
      <c r="C5" s="3" t="inlineStr">
        <is>
          <t>SIM-00002</t>
        </is>
      </c>
      <c r="D5" s="3" t="inlineStr">
        <is>
          <t>RO-03602</t>
        </is>
      </c>
      <c r="E5" s="3" t="n">
        <v>36</v>
      </c>
      <c r="F5" s="3" t="n">
        <v>4</v>
      </c>
      <c r="G5" s="3" t="n">
        <v>249</v>
      </c>
      <c r="H5" s="4">
        <f>G5/E5</f>
        <v/>
      </c>
      <c r="I5" s="3" t="n">
        <v>1.8</v>
      </c>
      <c r="J5" s="4">
        <f>(F5-Assumptions!$B$13)/(Assumptions!$C$13-Assumptions!$B$13)</f>
        <v/>
      </c>
      <c r="K5" s="4">
        <f>(H5-Assumptions!$B$14)/(Assumptions!$C$14-Assumptions!$B$14)</f>
        <v/>
      </c>
      <c r="L5" s="4">
        <f>(I5-Assumptions!$B$15)/(Assumptions!$C$15-Assumptions!$B$15)</f>
        <v/>
      </c>
      <c r="M5" s="4">
        <f>0.4*J5+0.4*K5+0.2*L5</f>
        <v/>
      </c>
    </row>
    <row r="6">
      <c r="A6" s="3" t="inlineStr">
        <is>
          <t>Normal</t>
        </is>
      </c>
      <c r="B6" s="3" t="inlineStr">
        <is>
          <t>DEL_DI</t>
        </is>
      </c>
      <c r="C6" s="3" t="inlineStr">
        <is>
          <t>SIM-00003</t>
        </is>
      </c>
      <c r="D6" s="3" t="inlineStr">
        <is>
          <t>RO-03603</t>
        </is>
      </c>
      <c r="E6" s="3" t="n">
        <v>2113.5</v>
      </c>
      <c r="F6" s="3" t="n">
        <v>10</v>
      </c>
      <c r="G6" s="3" t="n">
        <v>181</v>
      </c>
      <c r="H6" s="4">
        <f>G6/E6</f>
        <v/>
      </c>
      <c r="I6" s="3" t="n">
        <v>2.9</v>
      </c>
      <c r="J6" s="4">
        <f>(F6-Assumptions!$B$13)/(Assumptions!$C$13-Assumptions!$B$13)</f>
        <v/>
      </c>
      <c r="K6" s="4">
        <f>(H6-Assumptions!$B$14)/(Assumptions!$C$14-Assumptions!$B$14)</f>
        <v/>
      </c>
      <c r="L6" s="4">
        <f>(I6-Assumptions!$B$15)/(Assumptions!$C$15-Assumptions!$B$15)</f>
        <v/>
      </c>
      <c r="M6" s="4">
        <f>0.4*J6+0.4*K6+0.2*L6</f>
        <v/>
      </c>
    </row>
    <row r="7">
      <c r="A7" s="3" t="inlineStr">
        <is>
          <t>Normal</t>
        </is>
      </c>
      <c r="B7" s="3" t="inlineStr">
        <is>
          <t>DEL_GW</t>
        </is>
      </c>
      <c r="C7" s="3" t="inlineStr">
        <is>
          <t>SIM-00003</t>
        </is>
      </c>
      <c r="D7" s="3" t="inlineStr">
        <is>
          <t>RO-03603</t>
        </is>
      </c>
      <c r="E7" s="3" t="n">
        <v>4.5</v>
      </c>
      <c r="F7" s="3" t="n">
        <v>10</v>
      </c>
      <c r="G7" s="3" t="n">
        <v>181</v>
      </c>
      <c r="H7" s="4">
        <f>G7/E7</f>
        <v/>
      </c>
      <c r="I7" s="3" t="n">
        <v>2.9</v>
      </c>
      <c r="J7" s="4">
        <f>(F7-Assumptions!$B$13)/(Assumptions!$C$13-Assumptions!$B$13)</f>
        <v/>
      </c>
      <c r="K7" s="4">
        <f>(H7-Assumptions!$B$14)/(Assumptions!$C$14-Assumptions!$B$14)</f>
        <v/>
      </c>
      <c r="L7" s="4">
        <f>(I7-Assumptions!$B$15)/(Assumptions!$C$15-Assumptions!$B$15)</f>
        <v/>
      </c>
      <c r="M7" s="4">
        <f>0.4*J7+0.4*K7+0.2*L7</f>
        <v/>
      </c>
    </row>
    <row r="8">
      <c r="A8" s="3" t="inlineStr">
        <is>
          <t>Normal</t>
        </is>
      </c>
      <c r="B8" s="3" t="inlineStr">
        <is>
          <t>DEL_F</t>
        </is>
      </c>
      <c r="C8" s="3" t="inlineStr">
        <is>
          <t>SIM-00004</t>
        </is>
      </c>
      <c r="D8" s="3" t="inlineStr">
        <is>
          <t>RO-03604</t>
        </is>
      </c>
      <c r="E8" s="3" t="n">
        <v>208</v>
      </c>
      <c r="F8" s="3" t="n">
        <v>4</v>
      </c>
      <c r="G8" s="3" t="n">
        <v>533</v>
      </c>
      <c r="H8" s="4">
        <f>G8/E8</f>
        <v/>
      </c>
      <c r="I8" s="3" t="n">
        <v>1.7</v>
      </c>
      <c r="J8" s="4">
        <f>(F8-Assumptions!$B$13)/(Assumptions!$C$13-Assumptions!$B$13)</f>
        <v/>
      </c>
      <c r="K8" s="4">
        <f>(H8-Assumptions!$B$14)/(Assumptions!$C$14-Assumptions!$B$14)</f>
        <v/>
      </c>
      <c r="L8" s="4">
        <f>(I8-Assumptions!$B$15)/(Assumptions!$C$15-Assumptions!$B$15)</f>
        <v/>
      </c>
      <c r="M8" s="4">
        <f>0.4*J8+0.4*K8+0.2*L8</f>
        <v/>
      </c>
    </row>
    <row r="9">
      <c r="A9" s="3" t="inlineStr">
        <is>
          <t>Normal</t>
        </is>
      </c>
      <c r="B9" s="3" t="inlineStr">
        <is>
          <t>DEL_BK</t>
        </is>
      </c>
      <c r="C9" s="3" t="inlineStr">
        <is>
          <t>SIM-00004</t>
        </is>
      </c>
      <c r="D9" s="3" t="inlineStr">
        <is>
          <t>RO-03604</t>
        </is>
      </c>
      <c r="E9" s="3" t="n">
        <v>168.5</v>
      </c>
      <c r="F9" s="3" t="n">
        <v>4</v>
      </c>
      <c r="G9" s="3" t="n">
        <v>533</v>
      </c>
      <c r="H9" s="4">
        <f>G9/E9</f>
        <v/>
      </c>
      <c r="I9" s="3" t="n">
        <v>1.7</v>
      </c>
      <c r="J9" s="4">
        <f>(F9-Assumptions!$B$13)/(Assumptions!$C$13-Assumptions!$B$13)</f>
        <v/>
      </c>
      <c r="K9" s="4">
        <f>(H9-Assumptions!$B$14)/(Assumptions!$C$14-Assumptions!$B$14)</f>
        <v/>
      </c>
      <c r="L9" s="4">
        <f>(I9-Assumptions!$B$15)/(Assumptions!$C$15-Assumptions!$B$15)</f>
        <v/>
      </c>
      <c r="M9" s="4">
        <f>0.4*J9+0.4*K9+0.2*L9</f>
        <v/>
      </c>
    </row>
    <row r="10">
      <c r="A10" s="3" t="inlineStr">
        <is>
          <t>Normal</t>
        </is>
      </c>
      <c r="B10" s="3" t="inlineStr">
        <is>
          <t>DEL_ED</t>
        </is>
      </c>
      <c r="C10" s="3" t="inlineStr">
        <is>
          <t>SIM-00004</t>
        </is>
      </c>
      <c r="D10" s="3" t="inlineStr">
        <is>
          <t>RO-03604</t>
        </is>
      </c>
      <c r="E10" s="3" t="n">
        <v>187</v>
      </c>
      <c r="F10" s="3" t="n">
        <v>4</v>
      </c>
      <c r="G10" s="3" t="n">
        <v>533</v>
      </c>
      <c r="H10" s="4">
        <f>G10/E10</f>
        <v/>
      </c>
      <c r="I10" s="3" t="n">
        <v>1.7</v>
      </c>
      <c r="J10" s="4">
        <f>(F10-Assumptions!$B$13)/(Assumptions!$C$13-Assumptions!$B$13)</f>
        <v/>
      </c>
      <c r="K10" s="4">
        <f>(H10-Assumptions!$B$14)/(Assumptions!$C$14-Assumptions!$B$14)</f>
        <v/>
      </c>
      <c r="L10" s="4">
        <f>(I10-Assumptions!$B$15)/(Assumptions!$C$15-Assumptions!$B$15)</f>
        <v/>
      </c>
      <c r="M10" s="4">
        <f>0.4*J10+0.4*K10+0.2*L10</f>
        <v/>
      </c>
    </row>
    <row r="11">
      <c r="A11" s="3" t="inlineStr">
        <is>
          <t>Normal</t>
        </is>
      </c>
      <c r="B11" s="3" t="inlineStr">
        <is>
          <t>DEL_BT</t>
        </is>
      </c>
      <c r="C11" s="3" t="inlineStr">
        <is>
          <t>SIM-00005</t>
        </is>
      </c>
      <c r="D11" s="3" t="inlineStr">
        <is>
          <t>RO-03605</t>
        </is>
      </c>
      <c r="E11" s="3" t="n">
        <v>4</v>
      </c>
      <c r="F11" s="3" t="n">
        <v>2</v>
      </c>
      <c r="G11" s="3" t="n">
        <v>545</v>
      </c>
      <c r="H11" s="4">
        <f>G11/E11</f>
        <v/>
      </c>
      <c r="I11" s="3" t="n">
        <v>1.8</v>
      </c>
      <c r="J11" s="4">
        <f>(F11-Assumptions!$B$13)/(Assumptions!$C$13-Assumptions!$B$13)</f>
        <v/>
      </c>
      <c r="K11" s="4">
        <f>(H11-Assumptions!$B$14)/(Assumptions!$C$14-Assumptions!$B$14)</f>
        <v/>
      </c>
      <c r="L11" s="4">
        <f>(I11-Assumptions!$B$15)/(Assumptions!$C$15-Assumptions!$B$15)</f>
        <v/>
      </c>
      <c r="M11" s="4">
        <f>0.4*J11+0.4*K11+0.2*L11</f>
        <v/>
      </c>
    </row>
    <row r="12">
      <c r="A12" s="3" t="inlineStr">
        <is>
          <t>Normal</t>
        </is>
      </c>
      <c r="B12" s="3" t="inlineStr">
        <is>
          <t>DEL_CE</t>
        </is>
      </c>
      <c r="C12" s="3" t="inlineStr">
        <is>
          <t>SIM-00005</t>
        </is>
      </c>
      <c r="D12" s="3" t="inlineStr">
        <is>
          <t>RO-03605</t>
        </is>
      </c>
      <c r="E12" s="3" t="n">
        <v>1395</v>
      </c>
      <c r="F12" s="3" t="n">
        <v>2</v>
      </c>
      <c r="G12" s="3" t="n">
        <v>545</v>
      </c>
      <c r="H12" s="4">
        <f>G12/E12</f>
        <v/>
      </c>
      <c r="I12" s="3" t="n">
        <v>1.8</v>
      </c>
      <c r="J12" s="4">
        <f>(F12-Assumptions!$B$13)/(Assumptions!$C$13-Assumptions!$B$13)</f>
        <v/>
      </c>
      <c r="K12" s="4">
        <f>(H12-Assumptions!$B$14)/(Assumptions!$C$14-Assumptions!$B$14)</f>
        <v/>
      </c>
      <c r="L12" s="4">
        <f>(I12-Assumptions!$B$15)/(Assumptions!$C$15-Assumptions!$B$15)</f>
        <v/>
      </c>
      <c r="M12" s="4">
        <f>0.4*J12+0.4*K12+0.2*L12</f>
        <v/>
      </c>
    </row>
    <row r="13">
      <c r="A13" s="3" t="inlineStr">
        <is>
          <t>Normal</t>
        </is>
      </c>
      <c r="B13" s="3" t="inlineStr">
        <is>
          <t>DEL_FN</t>
        </is>
      </c>
      <c r="C13" s="3" t="inlineStr">
        <is>
          <t>SIM-00005</t>
        </is>
      </c>
      <c r="D13" s="3" t="inlineStr">
        <is>
          <t>RO-03605</t>
        </is>
      </c>
      <c r="E13" s="3" t="n">
        <v>518.5</v>
      </c>
      <c r="F13" s="3" t="n">
        <v>2</v>
      </c>
      <c r="G13" s="3" t="n">
        <v>545</v>
      </c>
      <c r="H13" s="4">
        <f>G13/E13</f>
        <v/>
      </c>
      <c r="I13" s="3" t="n">
        <v>1.8</v>
      </c>
      <c r="J13" s="4">
        <f>(F13-Assumptions!$B$13)/(Assumptions!$C$13-Assumptions!$B$13)</f>
        <v/>
      </c>
      <c r="K13" s="4">
        <f>(H13-Assumptions!$B$14)/(Assumptions!$C$14-Assumptions!$B$14)</f>
        <v/>
      </c>
      <c r="L13" s="4">
        <f>(I13-Assumptions!$B$15)/(Assumptions!$C$15-Assumptions!$B$15)</f>
        <v/>
      </c>
      <c r="M13" s="4">
        <f>0.4*J13+0.4*K13+0.2*L13</f>
        <v/>
      </c>
    </row>
    <row r="14">
      <c r="A14" s="3" t="inlineStr">
        <is>
          <t>Normal</t>
        </is>
      </c>
      <c r="B14" s="3" t="inlineStr">
        <is>
          <t>DEL_EU</t>
        </is>
      </c>
      <c r="C14" s="3" t="inlineStr">
        <is>
          <t>SIM-00005</t>
        </is>
      </c>
      <c r="D14" s="3" t="inlineStr">
        <is>
          <t>RO-03605</t>
        </is>
      </c>
      <c r="E14" s="3" t="n">
        <v>451</v>
      </c>
      <c r="F14" s="3" t="n">
        <v>2</v>
      </c>
      <c r="G14" s="3" t="n">
        <v>545</v>
      </c>
      <c r="H14" s="4">
        <f>G14/E14</f>
        <v/>
      </c>
      <c r="I14" s="3" t="n">
        <v>1.8</v>
      </c>
      <c r="J14" s="4">
        <f>(F14-Assumptions!$B$13)/(Assumptions!$C$13-Assumptions!$B$13)</f>
        <v/>
      </c>
      <c r="K14" s="4">
        <f>(H14-Assumptions!$B$14)/(Assumptions!$C$14-Assumptions!$B$14)</f>
        <v/>
      </c>
      <c r="L14" s="4">
        <f>(I14-Assumptions!$B$15)/(Assumptions!$C$15-Assumptions!$B$15)</f>
        <v/>
      </c>
      <c r="M14" s="4">
        <f>0.4*J14+0.4*K14+0.2*L14</f>
        <v/>
      </c>
    </row>
    <row r="15">
      <c r="A15" s="3" t="inlineStr">
        <is>
          <t>Normal</t>
        </is>
      </c>
      <c r="B15" s="3" t="inlineStr">
        <is>
          <t>DEL_HI</t>
        </is>
      </c>
      <c r="C15" s="3" t="inlineStr">
        <is>
          <t>SIM-00005</t>
        </is>
      </c>
      <c r="D15" s="3" t="inlineStr">
        <is>
          <t>RO-03605</t>
        </is>
      </c>
      <c r="E15" s="3" t="n">
        <v>3.5</v>
      </c>
      <c r="F15" s="3" t="n">
        <v>2</v>
      </c>
      <c r="G15" s="3" t="n">
        <v>545</v>
      </c>
      <c r="H15" s="4">
        <f>G15/E15</f>
        <v/>
      </c>
      <c r="I15" s="3" t="n">
        <v>1.8</v>
      </c>
      <c r="J15" s="4">
        <f>(F15-Assumptions!$B$13)/(Assumptions!$C$13-Assumptions!$B$13)</f>
        <v/>
      </c>
      <c r="K15" s="4">
        <f>(H15-Assumptions!$B$14)/(Assumptions!$C$14-Assumptions!$B$14)</f>
        <v/>
      </c>
      <c r="L15" s="4">
        <f>(I15-Assumptions!$B$15)/(Assumptions!$C$15-Assumptions!$B$15)</f>
        <v/>
      </c>
      <c r="M15" s="4">
        <f>0.4*J15+0.4*K15+0.2*L15</f>
        <v/>
      </c>
    </row>
    <row r="16">
      <c r="A16" s="3" t="inlineStr">
        <is>
          <t>Normal</t>
        </is>
      </c>
      <c r="B16" s="3" t="inlineStr">
        <is>
          <t>DEL_EJ</t>
        </is>
      </c>
      <c r="C16" s="3" t="inlineStr">
        <is>
          <t>SIM-00019</t>
        </is>
      </c>
      <c r="D16" s="3" t="inlineStr">
        <is>
          <t>RO-03619</t>
        </is>
      </c>
      <c r="E16" s="3" t="n">
        <v>12.5</v>
      </c>
      <c r="F16" s="3" t="n">
        <v>3</v>
      </c>
      <c r="G16" s="3" t="n">
        <v>657</v>
      </c>
      <c r="H16" s="4">
        <f>G16/E16</f>
        <v/>
      </c>
      <c r="I16" s="3" t="n">
        <v>0.8</v>
      </c>
      <c r="J16" s="4">
        <f>(F16-Assumptions!$B$13)/(Assumptions!$C$13-Assumptions!$B$13)</f>
        <v/>
      </c>
      <c r="K16" s="4">
        <f>(H16-Assumptions!$B$14)/(Assumptions!$C$14-Assumptions!$B$14)</f>
        <v/>
      </c>
      <c r="L16" s="4">
        <f>(I16-Assumptions!$B$15)/(Assumptions!$C$15-Assumptions!$B$15)</f>
        <v/>
      </c>
      <c r="M16" s="4">
        <f>0.4*J16+0.4*K16+0.2*L16</f>
        <v/>
      </c>
    </row>
    <row r="17">
      <c r="A17" s="3" t="inlineStr">
        <is>
          <t>Normal</t>
        </is>
      </c>
      <c r="B17" s="3" t="inlineStr">
        <is>
          <t>DEL_EV</t>
        </is>
      </c>
      <c r="C17" s="3" t="inlineStr">
        <is>
          <t>SIM-00019</t>
        </is>
      </c>
      <c r="D17" s="3" t="inlineStr">
        <is>
          <t>RO-03619</t>
        </is>
      </c>
      <c r="E17" s="3" t="n">
        <v>8.5</v>
      </c>
      <c r="F17" s="3" t="n">
        <v>3</v>
      </c>
      <c r="G17" s="3" t="n">
        <v>657</v>
      </c>
      <c r="H17" s="4">
        <f>G17/E17</f>
        <v/>
      </c>
      <c r="I17" s="3" t="n">
        <v>0.8</v>
      </c>
      <c r="J17" s="4">
        <f>(F17-Assumptions!$B$13)/(Assumptions!$C$13-Assumptions!$B$13)</f>
        <v/>
      </c>
      <c r="K17" s="4">
        <f>(H17-Assumptions!$B$14)/(Assumptions!$C$14-Assumptions!$B$14)</f>
        <v/>
      </c>
      <c r="L17" s="4">
        <f>(I17-Assumptions!$B$15)/(Assumptions!$C$15-Assumptions!$B$15)</f>
        <v/>
      </c>
      <c r="M17" s="4">
        <f>0.4*J17+0.4*K17+0.2*L17</f>
        <v/>
      </c>
    </row>
    <row r="18">
      <c r="A18" s="3" t="inlineStr">
        <is>
          <t>Normal</t>
        </is>
      </c>
      <c r="B18" s="3" t="inlineStr">
        <is>
          <t>DEL_GO</t>
        </is>
      </c>
      <c r="C18" s="3" t="inlineStr">
        <is>
          <t>SIM-00022</t>
        </is>
      </c>
      <c r="D18" s="3" t="inlineStr">
        <is>
          <t>RO-03622</t>
        </is>
      </c>
      <c r="E18" s="3" t="n">
        <v>6.5</v>
      </c>
      <c r="F18" s="3" t="n">
        <v>4</v>
      </c>
      <c r="G18" s="3" t="n">
        <v>273</v>
      </c>
      <c r="H18" s="4">
        <f>G18/E18</f>
        <v/>
      </c>
      <c r="I18" s="3" t="n">
        <v>2</v>
      </c>
      <c r="J18" s="4">
        <f>(F18-Assumptions!$B$13)/(Assumptions!$C$13-Assumptions!$B$13)</f>
        <v/>
      </c>
      <c r="K18" s="4">
        <f>(H18-Assumptions!$B$14)/(Assumptions!$C$14-Assumptions!$B$14)</f>
        <v/>
      </c>
      <c r="L18" s="4">
        <f>(I18-Assumptions!$B$15)/(Assumptions!$C$15-Assumptions!$B$15)</f>
        <v/>
      </c>
      <c r="M18" s="4">
        <f>0.4*J18+0.4*K18+0.2*L18</f>
        <v/>
      </c>
    </row>
    <row r="19">
      <c r="A19" s="3" t="inlineStr">
        <is>
          <t>Normal</t>
        </is>
      </c>
      <c r="B19" s="3" t="inlineStr">
        <is>
          <t>DEL_CG</t>
        </is>
      </c>
      <c r="C19" s="3" t="inlineStr">
        <is>
          <t>SIM-00023</t>
        </is>
      </c>
      <c r="D19" s="3" t="inlineStr">
        <is>
          <t>RO-03663</t>
        </is>
      </c>
      <c r="E19" s="3" t="n">
        <v>4</v>
      </c>
      <c r="F19" s="3" t="n">
        <v>10</v>
      </c>
      <c r="G19" s="3" t="n">
        <v>145</v>
      </c>
      <c r="H19" s="4">
        <f>G19/E19</f>
        <v/>
      </c>
      <c r="I19" s="3" t="n">
        <v>2.9</v>
      </c>
      <c r="J19" s="4">
        <f>(F19-Assumptions!$B$13)/(Assumptions!$C$13-Assumptions!$B$13)</f>
        <v/>
      </c>
      <c r="K19" s="4">
        <f>(H19-Assumptions!$B$14)/(Assumptions!$C$14-Assumptions!$B$14)</f>
        <v/>
      </c>
      <c r="L19" s="4">
        <f>(I19-Assumptions!$B$15)/(Assumptions!$C$15-Assumptions!$B$15)</f>
        <v/>
      </c>
      <c r="M19" s="4">
        <f>0.4*J19+0.4*K19+0.2*L19</f>
        <v/>
      </c>
    </row>
    <row r="20">
      <c r="A20" s="3" t="inlineStr">
        <is>
          <t>Normal</t>
        </is>
      </c>
      <c r="B20" s="3" t="inlineStr">
        <is>
          <t>DEL_FA</t>
        </is>
      </c>
      <c r="C20" s="3" t="inlineStr">
        <is>
          <t>SIM-00024</t>
        </is>
      </c>
      <c r="D20" s="3" t="inlineStr">
        <is>
          <t>RO-03624</t>
        </is>
      </c>
      <c r="E20" s="3" t="n">
        <v>152.5</v>
      </c>
      <c r="F20" s="3" t="n">
        <v>4</v>
      </c>
      <c r="G20" s="3" t="n">
        <v>557</v>
      </c>
      <c r="H20" s="4">
        <f>G20/E20</f>
        <v/>
      </c>
      <c r="I20" s="3" t="n">
        <v>1.1</v>
      </c>
      <c r="J20" s="4">
        <f>(F20-Assumptions!$B$13)/(Assumptions!$C$13-Assumptions!$B$13)</f>
        <v/>
      </c>
      <c r="K20" s="4">
        <f>(H20-Assumptions!$B$14)/(Assumptions!$C$14-Assumptions!$B$14)</f>
        <v/>
      </c>
      <c r="L20" s="4">
        <f>(I20-Assumptions!$B$15)/(Assumptions!$C$15-Assumptions!$B$15)</f>
        <v/>
      </c>
      <c r="M20" s="4">
        <f>0.4*J20+0.4*K20+0.2*L20</f>
        <v/>
      </c>
    </row>
    <row r="21">
      <c r="A21" s="3" t="inlineStr">
        <is>
          <t>Normal</t>
        </is>
      </c>
      <c r="B21" s="3" t="inlineStr">
        <is>
          <t>DEL_AB</t>
        </is>
      </c>
      <c r="C21" s="3" t="inlineStr">
        <is>
          <t>SIM-00025</t>
        </is>
      </c>
      <c r="D21" s="3" t="inlineStr">
        <is>
          <t>RO-03625</t>
        </is>
      </c>
      <c r="E21" s="3" t="n">
        <v>2575</v>
      </c>
      <c r="F21" s="3" t="n">
        <v>2</v>
      </c>
      <c r="G21" s="3" t="n">
        <v>569</v>
      </c>
      <c r="H21" s="4">
        <f>G21/E21</f>
        <v/>
      </c>
      <c r="I21" s="3" t="n">
        <v>1.2</v>
      </c>
      <c r="J21" s="4">
        <f>(F21-Assumptions!$B$13)/(Assumptions!$C$13-Assumptions!$B$13)</f>
        <v/>
      </c>
      <c r="K21" s="4">
        <f>(H21-Assumptions!$B$14)/(Assumptions!$C$14-Assumptions!$B$14)</f>
        <v/>
      </c>
      <c r="L21" s="4">
        <f>(I21-Assumptions!$B$15)/(Assumptions!$C$15-Assumptions!$B$15)</f>
        <v/>
      </c>
      <c r="M21" s="4">
        <f>0.4*J21+0.4*K21+0.2*L21</f>
        <v/>
      </c>
    </row>
    <row r="22">
      <c r="A22" s="3" t="inlineStr">
        <is>
          <t>Normal</t>
        </is>
      </c>
      <c r="B22" s="3" t="inlineStr">
        <is>
          <t>DEL_CD</t>
        </is>
      </c>
      <c r="C22" s="3" t="inlineStr">
        <is>
          <t>SIM-00025</t>
        </is>
      </c>
      <c r="D22" s="3" t="inlineStr">
        <is>
          <t>RO-03625</t>
        </is>
      </c>
      <c r="E22" s="3" t="n">
        <v>616</v>
      </c>
      <c r="F22" s="3" t="n">
        <v>2</v>
      </c>
      <c r="G22" s="3" t="n">
        <v>569</v>
      </c>
      <c r="H22" s="4">
        <f>G22/E22</f>
        <v/>
      </c>
      <c r="I22" s="3" t="n">
        <v>1.2</v>
      </c>
      <c r="J22" s="4">
        <f>(F22-Assumptions!$B$13)/(Assumptions!$C$13-Assumptions!$B$13)</f>
        <v/>
      </c>
      <c r="K22" s="4">
        <f>(H22-Assumptions!$B$14)/(Assumptions!$C$14-Assumptions!$B$14)</f>
        <v/>
      </c>
      <c r="L22" s="4">
        <f>(I22-Assumptions!$B$15)/(Assumptions!$C$15-Assumptions!$B$15)</f>
        <v/>
      </c>
      <c r="M22" s="4">
        <f>0.4*J22+0.4*K22+0.2*L22</f>
        <v/>
      </c>
    </row>
    <row r="23">
      <c r="A23" s="3" t="inlineStr">
        <is>
          <t>Normal</t>
        </is>
      </c>
      <c r="B23" s="3" t="inlineStr">
        <is>
          <t>DEL_E</t>
        </is>
      </c>
      <c r="C23" s="3" t="inlineStr">
        <is>
          <t>SIM-00029</t>
        </is>
      </c>
      <c r="D23" s="3" t="inlineStr">
        <is>
          <t>RO-03629</t>
        </is>
      </c>
      <c r="E23" s="3" t="n">
        <v>115</v>
      </c>
      <c r="F23" s="3" t="n">
        <v>6</v>
      </c>
      <c r="G23" s="3" t="n">
        <v>249</v>
      </c>
      <c r="H23" s="4">
        <f>G23/E23</f>
        <v/>
      </c>
      <c r="I23" s="3" t="n">
        <v>2.2</v>
      </c>
      <c r="J23" s="4">
        <f>(F23-Assumptions!$B$13)/(Assumptions!$C$13-Assumptions!$B$13)</f>
        <v/>
      </c>
      <c r="K23" s="4">
        <f>(H23-Assumptions!$B$14)/(Assumptions!$C$14-Assumptions!$B$14)</f>
        <v/>
      </c>
      <c r="L23" s="4">
        <f>(I23-Assumptions!$B$15)/(Assumptions!$C$15-Assumptions!$B$15)</f>
        <v/>
      </c>
      <c r="M23" s="4">
        <f>0.4*J23+0.4*K23+0.2*L23</f>
        <v/>
      </c>
    </row>
    <row r="24">
      <c r="A24" s="3" t="inlineStr">
        <is>
          <t>Normal</t>
        </is>
      </c>
      <c r="B24" s="3" t="inlineStr">
        <is>
          <t>DEL_DJ</t>
        </is>
      </c>
      <c r="C24" s="3" t="inlineStr">
        <is>
          <t>SIM-00029</t>
        </is>
      </c>
      <c r="D24" s="3" t="inlineStr">
        <is>
          <t>RO-03629</t>
        </is>
      </c>
      <c r="E24" s="3" t="n">
        <v>1</v>
      </c>
      <c r="F24" s="3" t="n">
        <v>6</v>
      </c>
      <c r="G24" s="3" t="n">
        <v>249</v>
      </c>
      <c r="H24" s="4">
        <f>G24/E24</f>
        <v/>
      </c>
      <c r="I24" s="3" t="n">
        <v>2.2</v>
      </c>
      <c r="J24" s="4">
        <f>(F24-Assumptions!$B$13)/(Assumptions!$C$13-Assumptions!$B$13)</f>
        <v/>
      </c>
      <c r="K24" s="4">
        <f>(H24-Assumptions!$B$14)/(Assumptions!$C$14-Assumptions!$B$14)</f>
        <v/>
      </c>
      <c r="L24" s="4">
        <f>(I24-Assumptions!$B$15)/(Assumptions!$C$15-Assumptions!$B$15)</f>
        <v/>
      </c>
      <c r="M24" s="4">
        <f>0.4*J24+0.4*K24+0.2*L24</f>
        <v/>
      </c>
    </row>
    <row r="25">
      <c r="A25" s="3" t="inlineStr">
        <is>
          <t>Normal</t>
        </is>
      </c>
      <c r="B25" s="3" t="inlineStr">
        <is>
          <t>DEL_HB</t>
        </is>
      </c>
      <c r="C25" s="3" t="inlineStr">
        <is>
          <t>SIM-00029</t>
        </is>
      </c>
      <c r="D25" s="3" t="inlineStr">
        <is>
          <t>RO-03629</t>
        </is>
      </c>
      <c r="E25" s="3" t="n">
        <v>241</v>
      </c>
      <c r="F25" s="3" t="n">
        <v>6</v>
      </c>
      <c r="G25" s="3" t="n">
        <v>249</v>
      </c>
      <c r="H25" s="4">
        <f>G25/E25</f>
        <v/>
      </c>
      <c r="I25" s="3" t="n">
        <v>2.2</v>
      </c>
      <c r="J25" s="4">
        <f>(F25-Assumptions!$B$13)/(Assumptions!$C$13-Assumptions!$B$13)</f>
        <v/>
      </c>
      <c r="K25" s="4">
        <f>(H25-Assumptions!$B$14)/(Assumptions!$C$14-Assumptions!$B$14)</f>
        <v/>
      </c>
      <c r="L25" s="4">
        <f>(I25-Assumptions!$B$15)/(Assumptions!$C$15-Assumptions!$B$15)</f>
        <v/>
      </c>
      <c r="M25" s="4">
        <f>0.4*J25+0.4*K25+0.2*L25</f>
        <v/>
      </c>
    </row>
    <row r="26">
      <c r="A26" s="3" t="inlineStr">
        <is>
          <t>Normal</t>
        </is>
      </c>
      <c r="B26" s="3" t="inlineStr">
        <is>
          <t>DEL_BJ</t>
        </is>
      </c>
      <c r="C26" s="3" t="inlineStr">
        <is>
          <t>SIM-00032</t>
        </is>
      </c>
      <c r="D26" s="3" t="inlineStr">
        <is>
          <t>RO-03672</t>
        </is>
      </c>
      <c r="E26" s="3" t="n">
        <v>78</v>
      </c>
      <c r="F26" s="3" t="n">
        <v>1</v>
      </c>
      <c r="G26" s="3" t="n">
        <v>645</v>
      </c>
      <c r="H26" s="4">
        <f>G26/E26</f>
        <v/>
      </c>
      <c r="I26" s="3" t="n">
        <v>0.6</v>
      </c>
      <c r="J26" s="4">
        <f>(F26-Assumptions!$B$13)/(Assumptions!$C$13-Assumptions!$B$13)</f>
        <v/>
      </c>
      <c r="K26" s="4">
        <f>(H26-Assumptions!$B$14)/(Assumptions!$C$14-Assumptions!$B$14)</f>
        <v/>
      </c>
      <c r="L26" s="4">
        <f>(I26-Assumptions!$B$15)/(Assumptions!$C$15-Assumptions!$B$15)</f>
        <v/>
      </c>
      <c r="M26" s="4">
        <f>0.4*J26+0.4*K26+0.2*L26</f>
        <v/>
      </c>
    </row>
    <row r="27">
      <c r="A27" s="3" t="inlineStr">
        <is>
          <t>Normal</t>
        </is>
      </c>
      <c r="B27" s="3" t="inlineStr">
        <is>
          <t>DEL_AV</t>
        </is>
      </c>
      <c r="C27" s="3" t="inlineStr">
        <is>
          <t>SIM-00034</t>
        </is>
      </c>
      <c r="D27" s="3" t="inlineStr">
        <is>
          <t>RO-03746</t>
        </is>
      </c>
      <c r="E27" s="3" t="n">
        <v>5.5</v>
      </c>
      <c r="F27" s="3" t="n">
        <v>9</v>
      </c>
      <c r="G27" s="3" t="n">
        <v>169</v>
      </c>
      <c r="H27" s="4">
        <f>G27/E27</f>
        <v/>
      </c>
      <c r="I27" s="3" t="n">
        <v>2.8</v>
      </c>
      <c r="J27" s="4">
        <f>(F27-Assumptions!$B$13)/(Assumptions!$C$13-Assumptions!$B$13)</f>
        <v/>
      </c>
      <c r="K27" s="4">
        <f>(H27-Assumptions!$B$14)/(Assumptions!$C$14-Assumptions!$B$14)</f>
        <v/>
      </c>
      <c r="L27" s="4">
        <f>(I27-Assumptions!$B$15)/(Assumptions!$C$15-Assumptions!$B$15)</f>
        <v/>
      </c>
      <c r="M27" s="4">
        <f>0.4*J27+0.4*K27+0.2*L27</f>
        <v/>
      </c>
    </row>
    <row r="28">
      <c r="A28" s="3" t="inlineStr">
        <is>
          <t>Normal</t>
        </is>
      </c>
      <c r="B28" s="3" t="inlineStr">
        <is>
          <t>DEL_DH</t>
        </is>
      </c>
      <c r="C28" s="3" t="inlineStr">
        <is>
          <t>SIM-00037</t>
        </is>
      </c>
      <c r="D28" s="3" t="inlineStr">
        <is>
          <t>RO-03637</t>
        </is>
      </c>
      <c r="E28" s="3" t="n">
        <v>4.5</v>
      </c>
      <c r="F28" s="3" t="n">
        <v>2</v>
      </c>
      <c r="G28" s="3" t="n">
        <v>497</v>
      </c>
      <c r="H28" s="4">
        <f>G28/E28</f>
        <v/>
      </c>
      <c r="I28" s="3" t="n">
        <v>1.2</v>
      </c>
      <c r="J28" s="4">
        <f>(F28-Assumptions!$B$13)/(Assumptions!$C$13-Assumptions!$B$13)</f>
        <v/>
      </c>
      <c r="K28" s="4">
        <f>(H28-Assumptions!$B$14)/(Assumptions!$C$14-Assumptions!$B$14)</f>
        <v/>
      </c>
      <c r="L28" s="4">
        <f>(I28-Assumptions!$B$15)/(Assumptions!$C$15-Assumptions!$B$15)</f>
        <v/>
      </c>
      <c r="M28" s="4">
        <f>0.4*J28+0.4*K28+0.2*L28</f>
        <v/>
      </c>
    </row>
    <row r="29">
      <c r="A29" s="3" t="inlineStr">
        <is>
          <t>Normal</t>
        </is>
      </c>
      <c r="B29" s="3" t="inlineStr">
        <is>
          <t>DEL_CC</t>
        </is>
      </c>
      <c r="C29" s="3" t="inlineStr">
        <is>
          <t>SIM-00039</t>
        </is>
      </c>
      <c r="D29" s="3" t="inlineStr">
        <is>
          <t>RO-03679</t>
        </is>
      </c>
      <c r="E29" s="3" t="n">
        <v>406</v>
      </c>
      <c r="F29" s="3" t="n">
        <v>3</v>
      </c>
      <c r="G29" s="3" t="n">
        <v>729</v>
      </c>
      <c r="H29" s="4">
        <f>G29/E29</f>
        <v/>
      </c>
      <c r="I29" s="3" t="n">
        <v>0.8</v>
      </c>
      <c r="J29" s="4">
        <f>(F29-Assumptions!$B$13)/(Assumptions!$C$13-Assumptions!$B$13)</f>
        <v/>
      </c>
      <c r="K29" s="4">
        <f>(H29-Assumptions!$B$14)/(Assumptions!$C$14-Assumptions!$B$14)</f>
        <v/>
      </c>
      <c r="L29" s="4">
        <f>(I29-Assumptions!$B$15)/(Assumptions!$C$15-Assumptions!$B$15)</f>
        <v/>
      </c>
      <c r="M29" s="4">
        <f>0.4*J29+0.4*K29+0.2*L29</f>
        <v/>
      </c>
    </row>
    <row r="30">
      <c r="A30" s="3" t="inlineStr">
        <is>
          <t>Normal</t>
        </is>
      </c>
      <c r="B30" s="3" t="inlineStr">
        <is>
          <t>DEL_A</t>
        </is>
      </c>
      <c r="C30" s="3" t="inlineStr">
        <is>
          <t>SIM-00040</t>
        </is>
      </c>
      <c r="D30" s="3" t="inlineStr">
        <is>
          <t>RO-03640</t>
        </is>
      </c>
      <c r="E30" s="3" t="n">
        <v>204</v>
      </c>
      <c r="F30" s="3" t="n">
        <v>1</v>
      </c>
      <c r="G30" s="3" t="n">
        <v>693</v>
      </c>
      <c r="H30" s="4">
        <f>G30/E30</f>
        <v/>
      </c>
      <c r="I30" s="3" t="n">
        <v>1.3</v>
      </c>
      <c r="J30" s="4">
        <f>(F30-Assumptions!$B$13)/(Assumptions!$C$13-Assumptions!$B$13)</f>
        <v/>
      </c>
      <c r="K30" s="4">
        <f>(H30-Assumptions!$B$14)/(Assumptions!$C$14-Assumptions!$B$14)</f>
        <v/>
      </c>
      <c r="L30" s="4">
        <f>(I30-Assumptions!$B$15)/(Assumptions!$C$15-Assumptions!$B$15)</f>
        <v/>
      </c>
      <c r="M30" s="4">
        <f>0.4*J30+0.4*K30+0.2*L30</f>
        <v/>
      </c>
    </row>
    <row r="31">
      <c r="A31" s="3" t="inlineStr">
        <is>
          <t>Normal</t>
        </is>
      </c>
      <c r="B31" s="3" t="inlineStr">
        <is>
          <t>DEL_AH</t>
        </is>
      </c>
      <c r="C31" s="3" t="inlineStr">
        <is>
          <t>SIM-00040</t>
        </is>
      </c>
      <c r="D31" s="3" t="inlineStr">
        <is>
          <t>RO-03640</t>
        </is>
      </c>
      <c r="E31" s="3" t="n">
        <v>2400</v>
      </c>
      <c r="F31" s="3" t="n">
        <v>1</v>
      </c>
      <c r="G31" s="3" t="n">
        <v>693</v>
      </c>
      <c r="H31" s="4">
        <f>G31/E31</f>
        <v/>
      </c>
      <c r="I31" s="3" t="n">
        <v>1.3</v>
      </c>
      <c r="J31" s="4">
        <f>(F31-Assumptions!$B$13)/(Assumptions!$C$13-Assumptions!$B$13)</f>
        <v/>
      </c>
      <c r="K31" s="4">
        <f>(H31-Assumptions!$B$14)/(Assumptions!$C$14-Assumptions!$B$14)</f>
        <v/>
      </c>
      <c r="L31" s="4">
        <f>(I31-Assumptions!$B$15)/(Assumptions!$C$15-Assumptions!$B$15)</f>
        <v/>
      </c>
      <c r="M31" s="4">
        <f>0.4*J31+0.4*K31+0.2*L31</f>
        <v/>
      </c>
    </row>
    <row r="32">
      <c r="A32" s="3" t="inlineStr">
        <is>
          <t>Normal</t>
        </is>
      </c>
      <c r="B32" s="3" t="inlineStr">
        <is>
          <t>DEL_FU</t>
        </is>
      </c>
      <c r="C32" s="3" t="inlineStr">
        <is>
          <t>SIM-00040</t>
        </is>
      </c>
      <c r="D32" s="3" t="inlineStr">
        <is>
          <t>RO-03640</t>
        </is>
      </c>
      <c r="E32" s="3" t="n">
        <v>336.5</v>
      </c>
      <c r="F32" s="3" t="n">
        <v>1</v>
      </c>
      <c r="G32" s="3" t="n">
        <v>693</v>
      </c>
      <c r="H32" s="4">
        <f>G32/E32</f>
        <v/>
      </c>
      <c r="I32" s="3" t="n">
        <v>1.3</v>
      </c>
      <c r="J32" s="4">
        <f>(F32-Assumptions!$B$13)/(Assumptions!$C$13-Assumptions!$B$13)</f>
        <v/>
      </c>
      <c r="K32" s="4">
        <f>(H32-Assumptions!$B$14)/(Assumptions!$C$14-Assumptions!$B$14)</f>
        <v/>
      </c>
      <c r="L32" s="4">
        <f>(I32-Assumptions!$B$15)/(Assumptions!$C$15-Assumptions!$B$15)</f>
        <v/>
      </c>
      <c r="M32" s="4">
        <f>0.4*J32+0.4*K32+0.2*L32</f>
        <v/>
      </c>
    </row>
    <row r="33">
      <c r="A33" s="3" t="inlineStr">
        <is>
          <t>Normal</t>
        </is>
      </c>
      <c r="B33" s="3" t="inlineStr">
        <is>
          <t>DEL_DG</t>
        </is>
      </c>
      <c r="C33" s="3" t="inlineStr">
        <is>
          <t>SIM-00044</t>
        </is>
      </c>
      <c r="D33" s="3" t="inlineStr">
        <is>
          <t>RO-03644</t>
        </is>
      </c>
      <c r="E33" s="3" t="n">
        <v>4</v>
      </c>
      <c r="F33" s="3" t="n">
        <v>4</v>
      </c>
      <c r="G33" s="3" t="n">
        <v>581</v>
      </c>
      <c r="H33" s="4">
        <f>G33/E33</f>
        <v/>
      </c>
      <c r="I33" s="3" t="n">
        <v>1.4</v>
      </c>
      <c r="J33" s="4">
        <f>(F33-Assumptions!$B$13)/(Assumptions!$C$13-Assumptions!$B$13)</f>
        <v/>
      </c>
      <c r="K33" s="4">
        <f>(H33-Assumptions!$B$14)/(Assumptions!$C$14-Assumptions!$B$14)</f>
        <v/>
      </c>
      <c r="L33" s="4">
        <f>(I33-Assumptions!$B$15)/(Assumptions!$C$15-Assumptions!$B$15)</f>
        <v/>
      </c>
      <c r="M33" s="4">
        <f>0.4*J33+0.4*K33+0.2*L33</f>
        <v/>
      </c>
    </row>
    <row r="34">
      <c r="A34" s="3" t="inlineStr">
        <is>
          <t>Normal</t>
        </is>
      </c>
      <c r="B34" s="3" t="inlineStr">
        <is>
          <t>DEL_ES</t>
        </is>
      </c>
      <c r="C34" s="3" t="inlineStr">
        <is>
          <t>SIM-00045</t>
        </is>
      </c>
      <c r="D34" s="3" t="inlineStr">
        <is>
          <t>RO-03645</t>
        </is>
      </c>
      <c r="E34" s="3" t="n">
        <v>1759.5</v>
      </c>
      <c r="F34" s="3" t="n">
        <v>2</v>
      </c>
      <c r="G34" s="3" t="n">
        <v>485</v>
      </c>
      <c r="H34" s="4">
        <f>G34/E34</f>
        <v/>
      </c>
      <c r="I34" s="3" t="n">
        <v>1.5</v>
      </c>
      <c r="J34" s="4">
        <f>(F34-Assumptions!$B$13)/(Assumptions!$C$13-Assumptions!$B$13)</f>
        <v/>
      </c>
      <c r="K34" s="4">
        <f>(H34-Assumptions!$B$14)/(Assumptions!$C$14-Assumptions!$B$14)</f>
        <v/>
      </c>
      <c r="L34" s="4">
        <f>(I34-Assumptions!$B$15)/(Assumptions!$C$15-Assumptions!$B$15)</f>
        <v/>
      </c>
      <c r="M34" s="4">
        <f>0.4*J34+0.4*K34+0.2*L34</f>
        <v/>
      </c>
    </row>
    <row r="35">
      <c r="A35" s="3" t="inlineStr">
        <is>
          <t>Normal</t>
        </is>
      </c>
      <c r="B35" s="3" t="inlineStr">
        <is>
          <t>DEL_AL</t>
        </is>
      </c>
      <c r="C35" s="3" t="inlineStr">
        <is>
          <t>SIM-00049</t>
        </is>
      </c>
      <c r="D35" s="3" t="inlineStr">
        <is>
          <t>RO-03687</t>
        </is>
      </c>
      <c r="E35" s="3" t="n">
        <v>13</v>
      </c>
      <c r="F35" s="3" t="n">
        <v>4</v>
      </c>
      <c r="G35" s="3" t="n">
        <v>297</v>
      </c>
      <c r="H35" s="4">
        <f>G35/E35</f>
        <v/>
      </c>
      <c r="I35" s="3" t="n">
        <v>1.9</v>
      </c>
      <c r="J35" s="4">
        <f>(F35-Assumptions!$B$13)/(Assumptions!$C$13-Assumptions!$B$13)</f>
        <v/>
      </c>
      <c r="K35" s="4">
        <f>(H35-Assumptions!$B$14)/(Assumptions!$C$14-Assumptions!$B$14)</f>
        <v/>
      </c>
      <c r="L35" s="4">
        <f>(I35-Assumptions!$B$15)/(Assumptions!$C$15-Assumptions!$B$15)</f>
        <v/>
      </c>
      <c r="M35" s="4">
        <f>0.4*J35+0.4*K35+0.2*L35</f>
        <v/>
      </c>
    </row>
    <row r="36">
      <c r="A36" s="3" t="inlineStr">
        <is>
          <t>Normal</t>
        </is>
      </c>
      <c r="B36" s="3" t="inlineStr">
        <is>
          <t>DEL_EI</t>
        </is>
      </c>
      <c r="C36" s="3" t="inlineStr">
        <is>
          <t>SIM-00052</t>
        </is>
      </c>
      <c r="D36" s="3" t="inlineStr">
        <is>
          <t>RO-03652</t>
        </is>
      </c>
      <c r="E36" s="3" t="n">
        <v>12.5</v>
      </c>
      <c r="F36" s="3" t="n">
        <v>1</v>
      </c>
      <c r="G36" s="3" t="n">
        <v>729</v>
      </c>
      <c r="H36" s="4">
        <f>G36/E36</f>
        <v/>
      </c>
      <c r="I36" s="3" t="n">
        <v>1.3</v>
      </c>
      <c r="J36" s="4">
        <f>(F36-Assumptions!$B$13)/(Assumptions!$C$13-Assumptions!$B$13)</f>
        <v/>
      </c>
      <c r="K36" s="4">
        <f>(H36-Assumptions!$B$14)/(Assumptions!$C$14-Assumptions!$B$14)</f>
        <v/>
      </c>
      <c r="L36" s="4">
        <f>(I36-Assumptions!$B$15)/(Assumptions!$C$15-Assumptions!$B$15)</f>
        <v/>
      </c>
      <c r="M36" s="4">
        <f>0.4*J36+0.4*K36+0.2*L36</f>
        <v/>
      </c>
    </row>
    <row r="37">
      <c r="A37" s="3" t="inlineStr">
        <is>
          <t>Normal</t>
        </is>
      </c>
      <c r="B37" s="3" t="inlineStr">
        <is>
          <t>DEL_GR</t>
        </is>
      </c>
      <c r="C37" s="3" t="inlineStr">
        <is>
          <t>SIM-00052</t>
        </is>
      </c>
      <c r="D37" s="3" t="inlineStr">
        <is>
          <t>RO-03652</t>
        </is>
      </c>
      <c r="E37" s="3" t="n">
        <v>255</v>
      </c>
      <c r="F37" s="3" t="n">
        <v>1</v>
      </c>
      <c r="G37" s="3" t="n">
        <v>729</v>
      </c>
      <c r="H37" s="4">
        <f>G37/E37</f>
        <v/>
      </c>
      <c r="I37" s="3" t="n">
        <v>1.3</v>
      </c>
      <c r="J37" s="4">
        <f>(F37-Assumptions!$B$13)/(Assumptions!$C$13-Assumptions!$B$13)</f>
        <v/>
      </c>
      <c r="K37" s="4">
        <f>(H37-Assumptions!$B$14)/(Assumptions!$C$14-Assumptions!$B$14)</f>
        <v/>
      </c>
      <c r="L37" s="4">
        <f>(I37-Assumptions!$B$15)/(Assumptions!$C$15-Assumptions!$B$15)</f>
        <v/>
      </c>
      <c r="M37" s="4">
        <f>0.4*J37+0.4*K37+0.2*L37</f>
        <v/>
      </c>
    </row>
    <row r="38">
      <c r="A38" s="3" t="inlineStr">
        <is>
          <t>Normal</t>
        </is>
      </c>
      <c r="B38" s="3" t="inlineStr">
        <is>
          <t>DEL_GB</t>
        </is>
      </c>
      <c r="C38" s="3" t="inlineStr">
        <is>
          <t>SIM-00054</t>
        </is>
      </c>
      <c r="D38" s="3" t="inlineStr">
        <is>
          <t>RO-03654</t>
        </is>
      </c>
      <c r="E38" s="3" t="n">
        <v>154</v>
      </c>
      <c r="F38" s="3" t="n">
        <v>11</v>
      </c>
      <c r="G38" s="3" t="n">
        <v>145</v>
      </c>
      <c r="H38" s="4">
        <f>G38/E38</f>
        <v/>
      </c>
      <c r="I38" s="3" t="n">
        <v>2.5</v>
      </c>
      <c r="J38" s="4">
        <f>(F38-Assumptions!$B$13)/(Assumptions!$C$13-Assumptions!$B$13)</f>
        <v/>
      </c>
      <c r="K38" s="4">
        <f>(H38-Assumptions!$B$14)/(Assumptions!$C$14-Assumptions!$B$14)</f>
        <v/>
      </c>
      <c r="L38" s="4">
        <f>(I38-Assumptions!$B$15)/(Assumptions!$C$15-Assumptions!$B$15)</f>
        <v/>
      </c>
      <c r="M38" s="4">
        <f>0.4*J38+0.4*K38+0.2*L38</f>
        <v/>
      </c>
    </row>
    <row r="39">
      <c r="A39" s="3" t="inlineStr">
        <is>
          <t>Normal</t>
        </is>
      </c>
      <c r="B39" s="3" t="inlineStr">
        <is>
          <t>DEL_DO</t>
        </is>
      </c>
      <c r="C39" s="3" t="inlineStr">
        <is>
          <t>SIM-00057</t>
        </is>
      </c>
      <c r="D39" s="3" t="inlineStr">
        <is>
          <t>RO-03657</t>
        </is>
      </c>
      <c r="E39" s="3" t="n">
        <v>24</v>
      </c>
      <c r="F39" s="3" t="n">
        <v>2</v>
      </c>
      <c r="G39" s="3" t="n">
        <v>521</v>
      </c>
      <c r="H39" s="4">
        <f>G39/E39</f>
        <v/>
      </c>
      <c r="I39" s="3" t="n">
        <v>1.5</v>
      </c>
      <c r="J39" s="4">
        <f>(F39-Assumptions!$B$13)/(Assumptions!$C$13-Assumptions!$B$13)</f>
        <v/>
      </c>
      <c r="K39" s="4">
        <f>(H39-Assumptions!$B$14)/(Assumptions!$C$14-Assumptions!$B$14)</f>
        <v/>
      </c>
      <c r="L39" s="4">
        <f>(I39-Assumptions!$B$15)/(Assumptions!$C$15-Assumptions!$B$15)</f>
        <v/>
      </c>
      <c r="M39" s="4">
        <f>0.4*J39+0.4*K39+0.2*L39</f>
        <v/>
      </c>
    </row>
    <row r="40">
      <c r="A40" s="3" t="inlineStr">
        <is>
          <t>Normal</t>
        </is>
      </c>
      <c r="B40" s="3" t="inlineStr">
        <is>
          <t>DEL_GF</t>
        </is>
      </c>
      <c r="C40" s="3" t="inlineStr">
        <is>
          <t>SIM-00057</t>
        </is>
      </c>
      <c r="D40" s="3" t="inlineStr">
        <is>
          <t>RO-03657</t>
        </is>
      </c>
      <c r="E40" s="3" t="n">
        <v>31</v>
      </c>
      <c r="F40" s="3" t="n">
        <v>2</v>
      </c>
      <c r="G40" s="3" t="n">
        <v>521</v>
      </c>
      <c r="H40" s="4">
        <f>G40/E40</f>
        <v/>
      </c>
      <c r="I40" s="3" t="n">
        <v>1.5</v>
      </c>
      <c r="J40" s="4">
        <f>(F40-Assumptions!$B$13)/(Assumptions!$C$13-Assumptions!$B$13)</f>
        <v/>
      </c>
      <c r="K40" s="4">
        <f>(H40-Assumptions!$B$14)/(Assumptions!$C$14-Assumptions!$B$14)</f>
        <v/>
      </c>
      <c r="L40" s="4">
        <f>(I40-Assumptions!$B$15)/(Assumptions!$C$15-Assumptions!$B$15)</f>
        <v/>
      </c>
      <c r="M40" s="4">
        <f>0.4*J40+0.4*K40+0.2*L40</f>
        <v/>
      </c>
    </row>
    <row r="41">
      <c r="A41" s="3" t="inlineStr">
        <is>
          <t>Normal</t>
        </is>
      </c>
      <c r="B41" s="3" t="inlineStr">
        <is>
          <t>DEL_O</t>
        </is>
      </c>
      <c r="C41" s="3" t="inlineStr">
        <is>
          <t>SIM-00059</t>
        </is>
      </c>
      <c r="D41" s="3" t="inlineStr">
        <is>
          <t>RO-03768</t>
        </is>
      </c>
      <c r="E41" s="3" t="n">
        <v>10.5</v>
      </c>
      <c r="F41" s="3" t="n">
        <v>2</v>
      </c>
      <c r="G41" s="3" t="n">
        <v>717</v>
      </c>
      <c r="H41" s="4">
        <f>G41/E41</f>
        <v/>
      </c>
      <c r="I41" s="3" t="n">
        <v>0.6</v>
      </c>
      <c r="J41" s="4">
        <f>(F41-Assumptions!$B$13)/(Assumptions!$C$13-Assumptions!$B$13)</f>
        <v/>
      </c>
      <c r="K41" s="4">
        <f>(H41-Assumptions!$B$14)/(Assumptions!$C$14-Assumptions!$B$14)</f>
        <v/>
      </c>
      <c r="L41" s="4">
        <f>(I41-Assumptions!$B$15)/(Assumptions!$C$15-Assumptions!$B$15)</f>
        <v/>
      </c>
      <c r="M41" s="4">
        <f>0.4*J41+0.4*K41+0.2*L41</f>
        <v/>
      </c>
    </row>
    <row r="42">
      <c r="A42" s="3" t="inlineStr">
        <is>
          <t>Normal</t>
        </is>
      </c>
      <c r="B42" s="3" t="inlineStr">
        <is>
          <t>DEL_AR</t>
        </is>
      </c>
      <c r="C42" s="3" t="inlineStr">
        <is>
          <t>SIM-00062</t>
        </is>
      </c>
      <c r="D42" s="3" t="inlineStr">
        <is>
          <t>RO-03662</t>
        </is>
      </c>
      <c r="E42" s="3" t="n">
        <v>242.5</v>
      </c>
      <c r="F42" s="3" t="n">
        <v>4</v>
      </c>
      <c r="G42" s="3" t="n">
        <v>321</v>
      </c>
      <c r="H42" s="4">
        <f>G42/E42</f>
        <v/>
      </c>
      <c r="I42" s="3" t="n">
        <v>1.8</v>
      </c>
      <c r="J42" s="4">
        <f>(F42-Assumptions!$B$13)/(Assumptions!$C$13-Assumptions!$B$13)</f>
        <v/>
      </c>
      <c r="K42" s="4">
        <f>(H42-Assumptions!$B$14)/(Assumptions!$C$14-Assumptions!$B$14)</f>
        <v/>
      </c>
      <c r="L42" s="4">
        <f>(I42-Assumptions!$B$15)/(Assumptions!$C$15-Assumptions!$B$15)</f>
        <v/>
      </c>
      <c r="M42" s="4">
        <f>0.4*J42+0.4*K42+0.2*L42</f>
        <v/>
      </c>
    </row>
    <row r="43">
      <c r="A43" s="3" t="inlineStr">
        <is>
          <t>Normal</t>
        </is>
      </c>
      <c r="B43" s="3" t="inlineStr">
        <is>
          <t>DEL_EY</t>
        </is>
      </c>
      <c r="C43" s="3" t="inlineStr">
        <is>
          <t>SIM-00063</t>
        </is>
      </c>
      <c r="D43" s="3" t="inlineStr">
        <is>
          <t>RO-03663</t>
        </is>
      </c>
      <c r="E43" s="3" t="n">
        <v>6.5</v>
      </c>
      <c r="F43" s="3" t="n">
        <v>10</v>
      </c>
      <c r="G43" s="3" t="n">
        <v>145</v>
      </c>
      <c r="H43" s="4">
        <f>G43/E43</f>
        <v/>
      </c>
      <c r="I43" s="3" t="n">
        <v>2.9</v>
      </c>
      <c r="J43" s="4">
        <f>(F43-Assumptions!$B$13)/(Assumptions!$C$13-Assumptions!$B$13)</f>
        <v/>
      </c>
      <c r="K43" s="4">
        <f>(H43-Assumptions!$B$14)/(Assumptions!$C$14-Assumptions!$B$14)</f>
        <v/>
      </c>
      <c r="L43" s="4">
        <f>(I43-Assumptions!$B$15)/(Assumptions!$C$15-Assumptions!$B$15)</f>
        <v/>
      </c>
      <c r="M43" s="4">
        <f>0.4*J43+0.4*K43+0.2*L43</f>
        <v/>
      </c>
    </row>
    <row r="44">
      <c r="A44" s="3" t="inlineStr">
        <is>
          <t>Normal</t>
        </is>
      </c>
      <c r="B44" s="3" t="inlineStr">
        <is>
          <t>DEL_AA</t>
        </is>
      </c>
      <c r="C44" s="3" t="inlineStr">
        <is>
          <t>SIM-00074</t>
        </is>
      </c>
      <c r="D44" s="3" t="inlineStr">
        <is>
          <t>RO-03674</t>
        </is>
      </c>
      <c r="E44" s="3" t="n">
        <v>2776</v>
      </c>
      <c r="F44" s="3" t="n">
        <v>11</v>
      </c>
      <c r="G44" s="3" t="n">
        <v>169</v>
      </c>
      <c r="H44" s="4">
        <f>G44/E44</f>
        <v/>
      </c>
      <c r="I44" s="3" t="n">
        <v>2.8</v>
      </c>
      <c r="J44" s="4">
        <f>(F44-Assumptions!$B$13)/(Assumptions!$C$13-Assumptions!$B$13)</f>
        <v/>
      </c>
      <c r="K44" s="4">
        <f>(H44-Assumptions!$B$14)/(Assumptions!$C$14-Assumptions!$B$14)</f>
        <v/>
      </c>
      <c r="L44" s="4">
        <f>(I44-Assumptions!$B$15)/(Assumptions!$C$15-Assumptions!$B$15)</f>
        <v/>
      </c>
      <c r="M44" s="4">
        <f>0.4*J44+0.4*K44+0.2*L44</f>
        <v/>
      </c>
    </row>
    <row r="45">
      <c r="A45" s="3" t="inlineStr">
        <is>
          <t>Normal</t>
        </is>
      </c>
      <c r="B45" s="3" t="inlineStr">
        <is>
          <t>DEL_ER</t>
        </is>
      </c>
      <c r="C45" s="3" t="inlineStr">
        <is>
          <t>SIM-00077</t>
        </is>
      </c>
      <c r="D45" s="3" t="inlineStr">
        <is>
          <t>RO-03677</t>
        </is>
      </c>
      <c r="E45" s="3" t="n">
        <v>157.5</v>
      </c>
      <c r="F45" s="3" t="n">
        <v>2</v>
      </c>
      <c r="G45" s="3" t="n">
        <v>545</v>
      </c>
      <c r="H45" s="4">
        <f>G45/E45</f>
        <v/>
      </c>
      <c r="I45" s="3" t="n">
        <v>1.8</v>
      </c>
      <c r="J45" s="4">
        <f>(F45-Assumptions!$B$13)/(Assumptions!$C$13-Assumptions!$B$13)</f>
        <v/>
      </c>
      <c r="K45" s="4">
        <f>(H45-Assumptions!$B$14)/(Assumptions!$C$14-Assumptions!$B$14)</f>
        <v/>
      </c>
      <c r="L45" s="4">
        <f>(I45-Assumptions!$B$15)/(Assumptions!$C$15-Assumptions!$B$15)</f>
        <v/>
      </c>
      <c r="M45" s="4">
        <f>0.4*J45+0.4*K45+0.2*L45</f>
        <v/>
      </c>
    </row>
    <row r="46">
      <c r="A46" s="3" t="inlineStr">
        <is>
          <t>Normal</t>
        </is>
      </c>
      <c r="B46" s="3" t="inlineStr">
        <is>
          <t>DEL_FM</t>
        </is>
      </c>
      <c r="C46" s="3" t="inlineStr">
        <is>
          <t>SIM-00077</t>
        </is>
      </c>
      <c r="D46" s="3" t="inlineStr">
        <is>
          <t>RO-03677</t>
        </is>
      </c>
      <c r="E46" s="3" t="n">
        <v>7.5</v>
      </c>
      <c r="F46" s="3" t="n">
        <v>2</v>
      </c>
      <c r="G46" s="3" t="n">
        <v>545</v>
      </c>
      <c r="H46" s="4">
        <f>G46/E46</f>
        <v/>
      </c>
      <c r="I46" s="3" t="n">
        <v>1.8</v>
      </c>
      <c r="J46" s="4">
        <f>(F46-Assumptions!$B$13)/(Assumptions!$C$13-Assumptions!$B$13)</f>
        <v/>
      </c>
      <c r="K46" s="4">
        <f>(H46-Assumptions!$B$14)/(Assumptions!$C$14-Assumptions!$B$14)</f>
        <v/>
      </c>
      <c r="L46" s="4">
        <f>(I46-Assumptions!$B$15)/(Assumptions!$C$15-Assumptions!$B$15)</f>
        <v/>
      </c>
      <c r="M46" s="4">
        <f>0.4*J46+0.4*K46+0.2*L46</f>
        <v/>
      </c>
    </row>
    <row r="47">
      <c r="A47" s="3" t="inlineStr">
        <is>
          <t>Normal</t>
        </is>
      </c>
      <c r="B47" s="3" t="inlineStr">
        <is>
          <t>DEL_GP</t>
        </is>
      </c>
      <c r="C47" s="3" t="inlineStr">
        <is>
          <t>SIM-00080</t>
        </is>
      </c>
      <c r="D47" s="3" t="inlineStr">
        <is>
          <t>RO-03680</t>
        </is>
      </c>
      <c r="E47" s="3" t="n">
        <v>459</v>
      </c>
      <c r="F47" s="3" t="n">
        <v>1</v>
      </c>
      <c r="G47" s="3" t="n">
        <v>741</v>
      </c>
      <c r="H47" s="4">
        <f>G47/E47</f>
        <v/>
      </c>
      <c r="I47" s="3" t="n">
        <v>0.9</v>
      </c>
      <c r="J47" s="4">
        <f>(F47-Assumptions!$B$13)/(Assumptions!$C$13-Assumptions!$B$13)</f>
        <v/>
      </c>
      <c r="K47" s="4">
        <f>(H47-Assumptions!$B$14)/(Assumptions!$C$14-Assumptions!$B$14)</f>
        <v/>
      </c>
      <c r="L47" s="4">
        <f>(I47-Assumptions!$B$15)/(Assumptions!$C$15-Assumptions!$B$15)</f>
        <v/>
      </c>
      <c r="M47" s="4">
        <f>0.4*J47+0.4*K47+0.2*L47</f>
        <v/>
      </c>
    </row>
    <row r="48">
      <c r="A48" s="3" t="inlineStr">
        <is>
          <t>Normal</t>
        </is>
      </c>
      <c r="B48" s="3" t="inlineStr">
        <is>
          <t>DEL_DD</t>
        </is>
      </c>
      <c r="C48" s="3" t="inlineStr">
        <is>
          <t>SIM-00084</t>
        </is>
      </c>
      <c r="D48" s="3" t="inlineStr">
        <is>
          <t>RO-03684</t>
        </is>
      </c>
      <c r="E48" s="3" t="n">
        <v>90.5</v>
      </c>
      <c r="F48" s="3" t="n">
        <v>4</v>
      </c>
      <c r="G48" s="3" t="n">
        <v>521</v>
      </c>
      <c r="H48" s="4">
        <f>G48/E48</f>
        <v/>
      </c>
      <c r="I48" s="3" t="n">
        <v>1.1</v>
      </c>
      <c r="J48" s="4">
        <f>(F48-Assumptions!$B$13)/(Assumptions!$C$13-Assumptions!$B$13)</f>
        <v/>
      </c>
      <c r="K48" s="4">
        <f>(H48-Assumptions!$B$14)/(Assumptions!$C$14-Assumptions!$B$14)</f>
        <v/>
      </c>
      <c r="L48" s="4">
        <f>(I48-Assumptions!$B$15)/(Assumptions!$C$15-Assumptions!$B$15)</f>
        <v/>
      </c>
      <c r="M48" s="4">
        <f>0.4*J48+0.4*K48+0.2*L48</f>
        <v/>
      </c>
    </row>
    <row r="49">
      <c r="A49" s="3" t="inlineStr">
        <is>
          <t>Normal</t>
        </is>
      </c>
      <c r="B49" s="3" t="inlineStr">
        <is>
          <t>DEL_GY</t>
        </is>
      </c>
      <c r="C49" s="3" t="inlineStr">
        <is>
          <t>SIM-00084</t>
        </is>
      </c>
      <c r="D49" s="3" t="inlineStr">
        <is>
          <t>RO-03684</t>
        </is>
      </c>
      <c r="E49" s="3" t="n">
        <v>165</v>
      </c>
      <c r="F49" s="3" t="n">
        <v>4</v>
      </c>
      <c r="G49" s="3" t="n">
        <v>521</v>
      </c>
      <c r="H49" s="4">
        <f>G49/E49</f>
        <v/>
      </c>
      <c r="I49" s="3" t="n">
        <v>1.1</v>
      </c>
      <c r="J49" s="4">
        <f>(F49-Assumptions!$B$13)/(Assumptions!$C$13-Assumptions!$B$13)</f>
        <v/>
      </c>
      <c r="K49" s="4">
        <f>(H49-Assumptions!$B$14)/(Assumptions!$C$14-Assumptions!$B$14)</f>
        <v/>
      </c>
      <c r="L49" s="4">
        <f>(I49-Assumptions!$B$15)/(Assumptions!$C$15-Assumptions!$B$15)</f>
        <v/>
      </c>
      <c r="M49" s="4">
        <f>0.4*J49+0.4*K49+0.2*L49</f>
        <v/>
      </c>
    </row>
    <row r="50">
      <c r="A50" s="3" t="inlineStr">
        <is>
          <t>Normal</t>
        </is>
      </c>
      <c r="B50" s="3" t="inlineStr">
        <is>
          <t>DEL_CT</t>
        </is>
      </c>
      <c r="C50" s="3" t="inlineStr">
        <is>
          <t>SIM-00088</t>
        </is>
      </c>
      <c r="D50" s="3" t="inlineStr">
        <is>
          <t>RO-03608</t>
        </is>
      </c>
      <c r="E50" s="3" t="n">
        <v>438</v>
      </c>
      <c r="F50" s="3" t="n">
        <v>2</v>
      </c>
      <c r="G50" s="3" t="n">
        <v>741</v>
      </c>
      <c r="H50" s="4">
        <f>G50/E50</f>
        <v/>
      </c>
      <c r="I50" s="3" t="n">
        <v>0.9</v>
      </c>
      <c r="J50" s="4">
        <f>(F50-Assumptions!$B$13)/(Assumptions!$C$13-Assumptions!$B$13)</f>
        <v/>
      </c>
      <c r="K50" s="4">
        <f>(H50-Assumptions!$B$14)/(Assumptions!$C$14-Assumptions!$B$14)</f>
        <v/>
      </c>
      <c r="L50" s="4">
        <f>(I50-Assumptions!$B$15)/(Assumptions!$C$15-Assumptions!$B$15)</f>
        <v/>
      </c>
      <c r="M50" s="4">
        <f>0.4*J50+0.4*K50+0.2*L50</f>
        <v/>
      </c>
    </row>
    <row r="51">
      <c r="A51" s="3" t="inlineStr">
        <is>
          <t>Normal</t>
        </is>
      </c>
      <c r="B51" s="3" t="inlineStr">
        <is>
          <t>DEL_HG</t>
        </is>
      </c>
      <c r="C51" s="3" t="inlineStr">
        <is>
          <t>SIM-00094</t>
        </is>
      </c>
      <c r="D51" s="3" t="inlineStr">
        <is>
          <t>RO-03614</t>
        </is>
      </c>
      <c r="E51" s="3" t="n">
        <v>4.5</v>
      </c>
      <c r="F51" s="3" t="n">
        <v>11</v>
      </c>
      <c r="G51" s="3" t="n">
        <v>205</v>
      </c>
      <c r="H51" s="4">
        <f>G51/E51</f>
        <v/>
      </c>
      <c r="I51" s="3" t="n">
        <v>2.8</v>
      </c>
      <c r="J51" s="4">
        <f>(F51-Assumptions!$B$13)/(Assumptions!$C$13-Assumptions!$B$13)</f>
        <v/>
      </c>
      <c r="K51" s="4">
        <f>(H51-Assumptions!$B$14)/(Assumptions!$C$14-Assumptions!$B$14)</f>
        <v/>
      </c>
      <c r="L51" s="4">
        <f>(I51-Assumptions!$B$15)/(Assumptions!$C$15-Assumptions!$B$15)</f>
        <v/>
      </c>
      <c r="M51" s="4">
        <f>0.4*J51+0.4*K51+0.2*L51</f>
        <v/>
      </c>
    </row>
    <row r="52">
      <c r="A52" s="3" t="inlineStr">
        <is>
          <t>Normal</t>
        </is>
      </c>
      <c r="B52" s="3" t="inlineStr">
        <is>
          <t>DEL_CU</t>
        </is>
      </c>
      <c r="C52" s="3" t="inlineStr">
        <is>
          <t>SIM-00097</t>
        </is>
      </c>
      <c r="D52" s="3" t="inlineStr">
        <is>
          <t>RO-03694</t>
        </is>
      </c>
      <c r="E52" s="3" t="n">
        <v>2635</v>
      </c>
      <c r="F52" s="3" t="n">
        <v>4</v>
      </c>
      <c r="G52" s="3" t="n">
        <v>533</v>
      </c>
      <c r="H52" s="4">
        <f>G52/E52</f>
        <v/>
      </c>
      <c r="I52" s="3" t="n">
        <v>1.7</v>
      </c>
      <c r="J52" s="4">
        <f>(F52-Assumptions!$B$13)/(Assumptions!$C$13-Assumptions!$B$13)</f>
        <v/>
      </c>
      <c r="K52" s="4">
        <f>(H52-Assumptions!$B$14)/(Assumptions!$C$14-Assumptions!$B$14)</f>
        <v/>
      </c>
      <c r="L52" s="4">
        <f>(I52-Assumptions!$B$15)/(Assumptions!$C$15-Assumptions!$B$15)</f>
        <v/>
      </c>
      <c r="M52" s="4">
        <f>0.4*J52+0.4*K52+0.2*L52</f>
        <v/>
      </c>
    </row>
    <row r="53">
      <c r="A53" s="3" t="inlineStr">
        <is>
          <t>Normal</t>
        </is>
      </c>
      <c r="B53" s="3" t="inlineStr">
        <is>
          <t>DEL_DW</t>
        </is>
      </c>
      <c r="C53" s="3" t="inlineStr">
        <is>
          <t>SIM-00097</t>
        </is>
      </c>
      <c r="D53" s="3" t="inlineStr">
        <is>
          <t>RO-03694</t>
        </is>
      </c>
      <c r="E53" s="3" t="n">
        <v>1617</v>
      </c>
      <c r="F53" s="3" t="n">
        <v>4</v>
      </c>
      <c r="G53" s="3" t="n">
        <v>533</v>
      </c>
      <c r="H53" s="4">
        <f>G53/E53</f>
        <v/>
      </c>
      <c r="I53" s="3" t="n">
        <v>1.7</v>
      </c>
      <c r="J53" s="4">
        <f>(F53-Assumptions!$B$13)/(Assumptions!$C$13-Assumptions!$B$13)</f>
        <v/>
      </c>
      <c r="K53" s="4">
        <f>(H53-Assumptions!$B$14)/(Assumptions!$C$14-Assumptions!$B$14)</f>
        <v/>
      </c>
      <c r="L53" s="4">
        <f>(I53-Assumptions!$B$15)/(Assumptions!$C$15-Assumptions!$B$15)</f>
        <v/>
      </c>
      <c r="M53" s="4">
        <f>0.4*J53+0.4*K53+0.2*L53</f>
        <v/>
      </c>
    </row>
    <row r="54">
      <c r="A54" s="3" t="inlineStr">
        <is>
          <t>Normal</t>
        </is>
      </c>
      <c r="B54" s="3" t="inlineStr">
        <is>
          <t>DEL_DP</t>
        </is>
      </c>
      <c r="C54" s="3" t="inlineStr">
        <is>
          <t>SIM-00100</t>
        </is>
      </c>
      <c r="D54" s="3" t="inlineStr">
        <is>
          <t>RO-03697</t>
        </is>
      </c>
      <c r="E54" s="3" t="n">
        <v>8.5</v>
      </c>
      <c r="F54" s="3" t="n">
        <v>1</v>
      </c>
      <c r="G54" s="3" t="n">
        <v>729</v>
      </c>
      <c r="H54" s="4">
        <f>G54/E54</f>
        <v/>
      </c>
      <c r="I54" s="3" t="n">
        <v>0.8</v>
      </c>
      <c r="J54" s="4">
        <f>(F54-Assumptions!$B$13)/(Assumptions!$C$13-Assumptions!$B$13)</f>
        <v/>
      </c>
      <c r="K54" s="4">
        <f>(H54-Assumptions!$B$14)/(Assumptions!$C$14-Assumptions!$B$14)</f>
        <v/>
      </c>
      <c r="L54" s="4">
        <f>(I54-Assumptions!$B$15)/(Assumptions!$C$15-Assumptions!$B$15)</f>
        <v/>
      </c>
      <c r="M54" s="4">
        <f>0.4*J54+0.4*K54+0.2*L54</f>
        <v/>
      </c>
    </row>
    <row r="55">
      <c r="A55" s="3" t="inlineStr">
        <is>
          <t>Normal</t>
        </is>
      </c>
      <c r="B55" s="3" t="inlineStr">
        <is>
          <t>DEL_HE</t>
        </is>
      </c>
      <c r="C55" s="3" t="inlineStr">
        <is>
          <t>SIM-00100</t>
        </is>
      </c>
      <c r="D55" s="3" t="inlineStr">
        <is>
          <t>RO-03697</t>
        </is>
      </c>
      <c r="E55" s="3" t="n">
        <v>374</v>
      </c>
      <c r="F55" s="3" t="n">
        <v>1</v>
      </c>
      <c r="G55" s="3" t="n">
        <v>729</v>
      </c>
      <c r="H55" s="4">
        <f>G55/E55</f>
        <v/>
      </c>
      <c r="I55" s="3" t="n">
        <v>0.8</v>
      </c>
      <c r="J55" s="4">
        <f>(F55-Assumptions!$B$13)/(Assumptions!$C$13-Assumptions!$B$13)</f>
        <v/>
      </c>
      <c r="K55" s="4">
        <f>(H55-Assumptions!$B$14)/(Assumptions!$C$14-Assumptions!$B$14)</f>
        <v/>
      </c>
      <c r="L55" s="4">
        <f>(I55-Assumptions!$B$15)/(Assumptions!$C$15-Assumptions!$B$15)</f>
        <v/>
      </c>
      <c r="M55" s="4">
        <f>0.4*J55+0.4*K55+0.2*L55</f>
        <v/>
      </c>
    </row>
    <row r="56">
      <c r="A56" s="3" t="inlineStr">
        <is>
          <t>Normal</t>
        </is>
      </c>
      <c r="B56" s="3" t="inlineStr">
        <is>
          <t>DEL_CN</t>
        </is>
      </c>
      <c r="C56" s="3" t="inlineStr">
        <is>
          <t>SIM-00102</t>
        </is>
      </c>
      <c r="D56" s="3" t="inlineStr">
        <is>
          <t>RO-03699</t>
        </is>
      </c>
      <c r="E56" s="3" t="n">
        <v>2</v>
      </c>
      <c r="F56" s="3" t="n">
        <v>6</v>
      </c>
      <c r="G56" s="3" t="n">
        <v>225</v>
      </c>
      <c r="H56" s="4">
        <f>G56/E56</f>
        <v/>
      </c>
      <c r="I56" s="3" t="n">
        <v>1.9</v>
      </c>
      <c r="J56" s="4">
        <f>(F56-Assumptions!$B$13)/(Assumptions!$C$13-Assumptions!$B$13)</f>
        <v/>
      </c>
      <c r="K56" s="4">
        <f>(H56-Assumptions!$B$14)/(Assumptions!$C$14-Assumptions!$B$14)</f>
        <v/>
      </c>
      <c r="L56" s="4">
        <f>(I56-Assumptions!$B$15)/(Assumptions!$C$15-Assumptions!$B$15)</f>
        <v/>
      </c>
      <c r="M56" s="4">
        <f>0.4*J56+0.4*K56+0.2*L56</f>
        <v/>
      </c>
    </row>
    <row r="57">
      <c r="A57" s="3" t="inlineStr">
        <is>
          <t>Normal</t>
        </is>
      </c>
      <c r="B57" s="3" t="inlineStr">
        <is>
          <t>DEL_FP</t>
        </is>
      </c>
      <c r="C57" s="3" t="inlineStr">
        <is>
          <t>SIM-00102</t>
        </is>
      </c>
      <c r="D57" s="3" t="inlineStr">
        <is>
          <t>RO-03699</t>
        </is>
      </c>
      <c r="E57" s="3" t="n">
        <v>8.5</v>
      </c>
      <c r="F57" s="3" t="n">
        <v>6</v>
      </c>
      <c r="G57" s="3" t="n">
        <v>225</v>
      </c>
      <c r="H57" s="4">
        <f>G57/E57</f>
        <v/>
      </c>
      <c r="I57" s="3" t="n">
        <v>1.9</v>
      </c>
      <c r="J57" s="4">
        <f>(F57-Assumptions!$B$13)/(Assumptions!$C$13-Assumptions!$B$13)</f>
        <v/>
      </c>
      <c r="K57" s="4">
        <f>(H57-Assumptions!$B$14)/(Assumptions!$C$14-Assumptions!$B$14)</f>
        <v/>
      </c>
      <c r="L57" s="4">
        <f>(I57-Assumptions!$B$15)/(Assumptions!$C$15-Assumptions!$B$15)</f>
        <v/>
      </c>
      <c r="M57" s="4">
        <f>0.4*J57+0.4*K57+0.2*L57</f>
        <v/>
      </c>
    </row>
    <row r="58">
      <c r="A58" s="3" t="inlineStr">
        <is>
          <t>Normal</t>
        </is>
      </c>
      <c r="B58" s="3" t="inlineStr">
        <is>
          <t>DEL_Z</t>
        </is>
      </c>
      <c r="C58" s="3" t="inlineStr">
        <is>
          <t>SIM-00104</t>
        </is>
      </c>
      <c r="D58" s="3" t="inlineStr">
        <is>
          <t>RO-03701</t>
        </is>
      </c>
      <c r="E58" s="3" t="n">
        <v>401.5</v>
      </c>
      <c r="F58" s="3" t="n">
        <v>2</v>
      </c>
      <c r="G58" s="3" t="n">
        <v>509</v>
      </c>
      <c r="H58" s="4">
        <f>G58/E58</f>
        <v/>
      </c>
      <c r="I58" s="3" t="n">
        <v>1.8</v>
      </c>
      <c r="J58" s="4">
        <f>(F58-Assumptions!$B$13)/(Assumptions!$C$13-Assumptions!$B$13)</f>
        <v/>
      </c>
      <c r="K58" s="4">
        <f>(H58-Assumptions!$B$14)/(Assumptions!$C$14-Assumptions!$B$14)</f>
        <v/>
      </c>
      <c r="L58" s="4">
        <f>(I58-Assumptions!$B$15)/(Assumptions!$C$15-Assumptions!$B$15)</f>
        <v/>
      </c>
      <c r="M58" s="4">
        <f>0.4*J58+0.4*K58+0.2*L58</f>
        <v/>
      </c>
    </row>
    <row r="59">
      <c r="A59" s="3" t="inlineStr">
        <is>
          <t>Normal</t>
        </is>
      </c>
      <c r="B59" s="3" t="inlineStr">
        <is>
          <t>DEL_EO</t>
        </is>
      </c>
      <c r="C59" s="3" t="inlineStr">
        <is>
          <t>SIM-00105</t>
        </is>
      </c>
      <c r="D59" s="3" t="inlineStr">
        <is>
          <t>RO-03702</t>
        </is>
      </c>
      <c r="E59" s="3" t="n">
        <v>42.5</v>
      </c>
      <c r="F59" s="3" t="n">
        <v>2</v>
      </c>
      <c r="G59" s="3" t="n">
        <v>521</v>
      </c>
      <c r="H59" s="4">
        <f>G59/E59</f>
        <v/>
      </c>
      <c r="I59" s="3" t="n">
        <v>1.1</v>
      </c>
      <c r="J59" s="4">
        <f>(F59-Assumptions!$B$13)/(Assumptions!$C$13-Assumptions!$B$13)</f>
        <v/>
      </c>
      <c r="K59" s="4">
        <f>(H59-Assumptions!$B$14)/(Assumptions!$C$14-Assumptions!$B$14)</f>
        <v/>
      </c>
      <c r="L59" s="4">
        <f>(I59-Assumptions!$B$15)/(Assumptions!$C$15-Assumptions!$B$15)</f>
        <v/>
      </c>
      <c r="M59" s="4">
        <f>0.4*J59+0.4*K59+0.2*L59</f>
        <v/>
      </c>
    </row>
    <row r="60">
      <c r="A60" s="3" t="inlineStr">
        <is>
          <t>Normal</t>
        </is>
      </c>
      <c r="B60" s="3" t="inlineStr">
        <is>
          <t>DEL_CZ</t>
        </is>
      </c>
      <c r="C60" s="3" t="inlineStr">
        <is>
          <t>SIM-00109</t>
        </is>
      </c>
      <c r="D60" s="3" t="inlineStr">
        <is>
          <t>RO-03706</t>
        </is>
      </c>
      <c r="E60" s="3" t="n">
        <v>21</v>
      </c>
      <c r="F60" s="3" t="n">
        <v>4</v>
      </c>
      <c r="G60" s="3" t="n">
        <v>309</v>
      </c>
      <c r="H60" s="4">
        <f>G60/E60</f>
        <v/>
      </c>
      <c r="I60" s="3" t="n">
        <v>2</v>
      </c>
      <c r="J60" s="4">
        <f>(F60-Assumptions!$B$13)/(Assumptions!$C$13-Assumptions!$B$13)</f>
        <v/>
      </c>
      <c r="K60" s="4">
        <f>(H60-Assumptions!$B$14)/(Assumptions!$C$14-Assumptions!$B$14)</f>
        <v/>
      </c>
      <c r="L60" s="4">
        <f>(I60-Assumptions!$B$15)/(Assumptions!$C$15-Assumptions!$B$15)</f>
        <v/>
      </c>
      <c r="M60" s="4">
        <f>0.4*J60+0.4*K60+0.2*L60</f>
        <v/>
      </c>
    </row>
    <row r="61">
      <c r="A61" s="3" t="inlineStr">
        <is>
          <t>Normal</t>
        </is>
      </c>
      <c r="B61" s="3" t="inlineStr">
        <is>
          <t>DEL_HN</t>
        </is>
      </c>
      <c r="C61" s="3" t="inlineStr">
        <is>
          <t>SIM-00109</t>
        </is>
      </c>
      <c r="D61" s="3" t="inlineStr">
        <is>
          <t>RO-03706</t>
        </is>
      </c>
      <c r="E61" s="3" t="n">
        <v>27.5</v>
      </c>
      <c r="F61" s="3" t="n">
        <v>4</v>
      </c>
      <c r="G61" s="3" t="n">
        <v>309</v>
      </c>
      <c r="H61" s="4">
        <f>G61/E61</f>
        <v/>
      </c>
      <c r="I61" s="3" t="n">
        <v>2</v>
      </c>
      <c r="J61" s="4">
        <f>(F61-Assumptions!$B$13)/(Assumptions!$C$13-Assumptions!$B$13)</f>
        <v/>
      </c>
      <c r="K61" s="4">
        <f>(H61-Assumptions!$B$14)/(Assumptions!$C$14-Assumptions!$B$14)</f>
        <v/>
      </c>
      <c r="L61" s="4">
        <f>(I61-Assumptions!$B$15)/(Assumptions!$C$15-Assumptions!$B$15)</f>
        <v/>
      </c>
      <c r="M61" s="4">
        <f>0.4*J61+0.4*K61+0.2*L61</f>
        <v/>
      </c>
    </row>
    <row r="62">
      <c r="A62" s="3" t="inlineStr">
        <is>
          <t>Normal</t>
        </is>
      </c>
      <c r="B62" s="3" t="inlineStr">
        <is>
          <t>DEL_HK</t>
        </is>
      </c>
      <c r="C62" s="3" t="inlineStr">
        <is>
          <t>SIM-00109</t>
        </is>
      </c>
      <c r="D62" s="3" t="inlineStr">
        <is>
          <t>RO-03706</t>
        </is>
      </c>
      <c r="E62" s="3" t="n">
        <v>20.5</v>
      </c>
      <c r="F62" s="3" t="n">
        <v>4</v>
      </c>
      <c r="G62" s="3" t="n">
        <v>309</v>
      </c>
      <c r="H62" s="4">
        <f>G62/E62</f>
        <v/>
      </c>
      <c r="I62" s="3" t="n">
        <v>2</v>
      </c>
      <c r="J62" s="4">
        <f>(F62-Assumptions!$B$13)/(Assumptions!$C$13-Assumptions!$B$13)</f>
        <v/>
      </c>
      <c r="K62" s="4">
        <f>(H62-Assumptions!$B$14)/(Assumptions!$C$14-Assumptions!$B$14)</f>
        <v/>
      </c>
      <c r="L62" s="4">
        <f>(I62-Assumptions!$B$15)/(Assumptions!$C$15-Assumptions!$B$15)</f>
        <v/>
      </c>
      <c r="M62" s="4">
        <f>0.4*J62+0.4*K62+0.2*L62</f>
        <v/>
      </c>
    </row>
    <row r="63">
      <c r="A63" s="3" t="inlineStr">
        <is>
          <t>Normal</t>
        </is>
      </c>
      <c r="B63" s="3" t="inlineStr">
        <is>
          <t>DEL_V</t>
        </is>
      </c>
      <c r="C63" s="3" t="inlineStr">
        <is>
          <t>SIM-00114</t>
        </is>
      </c>
      <c r="D63" s="3" t="inlineStr">
        <is>
          <t>RO-03711</t>
        </is>
      </c>
      <c r="E63" s="3" t="n">
        <v>2729</v>
      </c>
      <c r="F63" s="3" t="n">
        <v>9</v>
      </c>
      <c r="G63" s="3" t="n">
        <v>181</v>
      </c>
      <c r="H63" s="4">
        <f>G63/E63</f>
        <v/>
      </c>
      <c r="I63" s="3" t="n">
        <v>2.9</v>
      </c>
      <c r="J63" s="4">
        <f>(F63-Assumptions!$B$13)/(Assumptions!$C$13-Assumptions!$B$13)</f>
        <v/>
      </c>
      <c r="K63" s="4">
        <f>(H63-Assumptions!$B$14)/(Assumptions!$C$14-Assumptions!$B$14)</f>
        <v/>
      </c>
      <c r="L63" s="4">
        <f>(I63-Assumptions!$B$15)/(Assumptions!$C$15-Assumptions!$B$15)</f>
        <v/>
      </c>
      <c r="M63" s="4">
        <f>0.4*J63+0.4*K63+0.2*L63</f>
        <v/>
      </c>
    </row>
    <row r="64">
      <c r="A64" s="3" t="inlineStr">
        <is>
          <t>Normal</t>
        </is>
      </c>
      <c r="B64" s="3" t="inlineStr">
        <is>
          <t>DEL_GI</t>
        </is>
      </c>
      <c r="C64" s="3" t="inlineStr">
        <is>
          <t>SIM-00120</t>
        </is>
      </c>
      <c r="D64" s="3" t="inlineStr">
        <is>
          <t>RO-03640</t>
        </is>
      </c>
      <c r="E64" s="3" t="n">
        <v>7.5</v>
      </c>
      <c r="F64" s="3" t="n">
        <v>1</v>
      </c>
      <c r="G64" s="3" t="n">
        <v>693</v>
      </c>
      <c r="H64" s="4">
        <f>G64/E64</f>
        <v/>
      </c>
      <c r="I64" s="3" t="n">
        <v>1.3</v>
      </c>
      <c r="J64" s="4">
        <f>(F64-Assumptions!$B$13)/(Assumptions!$C$13-Assumptions!$B$13)</f>
        <v/>
      </c>
      <c r="K64" s="4">
        <f>(H64-Assumptions!$B$14)/(Assumptions!$C$14-Assumptions!$B$14)</f>
        <v/>
      </c>
      <c r="L64" s="4">
        <f>(I64-Assumptions!$B$15)/(Assumptions!$C$15-Assumptions!$B$15)</f>
        <v/>
      </c>
      <c r="M64" s="4">
        <f>0.4*J64+0.4*K64+0.2*L64</f>
        <v/>
      </c>
    </row>
    <row r="65">
      <c r="A65" s="3" t="inlineStr">
        <is>
          <t>Normal</t>
        </is>
      </c>
      <c r="B65" s="3" t="inlineStr">
        <is>
          <t>DEL_CJ</t>
        </is>
      </c>
      <c r="C65" s="3" t="inlineStr">
        <is>
          <t>SIM-00121</t>
        </is>
      </c>
      <c r="D65" s="3" t="inlineStr">
        <is>
          <t>RO-03717</t>
        </is>
      </c>
      <c r="E65" s="3" t="n">
        <v>5.5</v>
      </c>
      <c r="F65" s="3" t="n">
        <v>2</v>
      </c>
      <c r="G65" s="3" t="n">
        <v>485</v>
      </c>
      <c r="H65" s="4">
        <f>G65/E65</f>
        <v/>
      </c>
      <c r="I65" s="3" t="n">
        <v>1.5</v>
      </c>
      <c r="J65" s="4">
        <f>(F65-Assumptions!$B$13)/(Assumptions!$C$13-Assumptions!$B$13)</f>
        <v/>
      </c>
      <c r="K65" s="4">
        <f>(H65-Assumptions!$B$14)/(Assumptions!$C$14-Assumptions!$B$14)</f>
        <v/>
      </c>
      <c r="L65" s="4">
        <f>(I65-Assumptions!$B$15)/(Assumptions!$C$15-Assumptions!$B$15)</f>
        <v/>
      </c>
      <c r="M65" s="4">
        <f>0.4*J65+0.4*K65+0.2*L65</f>
        <v/>
      </c>
    </row>
    <row r="66">
      <c r="A66" s="3" t="inlineStr">
        <is>
          <t>Normal</t>
        </is>
      </c>
      <c r="B66" s="3" t="inlineStr">
        <is>
          <t>DEL_FF</t>
        </is>
      </c>
      <c r="C66" s="3" t="inlineStr">
        <is>
          <t>SIM-00121</t>
        </is>
      </c>
      <c r="D66" s="3" t="inlineStr">
        <is>
          <t>RO-03717</t>
        </is>
      </c>
      <c r="E66" s="3" t="n">
        <v>28</v>
      </c>
      <c r="F66" s="3" t="n">
        <v>2</v>
      </c>
      <c r="G66" s="3" t="n">
        <v>485</v>
      </c>
      <c r="H66" s="4">
        <f>G66/E66</f>
        <v/>
      </c>
      <c r="I66" s="3" t="n">
        <v>1.5</v>
      </c>
      <c r="J66" s="4">
        <f>(F66-Assumptions!$B$13)/(Assumptions!$C$13-Assumptions!$B$13)</f>
        <v/>
      </c>
      <c r="K66" s="4">
        <f>(H66-Assumptions!$B$14)/(Assumptions!$C$14-Assumptions!$B$14)</f>
        <v/>
      </c>
      <c r="L66" s="4">
        <f>(I66-Assumptions!$B$15)/(Assumptions!$C$15-Assumptions!$B$15)</f>
        <v/>
      </c>
      <c r="M66" s="4">
        <f>0.4*J66+0.4*K66+0.2*L66</f>
        <v/>
      </c>
    </row>
    <row r="67">
      <c r="A67" s="3" t="inlineStr">
        <is>
          <t>Normal</t>
        </is>
      </c>
      <c r="B67" s="3" t="inlineStr">
        <is>
          <t>DEL_CR</t>
        </is>
      </c>
      <c r="C67" s="3" t="inlineStr">
        <is>
          <t>SIM-00123</t>
        </is>
      </c>
      <c r="D67" s="3" t="inlineStr">
        <is>
          <t>RO-03719</t>
        </is>
      </c>
      <c r="E67" s="3" t="n">
        <v>389</v>
      </c>
      <c r="F67" s="3" t="n">
        <v>11</v>
      </c>
      <c r="G67" s="3" t="n">
        <v>169</v>
      </c>
      <c r="H67" s="4">
        <f>G67/E67</f>
        <v/>
      </c>
      <c r="I67" s="3" t="n">
        <v>3.2</v>
      </c>
      <c r="J67" s="4">
        <f>(F67-Assumptions!$B$13)/(Assumptions!$C$13-Assumptions!$B$13)</f>
        <v/>
      </c>
      <c r="K67" s="4">
        <f>(H67-Assumptions!$B$14)/(Assumptions!$C$14-Assumptions!$B$14)</f>
        <v/>
      </c>
      <c r="L67" s="4">
        <f>(I67-Assumptions!$B$15)/(Assumptions!$C$15-Assumptions!$B$15)</f>
        <v/>
      </c>
      <c r="M67" s="4">
        <f>0.4*J67+0.4*K67+0.2*L67</f>
        <v/>
      </c>
    </row>
    <row r="68">
      <c r="A68" s="3" t="inlineStr">
        <is>
          <t>Normal</t>
        </is>
      </c>
      <c r="B68" s="3" t="inlineStr">
        <is>
          <t>DEL_HF</t>
        </is>
      </c>
      <c r="C68" s="3" t="inlineStr">
        <is>
          <t>SIM-00124</t>
        </is>
      </c>
      <c r="D68" s="3" t="inlineStr">
        <is>
          <t>RO-03720</t>
        </is>
      </c>
      <c r="E68" s="3" t="n">
        <v>3.5</v>
      </c>
      <c r="F68" s="3" t="n">
        <v>2</v>
      </c>
      <c r="G68" s="3" t="n">
        <v>521</v>
      </c>
      <c r="H68" s="4">
        <f>G68/E68</f>
        <v/>
      </c>
      <c r="I68" s="3" t="n">
        <v>1.1</v>
      </c>
      <c r="J68" s="4">
        <f>(F68-Assumptions!$B$13)/(Assumptions!$C$13-Assumptions!$B$13)</f>
        <v/>
      </c>
      <c r="K68" s="4">
        <f>(H68-Assumptions!$B$14)/(Assumptions!$C$14-Assumptions!$B$14)</f>
        <v/>
      </c>
      <c r="L68" s="4">
        <f>(I68-Assumptions!$B$15)/(Assumptions!$C$15-Assumptions!$B$15)</f>
        <v/>
      </c>
      <c r="M68" s="4">
        <f>0.4*J68+0.4*K68+0.2*L68</f>
        <v/>
      </c>
    </row>
    <row r="69">
      <c r="A69" s="3" t="inlineStr">
        <is>
          <t>Normal</t>
        </is>
      </c>
      <c r="B69" s="3" t="inlineStr">
        <is>
          <t>DEL_BH</t>
        </is>
      </c>
      <c r="C69" s="3" t="inlineStr">
        <is>
          <t>SIM-00125</t>
        </is>
      </c>
      <c r="D69" s="3" t="inlineStr">
        <is>
          <t>RO-03756</t>
        </is>
      </c>
      <c r="E69" s="3" t="n">
        <v>4</v>
      </c>
      <c r="F69" s="3" t="n">
        <v>2</v>
      </c>
      <c r="G69" s="3" t="n">
        <v>521</v>
      </c>
      <c r="H69" s="4">
        <f>G69/E69</f>
        <v/>
      </c>
      <c r="I69" s="3" t="n">
        <v>1.1</v>
      </c>
      <c r="J69" s="4">
        <f>(F69-Assumptions!$B$13)/(Assumptions!$C$13-Assumptions!$B$13)</f>
        <v/>
      </c>
      <c r="K69" s="4">
        <f>(H69-Assumptions!$B$14)/(Assumptions!$C$14-Assumptions!$B$14)</f>
        <v/>
      </c>
      <c r="L69" s="4">
        <f>(I69-Assumptions!$B$15)/(Assumptions!$C$15-Assumptions!$B$15)</f>
        <v/>
      </c>
      <c r="M69" s="4">
        <f>0.4*J69+0.4*K69+0.2*L69</f>
        <v/>
      </c>
    </row>
    <row r="70">
      <c r="A70" s="3" t="inlineStr">
        <is>
          <t>Normal</t>
        </is>
      </c>
      <c r="B70" s="3" t="inlineStr">
        <is>
          <t>DEL_DK</t>
        </is>
      </c>
      <c r="C70" s="3" t="inlineStr">
        <is>
          <t>SIM-00128</t>
        </is>
      </c>
      <c r="D70" s="3" t="inlineStr">
        <is>
          <t>RO-03724</t>
        </is>
      </c>
      <c r="E70" s="3" t="n">
        <v>1899.5</v>
      </c>
      <c r="F70" s="3" t="n">
        <v>3</v>
      </c>
      <c r="G70" s="3" t="n">
        <v>729</v>
      </c>
      <c r="H70" s="4">
        <f>G70/E70</f>
        <v/>
      </c>
      <c r="I70" s="3" t="n">
        <v>1.3</v>
      </c>
      <c r="J70" s="4">
        <f>(F70-Assumptions!$B$13)/(Assumptions!$C$13-Assumptions!$B$13)</f>
        <v/>
      </c>
      <c r="K70" s="4">
        <f>(H70-Assumptions!$B$14)/(Assumptions!$C$14-Assumptions!$B$14)</f>
        <v/>
      </c>
      <c r="L70" s="4">
        <f>(I70-Assumptions!$B$15)/(Assumptions!$C$15-Assumptions!$B$15)</f>
        <v/>
      </c>
      <c r="M70" s="4">
        <f>0.4*J70+0.4*K70+0.2*L70</f>
        <v/>
      </c>
    </row>
    <row r="71">
      <c r="A71" s="3" t="inlineStr">
        <is>
          <t>Normal</t>
        </is>
      </c>
      <c r="B71" s="3" t="inlineStr">
        <is>
          <t>DEL_HO</t>
        </is>
      </c>
      <c r="C71" s="3" t="inlineStr">
        <is>
          <t>SIM-00129</t>
        </is>
      </c>
      <c r="D71" s="3" t="inlineStr">
        <is>
          <t>RO-03609</t>
        </is>
      </c>
      <c r="E71" s="3" t="n">
        <v>4.5</v>
      </c>
      <c r="F71" s="3" t="n">
        <v>6</v>
      </c>
      <c r="G71" s="3" t="n">
        <v>225</v>
      </c>
      <c r="H71" s="4">
        <f>G71/E71</f>
        <v/>
      </c>
      <c r="I71" s="3" t="n">
        <v>1.9</v>
      </c>
      <c r="J71" s="4">
        <f>(F71-Assumptions!$B$13)/(Assumptions!$C$13-Assumptions!$B$13)</f>
        <v/>
      </c>
      <c r="K71" s="4">
        <f>(H71-Assumptions!$B$14)/(Assumptions!$C$14-Assumptions!$B$14)</f>
        <v/>
      </c>
      <c r="L71" s="4">
        <f>(I71-Assumptions!$B$15)/(Assumptions!$C$15-Assumptions!$B$15)</f>
        <v/>
      </c>
      <c r="M71" s="4">
        <f>0.4*J71+0.4*K71+0.2*L71</f>
        <v/>
      </c>
    </row>
    <row r="72">
      <c r="A72" s="3" t="inlineStr">
        <is>
          <t>Normal</t>
        </is>
      </c>
      <c r="B72" s="3" t="inlineStr">
        <is>
          <t>DEL_AE</t>
        </is>
      </c>
      <c r="C72" s="3" t="inlineStr">
        <is>
          <t>SIM-00130</t>
        </is>
      </c>
      <c r="D72" s="3" t="inlineStr">
        <is>
          <t>RO-03726</t>
        </is>
      </c>
      <c r="E72" s="3" t="n">
        <v>56</v>
      </c>
      <c r="F72" s="3" t="n">
        <v>4</v>
      </c>
      <c r="G72" s="3" t="n">
        <v>225</v>
      </c>
      <c r="H72" s="4">
        <f>G72/E72</f>
        <v/>
      </c>
      <c r="I72" s="3" t="n">
        <v>1.4</v>
      </c>
      <c r="J72" s="4">
        <f>(F72-Assumptions!$B$13)/(Assumptions!$C$13-Assumptions!$B$13)</f>
        <v/>
      </c>
      <c r="K72" s="4">
        <f>(H72-Assumptions!$B$14)/(Assumptions!$C$14-Assumptions!$B$14)</f>
        <v/>
      </c>
      <c r="L72" s="4">
        <f>(I72-Assumptions!$B$15)/(Assumptions!$C$15-Assumptions!$B$15)</f>
        <v/>
      </c>
      <c r="M72" s="4">
        <f>0.4*J72+0.4*K72+0.2*L72</f>
        <v/>
      </c>
    </row>
    <row r="73">
      <c r="A73" s="3" t="inlineStr">
        <is>
          <t>Normal</t>
        </is>
      </c>
      <c r="B73" s="3" t="inlineStr">
        <is>
          <t>DEL_N</t>
        </is>
      </c>
      <c r="C73" s="3" t="inlineStr">
        <is>
          <t>SIM-00137</t>
        </is>
      </c>
      <c r="D73" s="3" t="inlineStr">
        <is>
          <t>RO-03731</t>
        </is>
      </c>
      <c r="E73" s="3" t="n">
        <v>61</v>
      </c>
      <c r="F73" s="3" t="n">
        <v>2</v>
      </c>
      <c r="G73" s="3" t="n">
        <v>545</v>
      </c>
      <c r="H73" s="4">
        <f>G73/E73</f>
        <v/>
      </c>
      <c r="I73" s="3" t="n">
        <v>1.8</v>
      </c>
      <c r="J73" s="4">
        <f>(F73-Assumptions!$B$13)/(Assumptions!$C$13-Assumptions!$B$13)</f>
        <v/>
      </c>
      <c r="K73" s="4">
        <f>(H73-Assumptions!$B$14)/(Assumptions!$C$14-Assumptions!$B$14)</f>
        <v/>
      </c>
      <c r="L73" s="4">
        <f>(I73-Assumptions!$B$15)/(Assumptions!$C$15-Assumptions!$B$15)</f>
        <v/>
      </c>
      <c r="M73" s="4">
        <f>0.4*J73+0.4*K73+0.2*L73</f>
        <v/>
      </c>
    </row>
    <row r="74">
      <c r="A74" s="3" t="inlineStr">
        <is>
          <t>Normal</t>
        </is>
      </c>
      <c r="B74" s="3" t="inlineStr">
        <is>
          <t>DEL_AN</t>
        </is>
      </c>
      <c r="C74" s="3" t="inlineStr">
        <is>
          <t>SIM-00137</t>
        </is>
      </c>
      <c r="D74" s="3" t="inlineStr">
        <is>
          <t>RO-03731</t>
        </is>
      </c>
      <c r="E74" s="3" t="n">
        <v>3438</v>
      </c>
      <c r="F74" s="3" t="n">
        <v>2</v>
      </c>
      <c r="G74" s="3" t="n">
        <v>545</v>
      </c>
      <c r="H74" s="4">
        <f>G74/E74</f>
        <v/>
      </c>
      <c r="I74" s="3" t="n">
        <v>1.8</v>
      </c>
      <c r="J74" s="4">
        <f>(F74-Assumptions!$B$13)/(Assumptions!$C$13-Assumptions!$B$13)</f>
        <v/>
      </c>
      <c r="K74" s="4">
        <f>(H74-Assumptions!$B$14)/(Assumptions!$C$14-Assumptions!$B$14)</f>
        <v/>
      </c>
      <c r="L74" s="4">
        <f>(I74-Assumptions!$B$15)/(Assumptions!$C$15-Assumptions!$B$15)</f>
        <v/>
      </c>
      <c r="M74" s="4">
        <f>0.4*J74+0.4*K74+0.2*L74</f>
        <v/>
      </c>
    </row>
    <row r="75">
      <c r="A75" s="3" t="inlineStr">
        <is>
          <t>Normal</t>
        </is>
      </c>
      <c r="B75" s="3" t="inlineStr">
        <is>
          <t>DEL_CK</t>
        </is>
      </c>
      <c r="C75" s="3" t="inlineStr">
        <is>
          <t>SIM-00137</t>
        </is>
      </c>
      <c r="D75" s="3" t="inlineStr">
        <is>
          <t>RO-03731</t>
        </is>
      </c>
      <c r="E75" s="3" t="n">
        <v>12.5</v>
      </c>
      <c r="F75" s="3" t="n">
        <v>2</v>
      </c>
      <c r="G75" s="3" t="n">
        <v>545</v>
      </c>
      <c r="H75" s="4">
        <f>G75/E75</f>
        <v/>
      </c>
      <c r="I75" s="3" t="n">
        <v>1.8</v>
      </c>
      <c r="J75" s="4">
        <f>(F75-Assumptions!$B$13)/(Assumptions!$C$13-Assumptions!$B$13)</f>
        <v/>
      </c>
      <c r="K75" s="4">
        <f>(H75-Assumptions!$B$14)/(Assumptions!$C$14-Assumptions!$B$14)</f>
        <v/>
      </c>
      <c r="L75" s="4">
        <f>(I75-Assumptions!$B$15)/(Assumptions!$C$15-Assumptions!$B$15)</f>
        <v/>
      </c>
      <c r="M75" s="4">
        <f>0.4*J75+0.4*K75+0.2*L75</f>
        <v/>
      </c>
    </row>
    <row r="76">
      <c r="A76" s="3" t="inlineStr">
        <is>
          <t>Normal</t>
        </is>
      </c>
      <c r="B76" s="3" t="inlineStr">
        <is>
          <t>DEL_CQ</t>
        </is>
      </c>
      <c r="C76" s="3" t="inlineStr">
        <is>
          <t>SIM-00137</t>
        </is>
      </c>
      <c r="D76" s="3" t="inlineStr">
        <is>
          <t>RO-03731</t>
        </is>
      </c>
      <c r="E76" s="3" t="n">
        <v>2400</v>
      </c>
      <c r="F76" s="3" t="n">
        <v>2</v>
      </c>
      <c r="G76" s="3" t="n">
        <v>545</v>
      </c>
      <c r="H76" s="4">
        <f>G76/E76</f>
        <v/>
      </c>
      <c r="I76" s="3" t="n">
        <v>1.8</v>
      </c>
      <c r="J76" s="4">
        <f>(F76-Assumptions!$B$13)/(Assumptions!$C$13-Assumptions!$B$13)</f>
        <v/>
      </c>
      <c r="K76" s="4">
        <f>(H76-Assumptions!$B$14)/(Assumptions!$C$14-Assumptions!$B$14)</f>
        <v/>
      </c>
      <c r="L76" s="4">
        <f>(I76-Assumptions!$B$15)/(Assumptions!$C$15-Assumptions!$B$15)</f>
        <v/>
      </c>
      <c r="M76" s="4">
        <f>0.4*J76+0.4*K76+0.2*L76</f>
        <v/>
      </c>
    </row>
    <row r="77">
      <c r="A77" s="3" t="inlineStr">
        <is>
          <t>Normal</t>
        </is>
      </c>
      <c r="B77" s="3" t="inlineStr">
        <is>
          <t>DEL_EW</t>
        </is>
      </c>
      <c r="C77" s="3" t="inlineStr">
        <is>
          <t>SIM-00137</t>
        </is>
      </c>
      <c r="D77" s="3" t="inlineStr">
        <is>
          <t>RO-03731</t>
        </is>
      </c>
      <c r="E77" s="3" t="n">
        <v>1133</v>
      </c>
      <c r="F77" s="3" t="n">
        <v>2</v>
      </c>
      <c r="G77" s="3" t="n">
        <v>545</v>
      </c>
      <c r="H77" s="4">
        <f>G77/E77</f>
        <v/>
      </c>
      <c r="I77" s="3" t="n">
        <v>1.8</v>
      </c>
      <c r="J77" s="4">
        <f>(F77-Assumptions!$B$13)/(Assumptions!$C$13-Assumptions!$B$13)</f>
        <v/>
      </c>
      <c r="K77" s="4">
        <f>(H77-Assumptions!$B$14)/(Assumptions!$C$14-Assumptions!$B$14)</f>
        <v/>
      </c>
      <c r="L77" s="4">
        <f>(I77-Assumptions!$B$15)/(Assumptions!$C$15-Assumptions!$B$15)</f>
        <v/>
      </c>
      <c r="M77" s="4">
        <f>0.4*J77+0.4*K77+0.2*L77</f>
        <v/>
      </c>
    </row>
    <row r="78">
      <c r="A78" s="3" t="inlineStr">
        <is>
          <t>Normal</t>
        </is>
      </c>
      <c r="B78" s="3" t="inlineStr">
        <is>
          <t>DEL_GA</t>
        </is>
      </c>
      <c r="C78" s="3" t="inlineStr">
        <is>
          <t>SIM-00140</t>
        </is>
      </c>
      <c r="D78" s="3" t="inlineStr">
        <is>
          <t>RO-03734</t>
        </is>
      </c>
      <c r="E78" s="3" t="n">
        <v>1611</v>
      </c>
      <c r="F78" s="3" t="n">
        <v>3</v>
      </c>
      <c r="G78" s="3" t="n">
        <v>741</v>
      </c>
      <c r="H78" s="4">
        <f>G78/E78</f>
        <v/>
      </c>
      <c r="I78" s="3" t="n">
        <v>0.9</v>
      </c>
      <c r="J78" s="4">
        <f>(F78-Assumptions!$B$13)/(Assumptions!$C$13-Assumptions!$B$13)</f>
        <v/>
      </c>
      <c r="K78" s="4">
        <f>(H78-Assumptions!$B$14)/(Assumptions!$C$14-Assumptions!$B$14)</f>
        <v/>
      </c>
      <c r="L78" s="4">
        <f>(I78-Assumptions!$B$15)/(Assumptions!$C$15-Assumptions!$B$15)</f>
        <v/>
      </c>
      <c r="M78" s="4">
        <f>0.4*J78+0.4*K78+0.2*L78</f>
        <v/>
      </c>
    </row>
    <row r="79">
      <c r="A79" s="3" t="inlineStr">
        <is>
          <t>Normal</t>
        </is>
      </c>
      <c r="B79" s="3" t="inlineStr">
        <is>
          <t>DEL_DA</t>
        </is>
      </c>
      <c r="C79" s="3" t="inlineStr">
        <is>
          <t>SIM-00144</t>
        </is>
      </c>
      <c r="D79" s="3" t="inlineStr">
        <is>
          <t>RO-03737</t>
        </is>
      </c>
      <c r="E79" s="3" t="n">
        <v>108.5</v>
      </c>
      <c r="F79" s="3" t="n">
        <v>2</v>
      </c>
      <c r="G79" s="3" t="n">
        <v>509</v>
      </c>
      <c r="H79" s="4">
        <f>G79/E79</f>
        <v/>
      </c>
      <c r="I79" s="3" t="n">
        <v>1.8</v>
      </c>
      <c r="J79" s="4">
        <f>(F79-Assumptions!$B$13)/(Assumptions!$C$13-Assumptions!$B$13)</f>
        <v/>
      </c>
      <c r="K79" s="4">
        <f>(H79-Assumptions!$B$14)/(Assumptions!$C$14-Assumptions!$B$14)</f>
        <v/>
      </c>
      <c r="L79" s="4">
        <f>(I79-Assumptions!$B$15)/(Assumptions!$C$15-Assumptions!$B$15)</f>
        <v/>
      </c>
      <c r="M79" s="4">
        <f>0.4*J79+0.4*K79+0.2*L79</f>
        <v/>
      </c>
    </row>
    <row r="80">
      <c r="A80" s="3" t="inlineStr">
        <is>
          <t>Normal</t>
        </is>
      </c>
      <c r="B80" s="3" t="inlineStr">
        <is>
          <t>DEL_GJ</t>
        </is>
      </c>
      <c r="C80" s="3" t="inlineStr">
        <is>
          <t>SIM-00145</t>
        </is>
      </c>
      <c r="D80" s="3" t="inlineStr">
        <is>
          <t>RO-03738</t>
        </is>
      </c>
      <c r="E80" s="3" t="n">
        <v>30.5</v>
      </c>
      <c r="F80" s="3" t="n">
        <v>3</v>
      </c>
      <c r="G80" s="3" t="n">
        <v>521</v>
      </c>
      <c r="H80" s="4">
        <f>G80/E80</f>
        <v/>
      </c>
      <c r="I80" s="3" t="n">
        <v>1.1</v>
      </c>
      <c r="J80" s="4">
        <f>(F80-Assumptions!$B$13)/(Assumptions!$C$13-Assumptions!$B$13)</f>
        <v/>
      </c>
      <c r="K80" s="4">
        <f>(H80-Assumptions!$B$14)/(Assumptions!$C$14-Assumptions!$B$14)</f>
        <v/>
      </c>
      <c r="L80" s="4">
        <f>(I80-Assumptions!$B$15)/(Assumptions!$C$15-Assumptions!$B$15)</f>
        <v/>
      </c>
      <c r="M80" s="4">
        <f>0.4*J80+0.4*K80+0.2*L80</f>
        <v/>
      </c>
    </row>
    <row r="81">
      <c r="A81" s="3" t="inlineStr">
        <is>
          <t>Normal</t>
        </is>
      </c>
      <c r="B81" s="3" t="inlineStr">
        <is>
          <t>DEL_HP</t>
        </is>
      </c>
      <c r="C81" s="3" t="inlineStr">
        <is>
          <t>SIM-00149</t>
        </is>
      </c>
      <c r="D81" s="3" t="inlineStr">
        <is>
          <t>RO-03776</t>
        </is>
      </c>
      <c r="E81" s="3" t="n">
        <v>2.5</v>
      </c>
      <c r="F81" s="3" t="n">
        <v>4</v>
      </c>
      <c r="G81" s="3" t="n">
        <v>285</v>
      </c>
      <c r="H81" s="4">
        <f>G81/E81</f>
        <v/>
      </c>
      <c r="I81" s="3" t="n">
        <v>1.8</v>
      </c>
      <c r="J81" s="4">
        <f>(F81-Assumptions!$B$13)/(Assumptions!$C$13-Assumptions!$B$13)</f>
        <v/>
      </c>
      <c r="K81" s="4">
        <f>(H81-Assumptions!$B$14)/(Assumptions!$C$14-Assumptions!$B$14)</f>
        <v/>
      </c>
      <c r="L81" s="4">
        <f>(I81-Assumptions!$B$15)/(Assumptions!$C$15-Assumptions!$B$15)</f>
        <v/>
      </c>
      <c r="M81" s="4">
        <f>0.4*J81+0.4*K81+0.2*L81</f>
        <v/>
      </c>
    </row>
    <row r="82">
      <c r="A82" s="3" t="inlineStr">
        <is>
          <t>Normal</t>
        </is>
      </c>
      <c r="B82" s="3" t="inlineStr">
        <is>
          <t>DEL_H</t>
        </is>
      </c>
      <c r="C82" s="3" t="inlineStr">
        <is>
          <t>SIM-00152</t>
        </is>
      </c>
      <c r="D82" s="3" t="inlineStr">
        <is>
          <t>RO-03745</t>
        </is>
      </c>
      <c r="E82" s="3" t="n">
        <v>140</v>
      </c>
      <c r="F82" s="3" t="n">
        <v>1</v>
      </c>
      <c r="G82" s="3" t="n">
        <v>657</v>
      </c>
      <c r="H82" s="4">
        <f>G82/E82</f>
        <v/>
      </c>
      <c r="I82" s="3" t="n">
        <v>0.8</v>
      </c>
      <c r="J82" s="4">
        <f>(F82-Assumptions!$B$13)/(Assumptions!$C$13-Assumptions!$B$13)</f>
        <v/>
      </c>
      <c r="K82" s="4">
        <f>(H82-Assumptions!$B$14)/(Assumptions!$C$14-Assumptions!$B$14)</f>
        <v/>
      </c>
      <c r="L82" s="4">
        <f>(I82-Assumptions!$B$15)/(Assumptions!$C$15-Assumptions!$B$15)</f>
        <v/>
      </c>
      <c r="M82" s="4">
        <f>0.4*J82+0.4*K82+0.2*L82</f>
        <v/>
      </c>
    </row>
    <row r="83">
      <c r="A83" s="3" t="inlineStr">
        <is>
          <t>Normal</t>
        </is>
      </c>
      <c r="B83" s="3" t="inlineStr">
        <is>
          <t>DEL_P</t>
        </is>
      </c>
      <c r="C83" s="3" t="inlineStr">
        <is>
          <t>SIM-00152</t>
        </is>
      </c>
      <c r="D83" s="3" t="inlineStr">
        <is>
          <t>RO-03745</t>
        </is>
      </c>
      <c r="E83" s="3" t="n">
        <v>11</v>
      </c>
      <c r="F83" s="3" t="n">
        <v>1</v>
      </c>
      <c r="G83" s="3" t="n">
        <v>657</v>
      </c>
      <c r="H83" s="4">
        <f>G83/E83</f>
        <v/>
      </c>
      <c r="I83" s="3" t="n">
        <v>0.8</v>
      </c>
      <c r="J83" s="4">
        <f>(F83-Assumptions!$B$13)/(Assumptions!$C$13-Assumptions!$B$13)</f>
        <v/>
      </c>
      <c r="K83" s="4">
        <f>(H83-Assumptions!$B$14)/(Assumptions!$C$14-Assumptions!$B$14)</f>
        <v/>
      </c>
      <c r="L83" s="4">
        <f>(I83-Assumptions!$B$15)/(Assumptions!$C$15-Assumptions!$B$15)</f>
        <v/>
      </c>
      <c r="M83" s="4">
        <f>0.4*J83+0.4*K83+0.2*L83</f>
        <v/>
      </c>
    </row>
    <row r="84">
      <c r="A84" s="3" t="inlineStr">
        <is>
          <t>Normal</t>
        </is>
      </c>
      <c r="B84" s="3" t="inlineStr">
        <is>
          <t>DEL_DF</t>
        </is>
      </c>
      <c r="C84" s="3" t="inlineStr">
        <is>
          <t>SIM-00152</t>
        </is>
      </c>
      <c r="D84" s="3" t="inlineStr">
        <is>
          <t>RO-03745</t>
        </is>
      </c>
      <c r="E84" s="3" t="n">
        <v>767.5</v>
      </c>
      <c r="F84" s="3" t="n">
        <v>1</v>
      </c>
      <c r="G84" s="3" t="n">
        <v>657</v>
      </c>
      <c r="H84" s="4">
        <f>G84/E84</f>
        <v/>
      </c>
      <c r="I84" s="3" t="n">
        <v>0.8</v>
      </c>
      <c r="J84" s="4">
        <f>(F84-Assumptions!$B$13)/(Assumptions!$C$13-Assumptions!$B$13)</f>
        <v/>
      </c>
      <c r="K84" s="4">
        <f>(H84-Assumptions!$B$14)/(Assumptions!$C$14-Assumptions!$B$14)</f>
        <v/>
      </c>
      <c r="L84" s="4">
        <f>(I84-Assumptions!$B$15)/(Assumptions!$C$15-Assumptions!$B$15)</f>
        <v/>
      </c>
      <c r="M84" s="4">
        <f>0.4*J84+0.4*K84+0.2*L84</f>
        <v/>
      </c>
    </row>
    <row r="85">
      <c r="A85" s="3" t="inlineStr">
        <is>
          <t>Normal</t>
        </is>
      </c>
      <c r="B85" s="3" t="inlineStr">
        <is>
          <t>DEL_DU</t>
        </is>
      </c>
      <c r="C85" s="3" t="inlineStr">
        <is>
          <t>SIM-00152</t>
        </is>
      </c>
      <c r="D85" s="3" t="inlineStr">
        <is>
          <t>RO-03745</t>
        </is>
      </c>
      <c r="E85" s="3" t="n">
        <v>1200</v>
      </c>
      <c r="F85" s="3" t="n">
        <v>1</v>
      </c>
      <c r="G85" s="3" t="n">
        <v>657</v>
      </c>
      <c r="H85" s="4">
        <f>G85/E85</f>
        <v/>
      </c>
      <c r="I85" s="3" t="n">
        <v>0.8</v>
      </c>
      <c r="J85" s="4">
        <f>(F85-Assumptions!$B$13)/(Assumptions!$C$13-Assumptions!$B$13)</f>
        <v/>
      </c>
      <c r="K85" s="4">
        <f>(H85-Assumptions!$B$14)/(Assumptions!$C$14-Assumptions!$B$14)</f>
        <v/>
      </c>
      <c r="L85" s="4">
        <f>(I85-Assumptions!$B$15)/(Assumptions!$C$15-Assumptions!$B$15)</f>
        <v/>
      </c>
      <c r="M85" s="4">
        <f>0.4*J85+0.4*K85+0.2*L85</f>
        <v/>
      </c>
    </row>
    <row r="86">
      <c r="A86" s="3" t="inlineStr">
        <is>
          <t>Normal</t>
        </is>
      </c>
      <c r="B86" s="3" t="inlineStr">
        <is>
          <t>DEL_GM</t>
        </is>
      </c>
      <c r="C86" s="3" t="inlineStr">
        <is>
          <t>SIM-00152</t>
        </is>
      </c>
      <c r="D86" s="3" t="inlineStr">
        <is>
          <t>RO-03745</t>
        </is>
      </c>
      <c r="E86" s="3" t="n">
        <v>91</v>
      </c>
      <c r="F86" s="3" t="n">
        <v>1</v>
      </c>
      <c r="G86" s="3" t="n">
        <v>657</v>
      </c>
      <c r="H86" s="4">
        <f>G86/E86</f>
        <v/>
      </c>
      <c r="I86" s="3" t="n">
        <v>0.8</v>
      </c>
      <c r="J86" s="4">
        <f>(F86-Assumptions!$B$13)/(Assumptions!$C$13-Assumptions!$B$13)</f>
        <v/>
      </c>
      <c r="K86" s="4">
        <f>(H86-Assumptions!$B$14)/(Assumptions!$C$14-Assumptions!$B$14)</f>
        <v/>
      </c>
      <c r="L86" s="4">
        <f>(I86-Assumptions!$B$15)/(Assumptions!$C$15-Assumptions!$B$15)</f>
        <v/>
      </c>
      <c r="M86" s="4">
        <f>0.4*J86+0.4*K86+0.2*L86</f>
        <v/>
      </c>
    </row>
    <row r="87">
      <c r="A87" s="3" t="inlineStr">
        <is>
          <t>Normal</t>
        </is>
      </c>
      <c r="B87" s="3" t="inlineStr">
        <is>
          <t>DEL_FV</t>
        </is>
      </c>
      <c r="C87" s="3" t="inlineStr">
        <is>
          <t>SIM-00154</t>
        </is>
      </c>
      <c r="D87" s="3" t="inlineStr">
        <is>
          <t>RO-03746</t>
        </is>
      </c>
      <c r="E87" s="3" t="n">
        <v>1611</v>
      </c>
      <c r="F87" s="3" t="n">
        <v>9</v>
      </c>
      <c r="G87" s="3" t="n">
        <v>169</v>
      </c>
      <c r="H87" s="4">
        <f>G87/E87</f>
        <v/>
      </c>
      <c r="I87" s="3" t="n">
        <v>2.8</v>
      </c>
      <c r="J87" s="4">
        <f>(F87-Assumptions!$B$13)/(Assumptions!$C$13-Assumptions!$B$13)</f>
        <v/>
      </c>
      <c r="K87" s="4">
        <f>(H87-Assumptions!$B$14)/(Assumptions!$C$14-Assumptions!$B$14)</f>
        <v/>
      </c>
      <c r="L87" s="4">
        <f>(I87-Assumptions!$B$15)/(Assumptions!$C$15-Assumptions!$B$15)</f>
        <v/>
      </c>
      <c r="M87" s="4">
        <f>0.4*J87+0.4*K87+0.2*L87</f>
        <v/>
      </c>
    </row>
    <row r="88">
      <c r="A88" s="3" t="inlineStr">
        <is>
          <t>Normal</t>
        </is>
      </c>
      <c r="B88" s="3" t="inlineStr">
        <is>
          <t>DEL_U</t>
        </is>
      </c>
      <c r="C88" s="3" t="inlineStr">
        <is>
          <t>SIM-00162</t>
        </is>
      </c>
      <c r="D88" s="3" t="inlineStr">
        <is>
          <t>RO-03753</t>
        </is>
      </c>
      <c r="E88" s="3" t="n">
        <v>497.5</v>
      </c>
      <c r="F88" s="3" t="n">
        <v>5</v>
      </c>
      <c r="G88" s="3" t="n">
        <v>225</v>
      </c>
      <c r="H88" s="4">
        <f>G88/E88</f>
        <v/>
      </c>
      <c r="I88" s="3" t="n">
        <v>1.9</v>
      </c>
      <c r="J88" s="4">
        <f>(F88-Assumptions!$B$13)/(Assumptions!$C$13-Assumptions!$B$13)</f>
        <v/>
      </c>
      <c r="K88" s="4">
        <f>(H88-Assumptions!$B$14)/(Assumptions!$C$14-Assumptions!$B$14)</f>
        <v/>
      </c>
      <c r="L88" s="4">
        <f>(I88-Assumptions!$B$15)/(Assumptions!$C$15-Assumptions!$B$15)</f>
        <v/>
      </c>
      <c r="M88" s="4">
        <f>0.4*J88+0.4*K88+0.2*L88</f>
        <v/>
      </c>
    </row>
    <row r="89">
      <c r="A89" s="3" t="inlineStr">
        <is>
          <t>Normal</t>
        </is>
      </c>
      <c r="B89" s="3" t="inlineStr">
        <is>
          <t>DEL_DE</t>
        </is>
      </c>
      <c r="C89" s="3" t="inlineStr">
        <is>
          <t>SIM-00165</t>
        </is>
      </c>
      <c r="D89" s="3" t="inlineStr">
        <is>
          <t>RO-03756</t>
        </is>
      </c>
      <c r="E89" s="3" t="n">
        <v>5</v>
      </c>
      <c r="F89" s="3" t="n">
        <v>2</v>
      </c>
      <c r="G89" s="3" t="n">
        <v>521</v>
      </c>
      <c r="H89" s="4">
        <f>G89/E89</f>
        <v/>
      </c>
      <c r="I89" s="3" t="n">
        <v>1.1</v>
      </c>
      <c r="J89" s="4">
        <f>(F89-Assumptions!$B$13)/(Assumptions!$C$13-Assumptions!$B$13)</f>
        <v/>
      </c>
      <c r="K89" s="4">
        <f>(H89-Assumptions!$B$14)/(Assumptions!$C$14-Assumptions!$B$14)</f>
        <v/>
      </c>
      <c r="L89" s="4">
        <f>(I89-Assumptions!$B$15)/(Assumptions!$C$15-Assumptions!$B$15)</f>
        <v/>
      </c>
      <c r="M89" s="4">
        <f>0.4*J89+0.4*K89+0.2*L89</f>
        <v/>
      </c>
    </row>
    <row r="90">
      <c r="A90" s="3" t="inlineStr">
        <is>
          <t>Normal</t>
        </is>
      </c>
      <c r="B90" s="3" t="inlineStr">
        <is>
          <t>DEL_GD</t>
        </is>
      </c>
      <c r="C90" s="3" t="inlineStr">
        <is>
          <t>SIM-00168</t>
        </is>
      </c>
      <c r="D90" s="3" t="inlineStr">
        <is>
          <t>RO-03759</t>
        </is>
      </c>
      <c r="E90" s="3" t="n">
        <v>1020</v>
      </c>
      <c r="F90" s="3" t="n">
        <v>3</v>
      </c>
      <c r="G90" s="3" t="n">
        <v>717</v>
      </c>
      <c r="H90" s="4">
        <f>G90/E90</f>
        <v/>
      </c>
      <c r="I90" s="3" t="n">
        <v>1.1</v>
      </c>
      <c r="J90" s="4">
        <f>(F90-Assumptions!$B$13)/(Assumptions!$C$13-Assumptions!$B$13)</f>
        <v/>
      </c>
      <c r="K90" s="4">
        <f>(H90-Assumptions!$B$14)/(Assumptions!$C$14-Assumptions!$B$14)</f>
        <v/>
      </c>
      <c r="L90" s="4">
        <f>(I90-Assumptions!$B$15)/(Assumptions!$C$15-Assumptions!$B$15)</f>
        <v/>
      </c>
      <c r="M90" s="4">
        <f>0.4*J90+0.4*K90+0.2*L90</f>
        <v/>
      </c>
    </row>
    <row r="91">
      <c r="A91" s="3" t="inlineStr">
        <is>
          <t>Normal</t>
        </is>
      </c>
      <c r="B91" s="3" t="inlineStr">
        <is>
          <t>DEL_GQ</t>
        </is>
      </c>
      <c r="C91" s="3" t="inlineStr">
        <is>
          <t>SIM-00173</t>
        </is>
      </c>
      <c r="D91" s="3" t="inlineStr">
        <is>
          <t>RO-03763</t>
        </is>
      </c>
      <c r="E91" s="3" t="n">
        <v>13.5</v>
      </c>
      <c r="F91" s="3" t="n">
        <v>3</v>
      </c>
      <c r="G91" s="3" t="n">
        <v>497</v>
      </c>
      <c r="H91" s="4">
        <f>G91/E91</f>
        <v/>
      </c>
      <c r="I91" s="3" t="n">
        <v>1.2</v>
      </c>
      <c r="J91" s="4">
        <f>(F91-Assumptions!$B$13)/(Assumptions!$C$13-Assumptions!$B$13)</f>
        <v/>
      </c>
      <c r="K91" s="4">
        <f>(H91-Assumptions!$B$14)/(Assumptions!$C$14-Assumptions!$B$14)</f>
        <v/>
      </c>
      <c r="L91" s="4">
        <f>(I91-Assumptions!$B$15)/(Assumptions!$C$15-Assumptions!$B$15)</f>
        <v/>
      </c>
      <c r="M91" s="4">
        <f>0.4*J91+0.4*K91+0.2*L91</f>
        <v/>
      </c>
    </row>
    <row r="92">
      <c r="A92" s="3" t="inlineStr">
        <is>
          <t>Normal</t>
        </is>
      </c>
      <c r="B92" s="3" t="inlineStr">
        <is>
          <t>DEL_AT</t>
        </is>
      </c>
      <c r="C92" s="3" t="inlineStr">
        <is>
          <t>SIM-00174</t>
        </is>
      </c>
      <c r="D92" s="3" t="inlineStr">
        <is>
          <t>RO-03764</t>
        </is>
      </c>
      <c r="E92" s="3" t="n">
        <v>19.5</v>
      </c>
      <c r="F92" s="3" t="n">
        <v>11</v>
      </c>
      <c r="G92" s="3" t="n">
        <v>169</v>
      </c>
      <c r="H92" s="4">
        <f>G92/E92</f>
        <v/>
      </c>
      <c r="I92" s="3" t="n">
        <v>2.8</v>
      </c>
      <c r="J92" s="4">
        <f>(F92-Assumptions!$B$13)/(Assumptions!$C$13-Assumptions!$B$13)</f>
        <v/>
      </c>
      <c r="K92" s="4">
        <f>(H92-Assumptions!$B$14)/(Assumptions!$C$14-Assumptions!$B$14)</f>
        <v/>
      </c>
      <c r="L92" s="4">
        <f>(I92-Assumptions!$B$15)/(Assumptions!$C$15-Assumptions!$B$15)</f>
        <v/>
      </c>
      <c r="M92" s="4">
        <f>0.4*J92+0.4*K92+0.2*L92</f>
        <v/>
      </c>
    </row>
    <row r="93">
      <c r="A93" s="3" t="inlineStr">
        <is>
          <t>Normal</t>
        </is>
      </c>
      <c r="B93" s="3" t="inlineStr">
        <is>
          <t>DEL_BP</t>
        </is>
      </c>
      <c r="C93" s="3" t="inlineStr">
        <is>
          <t>SIM-00174</t>
        </is>
      </c>
      <c r="D93" s="3" t="inlineStr">
        <is>
          <t>RO-03764</t>
        </is>
      </c>
      <c r="E93" s="3" t="n">
        <v>4.5</v>
      </c>
      <c r="F93" s="3" t="n">
        <v>11</v>
      </c>
      <c r="G93" s="3" t="n">
        <v>169</v>
      </c>
      <c r="H93" s="4">
        <f>G93/E93</f>
        <v/>
      </c>
      <c r="I93" s="3" t="n">
        <v>2.8</v>
      </c>
      <c r="J93" s="4">
        <f>(F93-Assumptions!$B$13)/(Assumptions!$C$13-Assumptions!$B$13)</f>
        <v/>
      </c>
      <c r="K93" s="4">
        <f>(H93-Assumptions!$B$14)/(Assumptions!$C$14-Assumptions!$B$14)</f>
        <v/>
      </c>
      <c r="L93" s="4">
        <f>(I93-Assumptions!$B$15)/(Assumptions!$C$15-Assumptions!$B$15)</f>
        <v/>
      </c>
      <c r="M93" s="4">
        <f>0.4*J93+0.4*K93+0.2*L93</f>
        <v/>
      </c>
    </row>
    <row r="94">
      <c r="A94" s="3" t="inlineStr">
        <is>
          <t>Normal</t>
        </is>
      </c>
      <c r="B94" s="3" t="inlineStr">
        <is>
          <t>DEL_GK</t>
        </is>
      </c>
      <c r="C94" s="3" t="inlineStr">
        <is>
          <t>SIM-00180</t>
        </is>
      </c>
      <c r="D94" s="3" t="inlineStr">
        <is>
          <t>RO-03769</t>
        </is>
      </c>
      <c r="E94" s="3" t="n">
        <v>1023</v>
      </c>
      <c r="F94" s="3" t="n">
        <v>3</v>
      </c>
      <c r="G94" s="3" t="n">
        <v>729</v>
      </c>
      <c r="H94" s="4">
        <f>G94/E94</f>
        <v/>
      </c>
      <c r="I94" s="3" t="n">
        <v>0.8</v>
      </c>
      <c r="J94" s="4">
        <f>(F94-Assumptions!$B$13)/(Assumptions!$C$13-Assumptions!$B$13)</f>
        <v/>
      </c>
      <c r="K94" s="4">
        <f>(H94-Assumptions!$B$14)/(Assumptions!$C$14-Assumptions!$B$14)</f>
        <v/>
      </c>
      <c r="L94" s="4">
        <f>(I94-Assumptions!$B$15)/(Assumptions!$C$15-Assumptions!$B$15)</f>
        <v/>
      </c>
      <c r="M94" s="4">
        <f>0.4*J94+0.4*K94+0.2*L94</f>
        <v/>
      </c>
    </row>
    <row r="95">
      <c r="A95" s="3" t="inlineStr">
        <is>
          <t>Normal</t>
        </is>
      </c>
      <c r="B95" s="3" t="inlineStr">
        <is>
          <t>DEL_S</t>
        </is>
      </c>
      <c r="C95" s="3" t="inlineStr">
        <is>
          <t>SIM-00183</t>
        </is>
      </c>
      <c r="D95" s="3" t="inlineStr">
        <is>
          <t>RO-03663</t>
        </is>
      </c>
      <c r="E95" s="3" t="n">
        <v>6.5</v>
      </c>
      <c r="F95" s="3" t="n">
        <v>10</v>
      </c>
      <c r="G95" s="3" t="n">
        <v>145</v>
      </c>
      <c r="H95" s="4">
        <f>G95/E95</f>
        <v/>
      </c>
      <c r="I95" s="3" t="n">
        <v>2.9</v>
      </c>
      <c r="J95" s="4">
        <f>(F95-Assumptions!$B$13)/(Assumptions!$C$13-Assumptions!$B$13)</f>
        <v/>
      </c>
      <c r="K95" s="4">
        <f>(H95-Assumptions!$B$14)/(Assumptions!$C$14-Assumptions!$B$14)</f>
        <v/>
      </c>
      <c r="L95" s="4">
        <f>(I95-Assumptions!$B$15)/(Assumptions!$C$15-Assumptions!$B$15)</f>
        <v/>
      </c>
      <c r="M95" s="4">
        <f>0.4*J95+0.4*K95+0.2*L95</f>
        <v/>
      </c>
    </row>
    <row r="96">
      <c r="A96" s="3" t="inlineStr">
        <is>
          <t>Normal</t>
        </is>
      </c>
      <c r="B96" s="3" t="inlineStr">
        <is>
          <t>DEL_EA</t>
        </is>
      </c>
      <c r="C96" s="3" t="inlineStr">
        <is>
          <t>SIM-00184</t>
        </is>
      </c>
      <c r="D96" s="3" t="inlineStr">
        <is>
          <t>RO-03701</t>
        </is>
      </c>
      <c r="E96" s="3" t="n">
        <v>254.5</v>
      </c>
      <c r="F96" s="3" t="n">
        <v>2</v>
      </c>
      <c r="G96" s="3" t="n">
        <v>509</v>
      </c>
      <c r="H96" s="4">
        <f>G96/E96</f>
        <v/>
      </c>
      <c r="I96" s="3" t="n">
        <v>1.8</v>
      </c>
      <c r="J96" s="4">
        <f>(F96-Assumptions!$B$13)/(Assumptions!$C$13-Assumptions!$B$13)</f>
        <v/>
      </c>
      <c r="K96" s="4">
        <f>(H96-Assumptions!$B$14)/(Assumptions!$C$14-Assumptions!$B$14)</f>
        <v/>
      </c>
      <c r="L96" s="4">
        <f>(I96-Assumptions!$B$15)/(Assumptions!$C$15-Assumptions!$B$15)</f>
        <v/>
      </c>
      <c r="M96" s="4">
        <f>0.4*J96+0.4*K96+0.2*L96</f>
        <v/>
      </c>
    </row>
    <row r="97">
      <c r="A97" s="3" t="inlineStr">
        <is>
          <t>Normal</t>
        </is>
      </c>
      <c r="B97" s="3" t="inlineStr">
        <is>
          <t>DEL_BW</t>
        </is>
      </c>
      <c r="C97" s="3" t="inlineStr">
        <is>
          <t>SIM-00185</t>
        </is>
      </c>
      <c r="D97" s="3" t="inlineStr">
        <is>
          <t>RO-03772</t>
        </is>
      </c>
      <c r="E97" s="3" t="n">
        <v>4.5</v>
      </c>
      <c r="F97" s="3" t="n">
        <v>2</v>
      </c>
      <c r="G97" s="3" t="n">
        <v>497</v>
      </c>
      <c r="H97" s="4">
        <f>G97/E97</f>
        <v/>
      </c>
      <c r="I97" s="3" t="n">
        <v>1.7</v>
      </c>
      <c r="J97" s="4">
        <f>(F97-Assumptions!$B$13)/(Assumptions!$C$13-Assumptions!$B$13)</f>
        <v/>
      </c>
      <c r="K97" s="4">
        <f>(H97-Assumptions!$B$14)/(Assumptions!$C$14-Assumptions!$B$14)</f>
        <v/>
      </c>
      <c r="L97" s="4">
        <f>(I97-Assumptions!$B$15)/(Assumptions!$C$15-Assumptions!$B$15)</f>
        <v/>
      </c>
      <c r="M97" s="4">
        <f>0.4*J97+0.4*K97+0.2*L97</f>
        <v/>
      </c>
    </row>
    <row r="98">
      <c r="A98" s="3" t="inlineStr">
        <is>
          <t>Normal</t>
        </is>
      </c>
      <c r="B98" s="3" t="inlineStr">
        <is>
          <t>DEL_EM</t>
        </is>
      </c>
      <c r="C98" s="3" t="inlineStr">
        <is>
          <t>SIM-00189</t>
        </is>
      </c>
      <c r="D98" s="3" t="inlineStr">
        <is>
          <t>RO-03776</t>
        </is>
      </c>
      <c r="E98" s="3" t="n">
        <v>154.5</v>
      </c>
      <c r="F98" s="3" t="n">
        <v>4</v>
      </c>
      <c r="G98" s="3" t="n">
        <v>285</v>
      </c>
      <c r="H98" s="4">
        <f>G98/E98</f>
        <v/>
      </c>
      <c r="I98" s="3" t="n">
        <v>1.8</v>
      </c>
      <c r="J98" s="4">
        <f>(F98-Assumptions!$B$13)/(Assumptions!$C$13-Assumptions!$B$13)</f>
        <v/>
      </c>
      <c r="K98" s="4">
        <f>(H98-Assumptions!$B$14)/(Assumptions!$C$14-Assumptions!$B$14)</f>
        <v/>
      </c>
      <c r="L98" s="4">
        <f>(I98-Assumptions!$B$15)/(Assumptions!$C$15-Assumptions!$B$15)</f>
        <v/>
      </c>
      <c r="M98" s="4">
        <f>0.4*J98+0.4*K98+0.2*L98</f>
        <v/>
      </c>
    </row>
    <row r="99">
      <c r="A99" s="3" t="inlineStr">
        <is>
          <t>Normal</t>
        </is>
      </c>
      <c r="B99" s="3" t="inlineStr">
        <is>
          <t>DEL_B</t>
        </is>
      </c>
      <c r="C99" s="3" t="inlineStr">
        <is>
          <t>SIM-00200</t>
        </is>
      </c>
      <c r="D99" s="3" t="inlineStr">
        <is>
          <t>RO-03786</t>
        </is>
      </c>
      <c r="E99" s="3" t="n">
        <v>335</v>
      </c>
      <c r="F99" s="3" t="n">
        <v>1</v>
      </c>
      <c r="G99" s="3" t="n">
        <v>717</v>
      </c>
      <c r="H99" s="4">
        <f>G99/E99</f>
        <v/>
      </c>
      <c r="I99" s="3" t="n">
        <v>0.6</v>
      </c>
      <c r="J99" s="4">
        <f>(F99-Assumptions!$B$13)/(Assumptions!$C$13-Assumptions!$B$13)</f>
        <v/>
      </c>
      <c r="K99" s="4">
        <f>(H99-Assumptions!$B$14)/(Assumptions!$C$14-Assumptions!$B$14)</f>
        <v/>
      </c>
      <c r="L99" s="4">
        <f>(I99-Assumptions!$B$15)/(Assumptions!$C$15-Assumptions!$B$15)</f>
        <v/>
      </c>
      <c r="M99" s="4">
        <f>0.4*J99+0.4*K99+0.2*L99</f>
        <v/>
      </c>
    </row>
    <row r="100">
      <c r="A100" s="3" t="inlineStr">
        <is>
          <t>Normal</t>
        </is>
      </c>
      <c r="B100" s="3" t="inlineStr">
        <is>
          <t>DEL_AW</t>
        </is>
      </c>
      <c r="C100" s="3" t="inlineStr">
        <is>
          <t>SIM-00201</t>
        </is>
      </c>
      <c r="D100" s="3" t="inlineStr">
        <is>
          <t>RO-03787</t>
        </is>
      </c>
      <c r="E100" s="3" t="n">
        <v>15.5</v>
      </c>
      <c r="F100" s="3" t="n">
        <v>2</v>
      </c>
      <c r="G100" s="3" t="n">
        <v>569</v>
      </c>
      <c r="H100" s="4">
        <f>G100/E100</f>
        <v/>
      </c>
      <c r="I100" s="3" t="n">
        <v>1.2</v>
      </c>
      <c r="J100" s="4">
        <f>(F100-Assumptions!$B$13)/(Assumptions!$C$13-Assumptions!$B$13)</f>
        <v/>
      </c>
      <c r="K100" s="4">
        <f>(H100-Assumptions!$B$14)/(Assumptions!$C$14-Assumptions!$B$14)</f>
        <v/>
      </c>
      <c r="L100" s="4">
        <f>(I100-Assumptions!$B$15)/(Assumptions!$C$15-Assumptions!$B$15)</f>
        <v/>
      </c>
      <c r="M100" s="4">
        <f>0.4*J100+0.4*K100+0.2*L100</f>
        <v/>
      </c>
    </row>
    <row r="101">
      <c r="A101" s="3" t="inlineStr">
        <is>
          <t>Normal</t>
        </is>
      </c>
      <c r="B101" s="3" t="inlineStr">
        <is>
          <t>DEL_DB</t>
        </is>
      </c>
      <c r="C101" s="3" t="inlineStr">
        <is>
          <t>SIM-00201</t>
        </is>
      </c>
      <c r="D101" s="3" t="inlineStr">
        <is>
          <t>RO-03787</t>
        </is>
      </c>
      <c r="E101" s="3" t="n">
        <v>9.5</v>
      </c>
      <c r="F101" s="3" t="n">
        <v>2</v>
      </c>
      <c r="G101" s="3" t="n">
        <v>569</v>
      </c>
      <c r="H101" s="4">
        <f>G101/E101</f>
        <v/>
      </c>
      <c r="I101" s="3" t="n">
        <v>1.2</v>
      </c>
      <c r="J101" s="4">
        <f>(F101-Assumptions!$B$13)/(Assumptions!$C$13-Assumptions!$B$13)</f>
        <v/>
      </c>
      <c r="K101" s="4">
        <f>(H101-Assumptions!$B$14)/(Assumptions!$C$14-Assumptions!$B$14)</f>
        <v/>
      </c>
      <c r="L101" s="4">
        <f>(I101-Assumptions!$B$15)/(Assumptions!$C$15-Assumptions!$B$15)</f>
        <v/>
      </c>
      <c r="M101" s="4">
        <f>0.4*J101+0.4*K101+0.2*L101</f>
        <v/>
      </c>
    </row>
    <row r="102">
      <c r="A102" s="3" t="inlineStr">
        <is>
          <t>Normal</t>
        </is>
      </c>
      <c r="B102" s="3" t="inlineStr">
        <is>
          <t>DEL_BO</t>
        </is>
      </c>
      <c r="C102" s="3" t="inlineStr">
        <is>
          <t>SIM-00202</t>
        </is>
      </c>
      <c r="D102" s="3" t="inlineStr">
        <is>
          <t>RO-03642</t>
        </is>
      </c>
      <c r="E102" s="3" t="n">
        <v>455.5</v>
      </c>
      <c r="F102" s="3" t="n">
        <v>4</v>
      </c>
      <c r="G102" s="3" t="n">
        <v>297</v>
      </c>
      <c r="H102" s="4">
        <f>G102/E102</f>
        <v/>
      </c>
      <c r="I102" s="3" t="n">
        <v>1.4</v>
      </c>
      <c r="J102" s="4">
        <f>(F102-Assumptions!$B$13)/(Assumptions!$C$13-Assumptions!$B$13)</f>
        <v/>
      </c>
      <c r="K102" s="4">
        <f>(H102-Assumptions!$B$14)/(Assumptions!$C$14-Assumptions!$B$14)</f>
        <v/>
      </c>
      <c r="L102" s="4">
        <f>(I102-Assumptions!$B$15)/(Assumptions!$C$15-Assumptions!$B$15)</f>
        <v/>
      </c>
      <c r="M102" s="4">
        <f>0.4*J102+0.4*K102+0.2*L102</f>
        <v/>
      </c>
    </row>
    <row r="103">
      <c r="A103" s="3" t="inlineStr">
        <is>
          <t>Normal</t>
        </is>
      </c>
      <c r="B103" s="3" t="inlineStr">
        <is>
          <t>DEL_M</t>
        </is>
      </c>
      <c r="C103" s="3" t="inlineStr">
        <is>
          <t>SIM-00203</t>
        </is>
      </c>
      <c r="D103" s="3" t="inlineStr">
        <is>
          <t>RO-03643</t>
        </is>
      </c>
      <c r="E103" s="3" t="n">
        <v>11</v>
      </c>
      <c r="F103" s="3" t="n">
        <v>10</v>
      </c>
      <c r="G103" s="3" t="n">
        <v>229</v>
      </c>
      <c r="H103" s="4">
        <f>G103/E103</f>
        <v/>
      </c>
      <c r="I103" s="3" t="n">
        <v>2.6</v>
      </c>
      <c r="J103" s="4">
        <f>(F103-Assumptions!$B$13)/(Assumptions!$C$13-Assumptions!$B$13)</f>
        <v/>
      </c>
      <c r="K103" s="4">
        <f>(H103-Assumptions!$B$14)/(Assumptions!$C$14-Assumptions!$B$14)</f>
        <v/>
      </c>
      <c r="L103" s="4">
        <f>(I103-Assumptions!$B$15)/(Assumptions!$C$15-Assumptions!$B$15)</f>
        <v/>
      </c>
      <c r="M103" s="4">
        <f>0.4*J103+0.4*K103+0.2*L103</f>
        <v/>
      </c>
    </row>
    <row r="104">
      <c r="A104" s="3" t="inlineStr">
        <is>
          <t>Normal</t>
        </is>
      </c>
      <c r="B104" s="3" t="inlineStr">
        <is>
          <t>DEL_Q</t>
        </is>
      </c>
      <c r="C104" s="3" t="inlineStr">
        <is>
          <t>SIM-00205</t>
        </is>
      </c>
      <c r="D104" s="3" t="inlineStr">
        <is>
          <t>RO-03645</t>
        </is>
      </c>
      <c r="E104" s="3" t="n">
        <v>392</v>
      </c>
      <c r="F104" s="3" t="n">
        <v>2</v>
      </c>
      <c r="G104" s="3" t="n">
        <v>485</v>
      </c>
      <c r="H104" s="4">
        <f>G104/E104</f>
        <v/>
      </c>
      <c r="I104" s="3" t="n">
        <v>1.5</v>
      </c>
      <c r="J104" s="4">
        <f>(F104-Assumptions!$B$13)/(Assumptions!$C$13-Assumptions!$B$13)</f>
        <v/>
      </c>
      <c r="K104" s="4">
        <f>(H104-Assumptions!$B$14)/(Assumptions!$C$14-Assumptions!$B$14)</f>
        <v/>
      </c>
      <c r="L104" s="4">
        <f>(I104-Assumptions!$B$15)/(Assumptions!$C$15-Assumptions!$B$15)</f>
        <v/>
      </c>
      <c r="M104" s="4">
        <f>0.4*J104+0.4*K104+0.2*L104</f>
        <v/>
      </c>
    </row>
    <row r="105">
      <c r="A105" s="3" t="inlineStr">
        <is>
          <t>Normal</t>
        </is>
      </c>
      <c r="B105" s="3" t="inlineStr">
        <is>
          <t>DEL_DT</t>
        </is>
      </c>
      <c r="C105" s="3" t="inlineStr">
        <is>
          <t>SIM-00205</t>
        </is>
      </c>
      <c r="D105" s="3" t="inlineStr">
        <is>
          <t>RO-03645</t>
        </is>
      </c>
      <c r="E105" s="3" t="n">
        <v>951.5</v>
      </c>
      <c r="F105" s="3" t="n">
        <v>2</v>
      </c>
      <c r="G105" s="3" t="n">
        <v>485</v>
      </c>
      <c r="H105" s="4">
        <f>G105/E105</f>
        <v/>
      </c>
      <c r="I105" s="3" t="n">
        <v>1.5</v>
      </c>
      <c r="J105" s="4">
        <f>(F105-Assumptions!$B$13)/(Assumptions!$C$13-Assumptions!$B$13)</f>
        <v/>
      </c>
      <c r="K105" s="4">
        <f>(H105-Assumptions!$B$14)/(Assumptions!$C$14-Assumptions!$B$14)</f>
        <v/>
      </c>
      <c r="L105" s="4">
        <f>(I105-Assumptions!$B$15)/(Assumptions!$C$15-Assumptions!$B$15)</f>
        <v/>
      </c>
      <c r="M105" s="4">
        <f>0.4*J105+0.4*K105+0.2*L105</f>
        <v/>
      </c>
    </row>
    <row r="106">
      <c r="A106" s="3" t="inlineStr">
        <is>
          <t>Normal</t>
        </is>
      </c>
      <c r="B106" s="3" t="inlineStr">
        <is>
          <t>DEL_T</t>
        </is>
      </c>
      <c r="C106" s="3" t="inlineStr">
        <is>
          <t>SIM-00209</t>
        </is>
      </c>
      <c r="D106" s="3" t="inlineStr">
        <is>
          <t>RO-03725</t>
        </is>
      </c>
      <c r="E106" s="3" t="n">
        <v>236</v>
      </c>
      <c r="F106" s="3" t="n">
        <v>4</v>
      </c>
      <c r="G106" s="3" t="n">
        <v>321</v>
      </c>
      <c r="H106" s="4">
        <f>G106/E106</f>
        <v/>
      </c>
      <c r="I106" s="3" t="n">
        <v>2.2</v>
      </c>
      <c r="J106" s="4">
        <f>(F106-Assumptions!$B$13)/(Assumptions!$C$13-Assumptions!$B$13)</f>
        <v/>
      </c>
      <c r="K106" s="4">
        <f>(H106-Assumptions!$B$14)/(Assumptions!$C$14-Assumptions!$B$14)</f>
        <v/>
      </c>
      <c r="L106" s="4">
        <f>(I106-Assumptions!$B$15)/(Assumptions!$C$15-Assumptions!$B$15)</f>
        <v/>
      </c>
      <c r="M106" s="4">
        <f>0.4*J106+0.4*K106+0.2*L106</f>
        <v/>
      </c>
    </row>
    <row r="107">
      <c r="A107" s="3" t="inlineStr">
        <is>
          <t>Normal</t>
        </is>
      </c>
      <c r="B107" s="3" t="inlineStr">
        <is>
          <t>DEL_EC</t>
        </is>
      </c>
      <c r="C107" s="3" t="inlineStr">
        <is>
          <t>SIM-00212</t>
        </is>
      </c>
      <c r="D107" s="3" t="inlineStr">
        <is>
          <t>RO-03791</t>
        </is>
      </c>
      <c r="E107" s="3" t="n">
        <v>402.5</v>
      </c>
      <c r="F107" s="3" t="n">
        <v>1</v>
      </c>
      <c r="G107" s="3" t="n">
        <v>669</v>
      </c>
      <c r="H107" s="4">
        <f>G107/E107</f>
        <v/>
      </c>
      <c r="I107" s="3" t="n">
        <v>1.4</v>
      </c>
      <c r="J107" s="4">
        <f>(F107-Assumptions!$B$13)/(Assumptions!$C$13-Assumptions!$B$13)</f>
        <v/>
      </c>
      <c r="K107" s="4">
        <f>(H107-Assumptions!$B$14)/(Assumptions!$C$14-Assumptions!$B$14)</f>
        <v/>
      </c>
      <c r="L107" s="4">
        <f>(I107-Assumptions!$B$15)/(Assumptions!$C$15-Assumptions!$B$15)</f>
        <v/>
      </c>
      <c r="M107" s="4">
        <f>0.4*J107+0.4*K107+0.2*L107</f>
        <v/>
      </c>
    </row>
    <row r="108">
      <c r="A108" s="3" t="inlineStr">
        <is>
          <t>Normal</t>
        </is>
      </c>
      <c r="B108" s="3" t="inlineStr">
        <is>
          <t>DEL_W</t>
        </is>
      </c>
      <c r="C108" s="3" t="inlineStr">
        <is>
          <t>SIM-00217</t>
        </is>
      </c>
      <c r="D108" s="3" t="inlineStr">
        <is>
          <t>RO-03796</t>
        </is>
      </c>
      <c r="E108" s="3" t="n">
        <v>65</v>
      </c>
      <c r="F108" s="3" t="n">
        <v>2</v>
      </c>
      <c r="G108" s="3" t="n">
        <v>569</v>
      </c>
      <c r="H108" s="4">
        <f>G108/E108</f>
        <v/>
      </c>
      <c r="I108" s="3" t="n">
        <v>1.7</v>
      </c>
      <c r="J108" s="4">
        <f>(F108-Assumptions!$B$13)/(Assumptions!$C$13-Assumptions!$B$13)</f>
        <v/>
      </c>
      <c r="K108" s="4">
        <f>(H108-Assumptions!$B$14)/(Assumptions!$C$14-Assumptions!$B$14)</f>
        <v/>
      </c>
      <c r="L108" s="4">
        <f>(I108-Assumptions!$B$15)/(Assumptions!$C$15-Assumptions!$B$15)</f>
        <v/>
      </c>
      <c r="M108" s="4">
        <f>0.4*J108+0.4*K108+0.2*L108</f>
        <v/>
      </c>
    </row>
    <row r="109">
      <c r="A109" s="3" t="inlineStr">
        <is>
          <t>Normal</t>
        </is>
      </c>
      <c r="B109" s="3" t="inlineStr">
        <is>
          <t>DEL_AF</t>
        </is>
      </c>
      <c r="C109" s="3" t="inlineStr">
        <is>
          <t>SIM-00218</t>
        </is>
      </c>
      <c r="D109" s="3" t="inlineStr">
        <is>
          <t>RO-03797</t>
        </is>
      </c>
      <c r="E109" s="3" t="n">
        <v>663</v>
      </c>
      <c r="F109" s="3" t="n">
        <v>4</v>
      </c>
      <c r="G109" s="3" t="n">
        <v>321</v>
      </c>
      <c r="H109" s="4">
        <f>G109/E109</f>
        <v/>
      </c>
      <c r="I109" s="3" t="n">
        <v>2.2</v>
      </c>
      <c r="J109" s="4">
        <f>(F109-Assumptions!$B$13)/(Assumptions!$C$13-Assumptions!$B$13)</f>
        <v/>
      </c>
      <c r="K109" s="4">
        <f>(H109-Assumptions!$B$14)/(Assumptions!$C$14-Assumptions!$B$14)</f>
        <v/>
      </c>
      <c r="L109" s="4">
        <f>(I109-Assumptions!$B$15)/(Assumptions!$C$15-Assumptions!$B$15)</f>
        <v/>
      </c>
      <c r="M109" s="4">
        <f>0.4*J109+0.4*K109+0.2*L109</f>
        <v/>
      </c>
    </row>
    <row r="110">
      <c r="A110" s="3" t="inlineStr">
        <is>
          <t>Normal</t>
        </is>
      </c>
      <c r="B110" s="3" t="inlineStr">
        <is>
          <t>DEL_AG</t>
        </is>
      </c>
      <c r="C110" s="3" t="inlineStr">
        <is>
          <t>SIM-00222</t>
        </is>
      </c>
      <c r="D110" s="3" t="inlineStr">
        <is>
          <t>RO-03801</t>
        </is>
      </c>
      <c r="E110" s="3" t="n">
        <v>29.5</v>
      </c>
      <c r="F110" s="3" t="n">
        <v>4</v>
      </c>
      <c r="G110" s="3" t="n">
        <v>261</v>
      </c>
      <c r="H110" s="4">
        <f>G110/E110</f>
        <v/>
      </c>
      <c r="I110" s="3" t="n">
        <v>1.9</v>
      </c>
      <c r="J110" s="4">
        <f>(F110-Assumptions!$B$13)/(Assumptions!$C$13-Assumptions!$B$13)</f>
        <v/>
      </c>
      <c r="K110" s="4">
        <f>(H110-Assumptions!$B$14)/(Assumptions!$C$14-Assumptions!$B$14)</f>
        <v/>
      </c>
      <c r="L110" s="4">
        <f>(I110-Assumptions!$B$15)/(Assumptions!$C$15-Assumptions!$B$15)</f>
        <v/>
      </c>
      <c r="M110" s="4">
        <f>0.4*J110+0.4*K110+0.2*L110</f>
        <v/>
      </c>
    </row>
    <row r="111">
      <c r="A111" s="3" t="inlineStr">
        <is>
          <t>Normal</t>
        </is>
      </c>
      <c r="B111" s="3" t="inlineStr">
        <is>
          <t>DEL_BY</t>
        </is>
      </c>
      <c r="C111" s="3" t="inlineStr">
        <is>
          <t>SIM-00222</t>
        </is>
      </c>
      <c r="D111" s="3" t="inlineStr">
        <is>
          <t>RO-03801</t>
        </is>
      </c>
      <c r="E111" s="3" t="n">
        <v>19.5</v>
      </c>
      <c r="F111" s="3" t="n">
        <v>4</v>
      </c>
      <c r="G111" s="3" t="n">
        <v>261</v>
      </c>
      <c r="H111" s="4">
        <f>G111/E111</f>
        <v/>
      </c>
      <c r="I111" s="3" t="n">
        <v>1.9</v>
      </c>
      <c r="J111" s="4">
        <f>(F111-Assumptions!$B$13)/(Assumptions!$C$13-Assumptions!$B$13)</f>
        <v/>
      </c>
      <c r="K111" s="4">
        <f>(H111-Assumptions!$B$14)/(Assumptions!$C$14-Assumptions!$B$14)</f>
        <v/>
      </c>
      <c r="L111" s="4">
        <f>(I111-Assumptions!$B$15)/(Assumptions!$C$15-Assumptions!$B$15)</f>
        <v/>
      </c>
      <c r="M111" s="4">
        <f>0.4*J111+0.4*K111+0.2*L111</f>
        <v/>
      </c>
    </row>
    <row r="112">
      <c r="A112" s="3" t="inlineStr">
        <is>
          <t>Normal</t>
        </is>
      </c>
      <c r="B112" s="3" t="inlineStr">
        <is>
          <t>DEL_FR</t>
        </is>
      </c>
      <c r="C112" s="3" t="inlineStr">
        <is>
          <t>SIM-00222</t>
        </is>
      </c>
      <c r="D112" s="3" t="inlineStr">
        <is>
          <t>RO-03801</t>
        </is>
      </c>
      <c r="E112" s="3" t="n">
        <v>4</v>
      </c>
      <c r="F112" s="3" t="n">
        <v>4</v>
      </c>
      <c r="G112" s="3" t="n">
        <v>261</v>
      </c>
      <c r="H112" s="4">
        <f>G112/E112</f>
        <v/>
      </c>
      <c r="I112" s="3" t="n">
        <v>1.9</v>
      </c>
      <c r="J112" s="4">
        <f>(F112-Assumptions!$B$13)/(Assumptions!$C$13-Assumptions!$B$13)</f>
        <v/>
      </c>
      <c r="K112" s="4">
        <f>(H112-Assumptions!$B$14)/(Assumptions!$C$14-Assumptions!$B$14)</f>
        <v/>
      </c>
      <c r="L112" s="4">
        <f>(I112-Assumptions!$B$15)/(Assumptions!$C$15-Assumptions!$B$15)</f>
        <v/>
      </c>
      <c r="M112" s="4">
        <f>0.4*J112+0.4*K112+0.2*L112</f>
        <v/>
      </c>
    </row>
    <row r="113">
      <c r="A113" s="3" t="inlineStr">
        <is>
          <t>Normal</t>
        </is>
      </c>
      <c r="B113" s="3" t="inlineStr">
        <is>
          <t>DEL_GZ</t>
        </is>
      </c>
      <c r="C113" s="3" t="inlineStr">
        <is>
          <t>SIM-00222</t>
        </is>
      </c>
      <c r="D113" s="3" t="inlineStr">
        <is>
          <t>RO-03801</t>
        </is>
      </c>
      <c r="E113" s="3" t="n">
        <v>6</v>
      </c>
      <c r="F113" s="3" t="n">
        <v>4</v>
      </c>
      <c r="G113" s="3" t="n">
        <v>261</v>
      </c>
      <c r="H113" s="4">
        <f>G113/E113</f>
        <v/>
      </c>
      <c r="I113" s="3" t="n">
        <v>1.9</v>
      </c>
      <c r="J113" s="4">
        <f>(F113-Assumptions!$B$13)/(Assumptions!$C$13-Assumptions!$B$13)</f>
        <v/>
      </c>
      <c r="K113" s="4">
        <f>(H113-Assumptions!$B$14)/(Assumptions!$C$14-Assumptions!$B$14)</f>
        <v/>
      </c>
      <c r="L113" s="4">
        <f>(I113-Assumptions!$B$15)/(Assumptions!$C$15-Assumptions!$B$15)</f>
        <v/>
      </c>
      <c r="M113" s="4">
        <f>0.4*J113+0.4*K113+0.2*L113</f>
        <v/>
      </c>
    </row>
    <row r="114">
      <c r="A114" s="3" t="inlineStr">
        <is>
          <t>Normal</t>
        </is>
      </c>
      <c r="B114" s="3" t="inlineStr">
        <is>
          <t>DEL_GX</t>
        </is>
      </c>
      <c r="C114" s="3" t="inlineStr">
        <is>
          <t>SIM-00222</t>
        </is>
      </c>
      <c r="D114" s="3" t="inlineStr">
        <is>
          <t>RO-03801</t>
        </is>
      </c>
      <c r="E114" s="3" t="n">
        <v>29.5</v>
      </c>
      <c r="F114" s="3" t="n">
        <v>4</v>
      </c>
      <c r="G114" s="3" t="n">
        <v>261</v>
      </c>
      <c r="H114" s="4">
        <f>G114/E114</f>
        <v/>
      </c>
      <c r="I114" s="3" t="n">
        <v>1.9</v>
      </c>
      <c r="J114" s="4">
        <f>(F114-Assumptions!$B$13)/(Assumptions!$C$13-Assumptions!$B$13)</f>
        <v/>
      </c>
      <c r="K114" s="4">
        <f>(H114-Assumptions!$B$14)/(Assumptions!$C$14-Assumptions!$B$14)</f>
        <v/>
      </c>
      <c r="L114" s="4">
        <f>(I114-Assumptions!$B$15)/(Assumptions!$C$15-Assumptions!$B$15)</f>
        <v/>
      </c>
      <c r="M114" s="4">
        <f>0.4*J114+0.4*K114+0.2*L114</f>
        <v/>
      </c>
    </row>
    <row r="115">
      <c r="A115" s="3" t="inlineStr">
        <is>
          <t>Normal</t>
        </is>
      </c>
      <c r="B115" s="3" t="inlineStr">
        <is>
          <t>DEL_GV</t>
        </is>
      </c>
      <c r="C115" s="3" t="inlineStr">
        <is>
          <t>SIM-00222</t>
        </is>
      </c>
      <c r="D115" s="3" t="inlineStr">
        <is>
          <t>RO-03801</t>
        </is>
      </c>
      <c r="E115" s="3" t="n">
        <v>411</v>
      </c>
      <c r="F115" s="3" t="n">
        <v>4</v>
      </c>
      <c r="G115" s="3" t="n">
        <v>261</v>
      </c>
      <c r="H115" s="4">
        <f>G115/E115</f>
        <v/>
      </c>
      <c r="I115" s="3" t="n">
        <v>1.9</v>
      </c>
      <c r="J115" s="4">
        <f>(F115-Assumptions!$B$13)/(Assumptions!$C$13-Assumptions!$B$13)</f>
        <v/>
      </c>
      <c r="K115" s="4">
        <f>(H115-Assumptions!$B$14)/(Assumptions!$C$14-Assumptions!$B$14)</f>
        <v/>
      </c>
      <c r="L115" s="4">
        <f>(I115-Assumptions!$B$15)/(Assumptions!$C$15-Assumptions!$B$15)</f>
        <v/>
      </c>
      <c r="M115" s="4">
        <f>0.4*J115+0.4*K115+0.2*L115</f>
        <v/>
      </c>
    </row>
    <row r="116">
      <c r="A116" s="3" t="inlineStr">
        <is>
          <t>Normal</t>
        </is>
      </c>
      <c r="B116" s="3" t="inlineStr">
        <is>
          <t>DEL_BS</t>
        </is>
      </c>
      <c r="C116" s="3" t="inlineStr">
        <is>
          <t>SIM-00223</t>
        </is>
      </c>
      <c r="D116" s="3" t="inlineStr">
        <is>
          <t>RO-03802</t>
        </is>
      </c>
      <c r="E116" s="3" t="n">
        <v>177</v>
      </c>
      <c r="F116" s="3" t="n">
        <v>9</v>
      </c>
      <c r="G116" s="3" t="n">
        <v>193</v>
      </c>
      <c r="H116" s="4">
        <f>G116/E116</f>
        <v/>
      </c>
      <c r="I116" s="3" t="n">
        <v>3</v>
      </c>
      <c r="J116" s="4">
        <f>(F116-Assumptions!$B$13)/(Assumptions!$C$13-Assumptions!$B$13)</f>
        <v/>
      </c>
      <c r="K116" s="4">
        <f>(H116-Assumptions!$B$14)/(Assumptions!$C$14-Assumptions!$B$14)</f>
        <v/>
      </c>
      <c r="L116" s="4">
        <f>(I116-Assumptions!$B$15)/(Assumptions!$C$15-Assumptions!$B$15)</f>
        <v/>
      </c>
      <c r="M116" s="4">
        <f>0.4*J116+0.4*K116+0.2*L116</f>
        <v/>
      </c>
    </row>
    <row r="117">
      <c r="A117" s="3" t="inlineStr">
        <is>
          <t>Normal</t>
        </is>
      </c>
      <c r="B117" s="3" t="inlineStr">
        <is>
          <t>DEL_X</t>
        </is>
      </c>
      <c r="C117" s="3" t="inlineStr">
        <is>
          <t>SIM-00230</t>
        </is>
      </c>
      <c r="D117" s="3" t="inlineStr">
        <is>
          <t>RO-03809</t>
        </is>
      </c>
      <c r="E117" s="3" t="n">
        <v>6.5</v>
      </c>
      <c r="F117" s="3" t="n">
        <v>6</v>
      </c>
      <c r="G117" s="3" t="n">
        <v>249</v>
      </c>
      <c r="H117" s="4">
        <f>G117/E117</f>
        <v/>
      </c>
      <c r="I117" s="3" t="n">
        <v>2.2</v>
      </c>
      <c r="J117" s="4">
        <f>(F117-Assumptions!$B$13)/(Assumptions!$C$13-Assumptions!$B$13)</f>
        <v/>
      </c>
      <c r="K117" s="4">
        <f>(H117-Assumptions!$B$14)/(Assumptions!$C$14-Assumptions!$B$14)</f>
        <v/>
      </c>
      <c r="L117" s="4">
        <f>(I117-Assumptions!$B$15)/(Assumptions!$C$15-Assumptions!$B$15)</f>
        <v/>
      </c>
      <c r="M117" s="4">
        <f>0.4*J117+0.4*K117+0.2*L117</f>
        <v/>
      </c>
    </row>
    <row r="118">
      <c r="A118" s="3" t="inlineStr">
        <is>
          <t>Normal</t>
        </is>
      </c>
      <c r="B118" s="3" t="inlineStr">
        <is>
          <t>DEL_CL</t>
        </is>
      </c>
      <c r="C118" s="3" t="inlineStr">
        <is>
          <t>SIM-00230</t>
        </is>
      </c>
      <c r="D118" s="3" t="inlineStr">
        <is>
          <t>RO-03809</t>
        </is>
      </c>
      <c r="E118" s="3" t="n">
        <v>27.5</v>
      </c>
      <c r="F118" s="3" t="n">
        <v>6</v>
      </c>
      <c r="G118" s="3" t="n">
        <v>249</v>
      </c>
      <c r="H118" s="4">
        <f>G118/E118</f>
        <v/>
      </c>
      <c r="I118" s="3" t="n">
        <v>2.2</v>
      </c>
      <c r="J118" s="4">
        <f>(F118-Assumptions!$B$13)/(Assumptions!$C$13-Assumptions!$B$13)</f>
        <v/>
      </c>
      <c r="K118" s="4">
        <f>(H118-Assumptions!$B$14)/(Assumptions!$C$14-Assumptions!$B$14)</f>
        <v/>
      </c>
      <c r="L118" s="4">
        <f>(I118-Assumptions!$B$15)/(Assumptions!$C$15-Assumptions!$B$15)</f>
        <v/>
      </c>
      <c r="M118" s="4">
        <f>0.4*J118+0.4*K118+0.2*L118</f>
        <v/>
      </c>
    </row>
    <row r="119">
      <c r="A119" s="3" t="inlineStr">
        <is>
          <t>Normal</t>
        </is>
      </c>
      <c r="B119" s="3" t="inlineStr">
        <is>
          <t>DEL_DM</t>
        </is>
      </c>
      <c r="C119" s="3" t="inlineStr">
        <is>
          <t>SIM-00230</t>
        </is>
      </c>
      <c r="D119" s="3" t="inlineStr">
        <is>
          <t>RO-03809</t>
        </is>
      </c>
      <c r="E119" s="3" t="n">
        <v>8</v>
      </c>
      <c r="F119" s="3" t="n">
        <v>6</v>
      </c>
      <c r="G119" s="3" t="n">
        <v>249</v>
      </c>
      <c r="H119" s="4">
        <f>G119/E119</f>
        <v/>
      </c>
      <c r="I119" s="3" t="n">
        <v>2.2</v>
      </c>
      <c r="J119" s="4">
        <f>(F119-Assumptions!$B$13)/(Assumptions!$C$13-Assumptions!$B$13)</f>
        <v/>
      </c>
      <c r="K119" s="4">
        <f>(H119-Assumptions!$B$14)/(Assumptions!$C$14-Assumptions!$B$14)</f>
        <v/>
      </c>
      <c r="L119" s="4">
        <f>(I119-Assumptions!$B$15)/(Assumptions!$C$15-Assumptions!$B$15)</f>
        <v/>
      </c>
      <c r="M119" s="4">
        <f>0.4*J119+0.4*K119+0.2*L119</f>
        <v/>
      </c>
    </row>
    <row r="120">
      <c r="A120" s="3" t="inlineStr">
        <is>
          <t>Normal</t>
        </is>
      </c>
      <c r="B120" s="3" t="inlineStr">
        <is>
          <t>DEL_HQ</t>
        </is>
      </c>
      <c r="C120" s="3" t="inlineStr">
        <is>
          <t>SIM-00230</t>
        </is>
      </c>
      <c r="D120" s="3" t="inlineStr">
        <is>
          <t>RO-03809</t>
        </is>
      </c>
      <c r="E120" s="3" t="n">
        <v>5</v>
      </c>
      <c r="F120" s="3" t="n">
        <v>6</v>
      </c>
      <c r="G120" s="3" t="n">
        <v>249</v>
      </c>
      <c r="H120" s="4">
        <f>G120/E120</f>
        <v/>
      </c>
      <c r="I120" s="3" t="n">
        <v>2.2</v>
      </c>
      <c r="J120" s="4">
        <f>(F120-Assumptions!$B$13)/(Assumptions!$C$13-Assumptions!$B$13)</f>
        <v/>
      </c>
      <c r="K120" s="4">
        <f>(H120-Assumptions!$B$14)/(Assumptions!$C$14-Assumptions!$B$14)</f>
        <v/>
      </c>
      <c r="L120" s="4">
        <f>(I120-Assumptions!$B$15)/(Assumptions!$C$15-Assumptions!$B$15)</f>
        <v/>
      </c>
      <c r="M120" s="4">
        <f>0.4*J120+0.4*K120+0.2*L120</f>
        <v/>
      </c>
    </row>
    <row r="121">
      <c r="A121" s="3" t="inlineStr">
        <is>
          <t>Normal</t>
        </is>
      </c>
      <c r="B121" s="3" t="inlineStr">
        <is>
          <t>DEL_GT</t>
        </is>
      </c>
      <c r="C121" s="3" t="inlineStr">
        <is>
          <t>SIM-00230</t>
        </is>
      </c>
      <c r="D121" s="3" t="inlineStr">
        <is>
          <t>RO-03809</t>
        </is>
      </c>
      <c r="E121" s="3" t="n">
        <v>1</v>
      </c>
      <c r="F121" s="3" t="n">
        <v>6</v>
      </c>
      <c r="G121" s="3" t="n">
        <v>249</v>
      </c>
      <c r="H121" s="4">
        <f>G121/E121</f>
        <v/>
      </c>
      <c r="I121" s="3" t="n">
        <v>2.2</v>
      </c>
      <c r="J121" s="4">
        <f>(F121-Assumptions!$B$13)/(Assumptions!$C$13-Assumptions!$B$13)</f>
        <v/>
      </c>
      <c r="K121" s="4">
        <f>(H121-Assumptions!$B$14)/(Assumptions!$C$14-Assumptions!$B$14)</f>
        <v/>
      </c>
      <c r="L121" s="4">
        <f>(I121-Assumptions!$B$15)/(Assumptions!$C$15-Assumptions!$B$15)</f>
        <v/>
      </c>
      <c r="M121" s="4">
        <f>0.4*J121+0.4*K121+0.2*L121</f>
        <v/>
      </c>
    </row>
    <row r="122">
      <c r="A122" s="3" t="inlineStr">
        <is>
          <t>Normal</t>
        </is>
      </c>
      <c r="B122" s="3" t="inlineStr">
        <is>
          <t>DEL_AO</t>
        </is>
      </c>
      <c r="C122" s="3" t="inlineStr">
        <is>
          <t>SIM-00232</t>
        </is>
      </c>
      <c r="D122" s="3" t="inlineStr">
        <is>
          <t>RO-03811</t>
        </is>
      </c>
      <c r="E122" s="3" t="n">
        <v>3.5</v>
      </c>
      <c r="F122" s="3" t="n">
        <v>1</v>
      </c>
      <c r="G122" s="3" t="n">
        <v>693</v>
      </c>
      <c r="H122" s="4">
        <f>G122/E122</f>
        <v/>
      </c>
      <c r="I122" s="3" t="n">
        <v>0.8</v>
      </c>
      <c r="J122" s="4">
        <f>(F122-Assumptions!$B$13)/(Assumptions!$C$13-Assumptions!$B$13)</f>
        <v/>
      </c>
      <c r="K122" s="4">
        <f>(H122-Assumptions!$B$14)/(Assumptions!$C$14-Assumptions!$B$14)</f>
        <v/>
      </c>
      <c r="L122" s="4">
        <f>(I122-Assumptions!$B$15)/(Assumptions!$C$15-Assumptions!$B$15)</f>
        <v/>
      </c>
      <c r="M122" s="4">
        <f>0.4*J122+0.4*K122+0.2*L122</f>
        <v/>
      </c>
    </row>
    <row r="123">
      <c r="A123" s="3" t="inlineStr">
        <is>
          <t>Normal</t>
        </is>
      </c>
      <c r="B123" s="3" t="inlineStr">
        <is>
          <t>DEL_EQ</t>
        </is>
      </c>
      <c r="C123" s="3" t="inlineStr">
        <is>
          <t>SIM-00232</t>
        </is>
      </c>
      <c r="D123" s="3" t="inlineStr">
        <is>
          <t>RO-03811</t>
        </is>
      </c>
      <c r="E123" s="3" t="n">
        <v>40.5</v>
      </c>
      <c r="F123" s="3" t="n">
        <v>1</v>
      </c>
      <c r="G123" s="3" t="n">
        <v>693</v>
      </c>
      <c r="H123" s="4">
        <f>G123/E123</f>
        <v/>
      </c>
      <c r="I123" s="3" t="n">
        <v>0.8</v>
      </c>
      <c r="J123" s="4">
        <f>(F123-Assumptions!$B$13)/(Assumptions!$C$13-Assumptions!$B$13)</f>
        <v/>
      </c>
      <c r="K123" s="4">
        <f>(H123-Assumptions!$B$14)/(Assumptions!$C$14-Assumptions!$B$14)</f>
        <v/>
      </c>
      <c r="L123" s="4">
        <f>(I123-Assumptions!$B$15)/(Assumptions!$C$15-Assumptions!$B$15)</f>
        <v/>
      </c>
      <c r="M123" s="4">
        <f>0.4*J123+0.4*K123+0.2*L123</f>
        <v/>
      </c>
    </row>
    <row r="124">
      <c r="A124" s="3" t="inlineStr">
        <is>
          <t>Normal</t>
        </is>
      </c>
      <c r="B124" s="3" t="inlineStr">
        <is>
          <t>DEL_HD</t>
        </is>
      </c>
      <c r="C124" s="3" t="inlineStr">
        <is>
          <t>SIM-00232</t>
        </is>
      </c>
      <c r="D124" s="3" t="inlineStr">
        <is>
          <t>RO-03811</t>
        </is>
      </c>
      <c r="E124" s="3" t="n">
        <v>20.5</v>
      </c>
      <c r="F124" s="3" t="n">
        <v>1</v>
      </c>
      <c r="G124" s="3" t="n">
        <v>693</v>
      </c>
      <c r="H124" s="4">
        <f>G124/E124</f>
        <v/>
      </c>
      <c r="I124" s="3" t="n">
        <v>0.8</v>
      </c>
      <c r="J124" s="4">
        <f>(F124-Assumptions!$B$13)/(Assumptions!$C$13-Assumptions!$B$13)</f>
        <v/>
      </c>
      <c r="K124" s="4">
        <f>(H124-Assumptions!$B$14)/(Assumptions!$C$14-Assumptions!$B$14)</f>
        <v/>
      </c>
      <c r="L124" s="4">
        <f>(I124-Assumptions!$B$15)/(Assumptions!$C$15-Assumptions!$B$15)</f>
        <v/>
      </c>
      <c r="M124" s="4">
        <f>0.4*J124+0.4*K124+0.2*L124</f>
        <v/>
      </c>
    </row>
    <row r="125">
      <c r="A125" s="3" t="inlineStr">
        <is>
          <t>Normal</t>
        </is>
      </c>
      <c r="B125" s="3" t="inlineStr">
        <is>
          <t>DEL_HH</t>
        </is>
      </c>
      <c r="C125" s="3" t="inlineStr">
        <is>
          <t>SIM-00232</t>
        </is>
      </c>
      <c r="D125" s="3" t="inlineStr">
        <is>
          <t>RO-03811</t>
        </is>
      </c>
      <c r="E125" s="3" t="n">
        <v>7</v>
      </c>
      <c r="F125" s="3" t="n">
        <v>1</v>
      </c>
      <c r="G125" s="3" t="n">
        <v>693</v>
      </c>
      <c r="H125" s="4">
        <f>G125/E125</f>
        <v/>
      </c>
      <c r="I125" s="3" t="n">
        <v>0.8</v>
      </c>
      <c r="J125" s="4">
        <f>(F125-Assumptions!$B$13)/(Assumptions!$C$13-Assumptions!$B$13)</f>
        <v/>
      </c>
      <c r="K125" s="4">
        <f>(H125-Assumptions!$B$14)/(Assumptions!$C$14-Assumptions!$B$14)</f>
        <v/>
      </c>
      <c r="L125" s="4">
        <f>(I125-Assumptions!$B$15)/(Assumptions!$C$15-Assumptions!$B$15)</f>
        <v/>
      </c>
      <c r="M125" s="4">
        <f>0.4*J125+0.4*K125+0.2*L125</f>
        <v/>
      </c>
    </row>
    <row r="126">
      <c r="A126" s="3" t="inlineStr">
        <is>
          <t>Normal</t>
        </is>
      </c>
      <c r="B126" s="3" t="inlineStr">
        <is>
          <t>DEL_BU</t>
        </is>
      </c>
      <c r="C126" s="3" t="inlineStr">
        <is>
          <t>SIM-00237</t>
        </is>
      </c>
      <c r="D126" s="3" t="inlineStr">
        <is>
          <t>RO-03816</t>
        </is>
      </c>
      <c r="E126" s="3" t="n">
        <v>32</v>
      </c>
      <c r="F126" s="3" t="n">
        <v>2</v>
      </c>
      <c r="G126" s="3" t="n">
        <v>485</v>
      </c>
      <c r="H126" s="4">
        <f>G126/E126</f>
        <v/>
      </c>
      <c r="I126" s="3" t="n">
        <v>1.1</v>
      </c>
      <c r="J126" s="4">
        <f>(F126-Assumptions!$B$13)/(Assumptions!$C$13-Assumptions!$B$13)</f>
        <v/>
      </c>
      <c r="K126" s="4">
        <f>(H126-Assumptions!$B$14)/(Assumptions!$C$14-Assumptions!$B$14)</f>
        <v/>
      </c>
      <c r="L126" s="4">
        <f>(I126-Assumptions!$B$15)/(Assumptions!$C$15-Assumptions!$B$15)</f>
        <v/>
      </c>
      <c r="M126" s="4">
        <f>0.4*J126+0.4*K126+0.2*L126</f>
        <v/>
      </c>
    </row>
    <row r="127">
      <c r="A127" s="3" t="inlineStr">
        <is>
          <t>Normal</t>
        </is>
      </c>
      <c r="B127" s="3" t="inlineStr">
        <is>
          <t>DEL_DY</t>
        </is>
      </c>
      <c r="C127" s="3" t="inlineStr">
        <is>
          <t>SIM-00240</t>
        </is>
      </c>
      <c r="D127" s="3" t="inlineStr">
        <is>
          <t>RO-03819</t>
        </is>
      </c>
      <c r="E127" s="3" t="n">
        <v>78</v>
      </c>
      <c r="F127" s="3" t="n">
        <v>3</v>
      </c>
      <c r="G127" s="3" t="n">
        <v>681</v>
      </c>
      <c r="H127" s="4">
        <f>G127/E127</f>
        <v/>
      </c>
      <c r="I127" s="3" t="n">
        <v>1.1</v>
      </c>
      <c r="J127" s="4">
        <f>(F127-Assumptions!$B$13)/(Assumptions!$C$13-Assumptions!$B$13)</f>
        <v/>
      </c>
      <c r="K127" s="4">
        <f>(H127-Assumptions!$B$14)/(Assumptions!$C$14-Assumptions!$B$14)</f>
        <v/>
      </c>
      <c r="L127" s="4">
        <f>(I127-Assumptions!$B$15)/(Assumptions!$C$15-Assumptions!$B$15)</f>
        <v/>
      </c>
      <c r="M127" s="4">
        <f>0.4*J127+0.4*K127+0.2*L127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ShipmentID</t>
        </is>
      </c>
      <c r="C1" s="2" t="inlineStr">
        <is>
          <t>RouteOptionID</t>
        </is>
      </c>
      <c r="D1" s="2" t="inlineStr">
        <is>
          <t>FromHub</t>
        </is>
      </c>
      <c r="E1" s="2" t="inlineStr">
        <is>
          <t>ToHub</t>
        </is>
      </c>
      <c r="F1" s="2" t="inlineStr">
        <is>
          <t>TransportMode</t>
        </is>
      </c>
      <c r="G1" s="2" t="inlineStr">
        <is>
          <t>IsPrimary</t>
        </is>
      </c>
      <c r="H1" s="2" t="inlineStr">
        <is>
          <t>Qty</t>
        </is>
      </c>
      <c r="I1" s="2" t="inlineStr">
        <is>
          <t>WeeksRequired</t>
        </is>
      </c>
      <c r="J1" s="2" t="inlineStr">
        <is>
          <t>MultiWeek</t>
        </is>
      </c>
      <c r="K1" s="2" t="inlineStr">
        <is>
          <t>BaseLeadTimeDays</t>
        </is>
      </c>
      <c r="L1" s="2" t="inlineStr">
        <is>
          <t>EffectiveLeadTimeDays</t>
        </is>
      </c>
      <c r="M1" s="2" t="inlineStr">
        <is>
          <t>BaseCostEUR</t>
        </is>
      </c>
      <c r="N1" s="2" t="inlineStr">
        <is>
          <t>RiskScore</t>
        </is>
      </c>
      <c r="O1" s="2" t="inlineStr">
        <is>
          <t>CO2Kg</t>
        </is>
      </c>
    </row>
    <row r="2">
      <c r="A2" s="3" t="inlineStr">
        <is>
          <t>Normal</t>
        </is>
      </c>
      <c r="B2" s="3" t="inlineStr">
        <is>
          <t>SIM-00001</t>
        </is>
      </c>
      <c r="C2" s="3" t="inlineStr">
        <is>
          <t>RO-03601</t>
        </is>
      </c>
      <c r="D2" s="3" t="inlineStr">
        <is>
          <t>FE_LOC_001</t>
        </is>
      </c>
      <c r="E2" s="3" t="inlineStr">
        <is>
          <t>SIFO_LOC_001</t>
        </is>
      </c>
      <c r="F2" s="3" t="inlineStr">
        <is>
          <t>Air</t>
        </is>
      </c>
      <c r="G2" s="3" t="inlineStr">
        <is>
          <t>Yes</t>
        </is>
      </c>
      <c r="H2" s="3" t="n">
        <v>850</v>
      </c>
      <c r="I2" s="3" t="n">
        <v>1</v>
      </c>
      <c r="J2" s="3" t="b">
        <v>0</v>
      </c>
      <c r="K2" s="3" t="n">
        <v>2</v>
      </c>
      <c r="L2" s="3" t="n">
        <v>2</v>
      </c>
      <c r="M2" s="3" t="n">
        <v>497</v>
      </c>
      <c r="N2" s="3" t="n">
        <v>1.2</v>
      </c>
      <c r="O2" s="3" t="n">
        <v>196</v>
      </c>
    </row>
    <row r="3">
      <c r="A3" s="3" t="inlineStr">
        <is>
          <t>Normal</t>
        </is>
      </c>
      <c r="B3" s="3" t="inlineStr">
        <is>
          <t>SIM-00002</t>
        </is>
      </c>
      <c r="C3" s="3" t="inlineStr">
        <is>
          <t>RO-03602</t>
        </is>
      </c>
      <c r="D3" s="3" t="inlineStr">
        <is>
          <t>SIFO_LOC_006</t>
        </is>
      </c>
      <c r="E3" s="3" t="inlineStr">
        <is>
          <t>BE_LOC_008</t>
        </is>
      </c>
      <c r="F3" s="3" t="inlineStr">
        <is>
          <t>Road</t>
        </is>
      </c>
      <c r="G3" s="3" t="inlineStr">
        <is>
          <t>Yes</t>
        </is>
      </c>
      <c r="H3" s="3" t="n">
        <v>200</v>
      </c>
      <c r="I3" s="3" t="n">
        <v>1</v>
      </c>
      <c r="J3" s="3" t="b">
        <v>0</v>
      </c>
      <c r="K3" s="3" t="n">
        <v>4</v>
      </c>
      <c r="L3" s="3" t="n">
        <v>4</v>
      </c>
      <c r="M3" s="3" t="n">
        <v>249</v>
      </c>
      <c r="N3" s="3" t="n">
        <v>1.8</v>
      </c>
      <c r="O3" s="3" t="n">
        <v>112</v>
      </c>
    </row>
    <row r="4">
      <c r="A4" s="3" t="inlineStr">
        <is>
          <t>Normal</t>
        </is>
      </c>
      <c r="B4" s="3" t="inlineStr">
        <is>
          <t>SIM-00003</t>
        </is>
      </c>
      <c r="C4" s="3" t="inlineStr">
        <is>
          <t>RO-00514</t>
        </is>
      </c>
      <c r="D4" s="3" t="inlineStr">
        <is>
          <t>BE_ALT_36</t>
        </is>
      </c>
      <c r="E4" s="3" t="inlineStr">
        <is>
          <t>OSAT_ALT_36</t>
        </is>
      </c>
      <c r="F4" s="3" t="inlineStr">
        <is>
          <t>Ocean</t>
        </is>
      </c>
      <c r="G4" s="3" t="inlineStr">
        <is>
          <t>No</t>
        </is>
      </c>
      <c r="H4" s="3" t="n">
        <v>300</v>
      </c>
      <c r="I4" s="3" t="n">
        <v>1</v>
      </c>
      <c r="J4" s="3" t="b">
        <v>0</v>
      </c>
      <c r="K4" s="3" t="n">
        <v>3</v>
      </c>
      <c r="L4" s="3" t="n">
        <v>3</v>
      </c>
      <c r="M4" s="3" t="n">
        <v>712</v>
      </c>
      <c r="N4" s="3" t="n">
        <v>1.5</v>
      </c>
      <c r="O4" s="3" t="n">
        <v>166</v>
      </c>
    </row>
    <row r="5">
      <c r="A5" s="3" t="inlineStr">
        <is>
          <t>Normal</t>
        </is>
      </c>
      <c r="B5" s="3" t="inlineStr">
        <is>
          <t>SIM-00004</t>
        </is>
      </c>
      <c r="C5" s="3" t="inlineStr">
        <is>
          <t>RO-00049</t>
        </is>
      </c>
      <c r="D5" s="3" t="inlineStr">
        <is>
          <t>OSAT_ALT_05</t>
        </is>
      </c>
      <c r="E5" s="3" t="inlineStr">
        <is>
          <t>BE_ALT_05</t>
        </is>
      </c>
      <c r="F5" s="3" t="inlineStr">
        <is>
          <t>Air</t>
        </is>
      </c>
      <c r="G5" s="3" t="inlineStr">
        <is>
          <t>No</t>
        </is>
      </c>
      <c r="H5" s="3" t="n">
        <v>3400</v>
      </c>
      <c r="I5" s="3" t="n">
        <v>1</v>
      </c>
      <c r="J5" s="3" t="b">
        <v>0</v>
      </c>
      <c r="K5" s="3" t="n">
        <v>4</v>
      </c>
      <c r="L5" s="3" t="n">
        <v>4</v>
      </c>
      <c r="M5" s="3" t="n">
        <v>588</v>
      </c>
      <c r="N5" s="3" t="n">
        <v>1.5</v>
      </c>
      <c r="O5" s="3" t="n">
        <v>208</v>
      </c>
    </row>
    <row r="6">
      <c r="A6" s="3" t="inlineStr">
        <is>
          <t>Normal</t>
        </is>
      </c>
      <c r="B6" s="3" t="inlineStr">
        <is>
          <t>SIM-00005</t>
        </is>
      </c>
      <c r="C6" s="3" t="inlineStr">
        <is>
          <t>RO-03605</t>
        </is>
      </c>
      <c r="D6" s="3" t="inlineStr">
        <is>
          <t>BE_LOC_021</t>
        </is>
      </c>
      <c r="E6" s="3" t="inlineStr">
        <is>
          <t>SIFO_LOC_029</t>
        </is>
      </c>
      <c r="F6" s="3" t="inlineStr">
        <is>
          <t>Air</t>
        </is>
      </c>
      <c r="G6" s="3" t="inlineStr">
        <is>
          <t>Yes</t>
        </is>
      </c>
      <c r="H6" s="3" t="n">
        <v>500</v>
      </c>
      <c r="I6" s="3" t="n">
        <v>1</v>
      </c>
      <c r="J6" s="3" t="b">
        <v>0</v>
      </c>
      <c r="K6" s="3" t="n">
        <v>2</v>
      </c>
      <c r="L6" s="3" t="n">
        <v>2</v>
      </c>
      <c r="M6" s="3" t="n">
        <v>545</v>
      </c>
      <c r="N6" s="3" t="n">
        <v>1.8</v>
      </c>
      <c r="O6" s="3" t="n">
        <v>212</v>
      </c>
    </row>
    <row r="7">
      <c r="A7" s="3" t="inlineStr">
        <is>
          <t>Normal</t>
        </is>
      </c>
      <c r="B7" s="3" t="inlineStr">
        <is>
          <t>SIM-00010</t>
        </is>
      </c>
      <c r="C7" s="3" t="inlineStr">
        <is>
          <t>RO-01108</t>
        </is>
      </c>
      <c r="D7" s="3" t="inlineStr">
        <is>
          <t>SIFO_ALT_78</t>
        </is>
      </c>
      <c r="E7" s="3" t="inlineStr">
        <is>
          <t>OSAT_ALT_78</t>
        </is>
      </c>
      <c r="F7" s="3" t="inlineStr">
        <is>
          <t>Road</t>
        </is>
      </c>
      <c r="G7" s="3" t="inlineStr">
        <is>
          <t>No</t>
        </is>
      </c>
      <c r="H7" s="3" t="n">
        <v>30000</v>
      </c>
      <c r="I7" s="3" t="n">
        <v>4</v>
      </c>
      <c r="J7" s="3" t="b">
        <v>1</v>
      </c>
      <c r="K7" s="3" t="n">
        <v>5</v>
      </c>
      <c r="L7" s="3" t="n">
        <v>26</v>
      </c>
      <c r="M7" s="3" t="n">
        <v>292</v>
      </c>
      <c r="N7" s="3" t="n">
        <v>2.3</v>
      </c>
      <c r="O7" s="3" t="n">
        <v>126</v>
      </c>
    </row>
    <row r="8">
      <c r="A8" s="3" t="inlineStr">
        <is>
          <t>Normal</t>
        </is>
      </c>
      <c r="B8" s="3" t="inlineStr">
        <is>
          <t>SIM-00012</t>
        </is>
      </c>
      <c r="C8" s="3" t="inlineStr">
        <is>
          <t>RO-01486</t>
        </is>
      </c>
      <c r="D8" s="3" t="inlineStr">
        <is>
          <t>SIFO_ALT_10</t>
        </is>
      </c>
      <c r="E8" s="3" t="inlineStr">
        <is>
          <t>BE_ALT_10</t>
        </is>
      </c>
      <c r="F8" s="3" t="inlineStr">
        <is>
          <t>Courier</t>
        </is>
      </c>
      <c r="G8" s="3" t="inlineStr">
        <is>
          <t>No</t>
        </is>
      </c>
      <c r="H8" s="3" t="n">
        <v>36000</v>
      </c>
      <c r="I8" s="3" t="n">
        <v>8</v>
      </c>
      <c r="J8" s="3" t="b">
        <v>1</v>
      </c>
      <c r="K8" s="3" t="n">
        <v>1</v>
      </c>
      <c r="L8" s="3" t="n">
        <v>50</v>
      </c>
      <c r="M8" s="3" t="n">
        <v>712</v>
      </c>
      <c r="N8" s="3" t="n">
        <v>1.5</v>
      </c>
      <c r="O8" s="3" t="n">
        <v>170</v>
      </c>
    </row>
    <row r="9">
      <c r="A9" s="3" t="inlineStr">
        <is>
          <t>Normal</t>
        </is>
      </c>
      <c r="B9" s="3" t="inlineStr">
        <is>
          <t>SIM-00016</t>
        </is>
      </c>
      <c r="C9" s="3" t="inlineStr">
        <is>
          <t>RO-01912</t>
        </is>
      </c>
      <c r="D9" s="3" t="inlineStr">
        <is>
          <t>SIFO_ALT_40</t>
        </is>
      </c>
      <c r="E9" s="3" t="inlineStr">
        <is>
          <t>FE_ALT_40</t>
        </is>
      </c>
      <c r="F9" s="3" t="inlineStr">
        <is>
          <t>Courier</t>
        </is>
      </c>
      <c r="G9" s="3" t="inlineStr">
        <is>
          <t>No</t>
        </is>
      </c>
      <c r="H9" s="3" t="n">
        <v>1600</v>
      </c>
      <c r="I9" s="3" t="n">
        <v>1</v>
      </c>
      <c r="J9" s="3" t="b">
        <v>0</v>
      </c>
      <c r="K9" s="3" t="n">
        <v>4</v>
      </c>
      <c r="L9" s="3" t="n">
        <v>4</v>
      </c>
      <c r="M9" s="3" t="n">
        <v>328</v>
      </c>
      <c r="N9" s="3" t="n">
        <v>2.3</v>
      </c>
      <c r="O9" s="3" t="n">
        <v>104</v>
      </c>
    </row>
    <row r="10">
      <c r="A10" s="3" t="inlineStr">
        <is>
          <t>Normal</t>
        </is>
      </c>
      <c r="B10" s="3" t="inlineStr">
        <is>
          <t>SIM-00018</t>
        </is>
      </c>
      <c r="C10" s="3" t="inlineStr">
        <is>
          <t>RO-00265</t>
        </is>
      </c>
      <c r="D10" s="3" t="inlineStr">
        <is>
          <t>BE_ALT_21</t>
        </is>
      </c>
      <c r="E10" s="3" t="inlineStr">
        <is>
          <t>BE_ALT_21</t>
        </is>
      </c>
      <c r="F10" s="3" t="inlineStr">
        <is>
          <t>Road</t>
        </is>
      </c>
      <c r="G10" s="3" t="inlineStr">
        <is>
          <t>No</t>
        </is>
      </c>
      <c r="H10" s="3" t="n">
        <v>9000</v>
      </c>
      <c r="I10" s="3" t="n">
        <v>2</v>
      </c>
      <c r="J10" s="3" t="b">
        <v>1</v>
      </c>
      <c r="K10" s="3" t="n">
        <v>2</v>
      </c>
      <c r="L10" s="3" t="n">
        <v>9</v>
      </c>
      <c r="M10" s="3" t="n">
        <v>588</v>
      </c>
      <c r="N10" s="3" t="n">
        <v>1.5</v>
      </c>
      <c r="O10" s="3" t="n">
        <v>196</v>
      </c>
    </row>
    <row r="11">
      <c r="A11" s="3" t="inlineStr">
        <is>
          <t>Normal</t>
        </is>
      </c>
      <c r="B11" s="3" t="inlineStr">
        <is>
          <t>SIM-00019</t>
        </is>
      </c>
      <c r="C11" s="3" t="inlineStr">
        <is>
          <t>RO-03619</t>
        </is>
      </c>
      <c r="D11" s="3" t="inlineStr">
        <is>
          <t>OSAT_LOC_011</t>
        </is>
      </c>
      <c r="E11" s="3" t="inlineStr">
        <is>
          <t>OSAT_LOC_047</t>
        </is>
      </c>
      <c r="F11" s="3" t="inlineStr">
        <is>
          <t>Courier</t>
        </is>
      </c>
      <c r="G11" s="3" t="inlineStr">
        <is>
          <t>Yes</t>
        </is>
      </c>
      <c r="H11" s="3" t="n">
        <v>450</v>
      </c>
      <c r="I11" s="3" t="n">
        <v>1</v>
      </c>
      <c r="J11" s="3" t="b">
        <v>0</v>
      </c>
      <c r="K11" s="3" t="n">
        <v>3</v>
      </c>
      <c r="L11" s="3" t="n">
        <v>3</v>
      </c>
      <c r="M11" s="3" t="n">
        <v>657</v>
      </c>
      <c r="N11" s="3" t="n">
        <v>0.8</v>
      </c>
      <c r="O11" s="3" t="n">
        <v>170</v>
      </c>
    </row>
    <row r="12">
      <c r="A12" s="3" t="inlineStr">
        <is>
          <t>Normal</t>
        </is>
      </c>
      <c r="B12" s="3" t="inlineStr">
        <is>
          <t>SIM-00021</t>
        </is>
      </c>
      <c r="C12" s="3" t="inlineStr">
        <is>
          <t>RO-00541</t>
        </is>
      </c>
      <c r="D12" s="3" t="inlineStr">
        <is>
          <t>FE_ALT_37</t>
        </is>
      </c>
      <c r="E12" s="3" t="inlineStr">
        <is>
          <t>SIFO_ALT_37</t>
        </is>
      </c>
      <c r="F12" s="3" t="inlineStr">
        <is>
          <t>Air</t>
        </is>
      </c>
      <c r="G12" s="3" t="inlineStr">
        <is>
          <t>No</t>
        </is>
      </c>
      <c r="H12" s="3" t="n">
        <v>300</v>
      </c>
      <c r="I12" s="3" t="n">
        <v>1</v>
      </c>
      <c r="J12" s="3" t="b">
        <v>0</v>
      </c>
      <c r="K12" s="3" t="n">
        <v>2</v>
      </c>
      <c r="L12" s="3" t="n">
        <v>2</v>
      </c>
      <c r="M12" s="3" t="n">
        <v>552</v>
      </c>
      <c r="N12" s="3" t="n">
        <v>1.5</v>
      </c>
      <c r="O12" s="3" t="n">
        <v>212</v>
      </c>
    </row>
    <row r="13">
      <c r="A13" s="3" t="inlineStr">
        <is>
          <t>Normal</t>
        </is>
      </c>
      <c r="B13" s="3" t="inlineStr">
        <is>
          <t>SIM-00022</t>
        </is>
      </c>
      <c r="C13" s="3" t="inlineStr">
        <is>
          <t>RO-03622</t>
        </is>
      </c>
      <c r="D13" s="3" t="inlineStr">
        <is>
          <t>SIFO_LOC_026</t>
        </is>
      </c>
      <c r="E13" s="3" t="inlineStr">
        <is>
          <t>BE_LOC_068</t>
        </is>
      </c>
      <c r="F13" s="3" t="inlineStr">
        <is>
          <t>Road</t>
        </is>
      </c>
      <c r="G13" s="3" t="inlineStr">
        <is>
          <t>Yes</t>
        </is>
      </c>
      <c r="H13" s="3" t="n">
        <v>400</v>
      </c>
      <c r="I13" s="3" t="n">
        <v>1</v>
      </c>
      <c r="J13" s="3" t="b">
        <v>0</v>
      </c>
      <c r="K13" s="3" t="n">
        <v>4</v>
      </c>
      <c r="L13" s="3" t="n">
        <v>4</v>
      </c>
      <c r="M13" s="3" t="n">
        <v>273</v>
      </c>
      <c r="N13" s="3" t="n">
        <v>2</v>
      </c>
      <c r="O13" s="3" t="n">
        <v>128</v>
      </c>
    </row>
    <row r="14">
      <c r="A14" s="3" t="inlineStr">
        <is>
          <t>Normal</t>
        </is>
      </c>
      <c r="B14" s="3" t="inlineStr">
        <is>
          <t>SIM-00023</t>
        </is>
      </c>
      <c r="C14" s="3" t="inlineStr">
        <is>
          <t>RO-00334</t>
        </is>
      </c>
      <c r="D14" s="3" t="inlineStr">
        <is>
          <t>BE_ALT_24</t>
        </is>
      </c>
      <c r="E14" s="3" t="inlineStr">
        <is>
          <t>OSAT_ALT_24</t>
        </is>
      </c>
      <c r="F14" s="3" t="inlineStr">
        <is>
          <t>Ocean</t>
        </is>
      </c>
      <c r="G14" s="3" t="inlineStr">
        <is>
          <t>No</t>
        </is>
      </c>
      <c r="H14" s="3" t="n">
        <v>500</v>
      </c>
      <c r="I14" s="3" t="n">
        <v>1</v>
      </c>
      <c r="J14" s="3" t="b">
        <v>0</v>
      </c>
      <c r="K14" s="3" t="n">
        <v>3</v>
      </c>
      <c r="L14" s="3" t="n">
        <v>3</v>
      </c>
      <c r="M14" s="3" t="n">
        <v>712</v>
      </c>
      <c r="N14" s="3" t="n">
        <v>1.5</v>
      </c>
      <c r="O14" s="3" t="n">
        <v>182</v>
      </c>
    </row>
    <row r="15">
      <c r="A15" s="3" t="inlineStr">
        <is>
          <t>Normal</t>
        </is>
      </c>
      <c r="B15" s="3" t="inlineStr">
        <is>
          <t>SIM-00024</t>
        </is>
      </c>
      <c r="C15" s="3" t="inlineStr">
        <is>
          <t>RO-03624</t>
        </is>
      </c>
      <c r="D15" s="3" t="inlineStr">
        <is>
          <t>OSAT_LOC_036</t>
        </is>
      </c>
      <c r="E15" s="3" t="inlineStr">
        <is>
          <t>BE_LOC_002</t>
        </is>
      </c>
      <c r="F15" s="3" t="inlineStr">
        <is>
          <t>Air</t>
        </is>
      </c>
      <c r="G15" s="3" t="inlineStr">
        <is>
          <t>Yes</t>
        </is>
      </c>
      <c r="H15" s="3" t="n">
        <v>72000</v>
      </c>
      <c r="I15" s="3" t="n">
        <v>9</v>
      </c>
      <c r="J15" s="3" t="b">
        <v>1</v>
      </c>
      <c r="K15" s="3" t="n">
        <v>4</v>
      </c>
      <c r="L15" s="3" t="n">
        <v>60</v>
      </c>
      <c r="M15" s="3" t="n">
        <v>557</v>
      </c>
      <c r="N15" s="3" t="n">
        <v>1.1</v>
      </c>
      <c r="O15" s="3" t="n">
        <v>204</v>
      </c>
    </row>
    <row r="16">
      <c r="A16" s="3" t="inlineStr">
        <is>
          <t>Normal</t>
        </is>
      </c>
      <c r="B16" s="3" t="inlineStr">
        <is>
          <t>SIM-00025</t>
        </is>
      </c>
      <c r="C16" s="3" t="inlineStr">
        <is>
          <t>RO-03625</t>
        </is>
      </c>
      <c r="D16" s="3" t="inlineStr">
        <is>
          <t>BE_LOC_041</t>
        </is>
      </c>
      <c r="E16" s="3" t="inlineStr">
        <is>
          <t>SIFO_LOC_009</t>
        </is>
      </c>
      <c r="F16" s="3" t="inlineStr">
        <is>
          <t>Air</t>
        </is>
      </c>
      <c r="G16" s="3" t="inlineStr">
        <is>
          <t>Yes</t>
        </is>
      </c>
      <c r="H16" s="3" t="n">
        <v>700</v>
      </c>
      <c r="I16" s="3" t="n">
        <v>1</v>
      </c>
      <c r="J16" s="3" t="b">
        <v>0</v>
      </c>
      <c r="K16" s="3" t="n">
        <v>2</v>
      </c>
      <c r="L16" s="3" t="n">
        <v>2</v>
      </c>
      <c r="M16" s="3" t="n">
        <v>569</v>
      </c>
      <c r="N16" s="3" t="n">
        <v>1.2</v>
      </c>
      <c r="O16" s="3" t="n">
        <v>196</v>
      </c>
    </row>
    <row r="17">
      <c r="A17" s="3" t="inlineStr">
        <is>
          <t>Normal</t>
        </is>
      </c>
      <c r="B17" s="3" t="inlineStr">
        <is>
          <t>SIM-00028</t>
        </is>
      </c>
      <c r="C17" s="3" t="inlineStr">
        <is>
          <t>RO-00775</t>
        </is>
      </c>
      <c r="D17" s="3" t="inlineStr">
        <is>
          <t>BE_ALT_55</t>
        </is>
      </c>
      <c r="E17" s="3" t="inlineStr">
        <is>
          <t>BE_ALT_55</t>
        </is>
      </c>
      <c r="F17" s="3" t="inlineStr">
        <is>
          <t>Courier</t>
        </is>
      </c>
      <c r="G17" s="3" t="inlineStr">
        <is>
          <t>No</t>
        </is>
      </c>
      <c r="H17" s="3" t="n">
        <v>5000</v>
      </c>
      <c r="I17" s="3" t="n">
        <v>2</v>
      </c>
      <c r="J17" s="3" t="b">
        <v>1</v>
      </c>
      <c r="K17" s="3" t="n">
        <v>9</v>
      </c>
      <c r="L17" s="3" t="n">
        <v>16</v>
      </c>
      <c r="M17" s="3" t="n">
        <v>212</v>
      </c>
      <c r="N17" s="3" t="n">
        <v>2.9</v>
      </c>
      <c r="O17" s="3" t="n">
        <v>137</v>
      </c>
    </row>
    <row r="18">
      <c r="A18" s="3" t="inlineStr">
        <is>
          <t>Normal</t>
        </is>
      </c>
      <c r="B18" s="3" t="inlineStr">
        <is>
          <t>SIM-00029</t>
        </is>
      </c>
      <c r="C18" s="3" t="inlineStr">
        <is>
          <t>RO-00433</t>
        </is>
      </c>
      <c r="D18" s="3" t="inlineStr">
        <is>
          <t>OSAT_ALT_33</t>
        </is>
      </c>
      <c r="E18" s="3" t="inlineStr">
        <is>
          <t>OSAT_ALT_33</t>
        </is>
      </c>
      <c r="F18" s="3" t="inlineStr">
        <is>
          <t>Road</t>
        </is>
      </c>
      <c r="G18" s="3" t="inlineStr">
        <is>
          <t>No</t>
        </is>
      </c>
      <c r="H18" s="3" t="n">
        <v>33000</v>
      </c>
      <c r="I18" s="3" t="n">
        <v>7</v>
      </c>
      <c r="J18" s="3" t="b">
        <v>1</v>
      </c>
      <c r="K18" s="3" t="n">
        <v>3</v>
      </c>
      <c r="L18" s="3" t="n">
        <v>45</v>
      </c>
      <c r="M18" s="3" t="n">
        <v>552</v>
      </c>
      <c r="N18" s="3" t="n">
        <v>1.5</v>
      </c>
      <c r="O18" s="3" t="n">
        <v>202</v>
      </c>
    </row>
    <row r="19">
      <c r="A19" s="3" t="inlineStr">
        <is>
          <t>Normal</t>
        </is>
      </c>
      <c r="B19" s="3" t="inlineStr">
        <is>
          <t>SIM-00032</t>
        </is>
      </c>
      <c r="C19" s="3" t="inlineStr">
        <is>
          <t>RO-03672</t>
        </is>
      </c>
      <c r="D19" s="3" t="inlineStr">
        <is>
          <t>SIFO_LOC_036</t>
        </is>
      </c>
      <c r="E19" s="3" t="inlineStr">
        <is>
          <t>BE_LOC_018</t>
        </is>
      </c>
      <c r="F19" s="3" t="inlineStr">
        <is>
          <t>Courier</t>
        </is>
      </c>
      <c r="G19" s="3" t="inlineStr">
        <is>
          <t>Yes</t>
        </is>
      </c>
      <c r="H19" s="3" t="n">
        <v>1400</v>
      </c>
      <c r="I19" s="3" t="n">
        <v>1</v>
      </c>
      <c r="J19" s="3" t="b">
        <v>0</v>
      </c>
      <c r="K19" s="3" t="n">
        <v>1</v>
      </c>
      <c r="L19" s="3" t="n">
        <v>1</v>
      </c>
      <c r="M19" s="3" t="n">
        <v>645</v>
      </c>
      <c r="N19" s="3" t="n">
        <v>0.6</v>
      </c>
      <c r="O19" s="3" t="n">
        <v>146</v>
      </c>
    </row>
    <row r="20">
      <c r="A20" s="3" t="inlineStr">
        <is>
          <t>Normal</t>
        </is>
      </c>
      <c r="B20" s="3" t="inlineStr">
        <is>
          <t>SIM-00034</t>
        </is>
      </c>
      <c r="C20" s="3" t="inlineStr">
        <is>
          <t>RO-03746</t>
        </is>
      </c>
      <c r="D20" s="3" t="inlineStr">
        <is>
          <t>OSAT_LOC_046</t>
        </is>
      </c>
      <c r="E20" s="3" t="inlineStr">
        <is>
          <t>BE_LOC_032</t>
        </is>
      </c>
      <c r="F20" s="3" t="inlineStr">
        <is>
          <t>Ocean</t>
        </is>
      </c>
      <c r="G20" s="3" t="inlineStr">
        <is>
          <t>Yes</t>
        </is>
      </c>
      <c r="H20" s="3" t="n">
        <v>1600</v>
      </c>
      <c r="I20" s="3" t="n">
        <v>1</v>
      </c>
      <c r="J20" s="3" t="b">
        <v>0</v>
      </c>
      <c r="K20" s="3" t="n">
        <v>9</v>
      </c>
      <c r="L20" s="3" t="n">
        <v>9</v>
      </c>
      <c r="M20" s="3" t="n">
        <v>169</v>
      </c>
      <c r="N20" s="3" t="n">
        <v>2.8</v>
      </c>
      <c r="O20" s="3" t="n">
        <v>117</v>
      </c>
    </row>
    <row r="21">
      <c r="A21" s="3" t="inlineStr">
        <is>
          <t>Normal</t>
        </is>
      </c>
      <c r="B21" s="3" t="inlineStr">
        <is>
          <t>SIM-00036</t>
        </is>
      </c>
      <c r="C21" s="3" t="inlineStr">
        <is>
          <t>RO-01012</t>
        </is>
      </c>
      <c r="D21" s="3" t="inlineStr">
        <is>
          <t>SIFO_ALT_70</t>
        </is>
      </c>
      <c r="E21" s="3" t="inlineStr">
        <is>
          <t>FE_ALT_70</t>
        </is>
      </c>
      <c r="F21" s="3" t="inlineStr">
        <is>
          <t>Courier</t>
        </is>
      </c>
      <c r="G21" s="3" t="inlineStr">
        <is>
          <t>No</t>
        </is>
      </c>
      <c r="H21" s="3" t="n">
        <v>4320</v>
      </c>
      <c r="I21" s="3" t="n">
        <v>1</v>
      </c>
      <c r="J21" s="3" t="b">
        <v>0</v>
      </c>
      <c r="K21" s="3" t="n">
        <v>4</v>
      </c>
      <c r="L21" s="3" t="n">
        <v>4</v>
      </c>
      <c r="M21" s="3" t="n">
        <v>328</v>
      </c>
      <c r="N21" s="3" t="n">
        <v>2.3</v>
      </c>
      <c r="O21" s="3" t="n">
        <v>120</v>
      </c>
    </row>
    <row r="22">
      <c r="A22" s="3" t="inlineStr">
        <is>
          <t>Normal</t>
        </is>
      </c>
      <c r="B22" s="3" t="inlineStr">
        <is>
          <t>SIM-00037</t>
        </is>
      </c>
      <c r="C22" s="3" t="inlineStr">
        <is>
          <t>RO-03637</t>
        </is>
      </c>
      <c r="D22" s="3" t="inlineStr">
        <is>
          <t>FE_LOC_021</t>
        </is>
      </c>
      <c r="E22" s="3" t="inlineStr">
        <is>
          <t>BE_LOC_013</t>
        </is>
      </c>
      <c r="F22" s="3" t="inlineStr">
        <is>
          <t>Air</t>
        </is>
      </c>
      <c r="G22" s="3" t="inlineStr">
        <is>
          <t>Yes</t>
        </is>
      </c>
      <c r="H22" s="3" t="n">
        <v>2000</v>
      </c>
      <c r="I22" s="3" t="n">
        <v>1</v>
      </c>
      <c r="J22" s="3" t="b">
        <v>0</v>
      </c>
      <c r="K22" s="3" t="n">
        <v>2</v>
      </c>
      <c r="L22" s="3" t="n">
        <v>2</v>
      </c>
      <c r="M22" s="3" t="n">
        <v>497</v>
      </c>
      <c r="N22" s="3" t="n">
        <v>1.2</v>
      </c>
      <c r="O22" s="3" t="n">
        <v>212</v>
      </c>
    </row>
    <row r="23">
      <c r="A23" s="3" t="inlineStr">
        <is>
          <t>Normal</t>
        </is>
      </c>
      <c r="B23" s="3" t="inlineStr">
        <is>
          <t>SIM-00039</t>
        </is>
      </c>
      <c r="C23" s="3" t="inlineStr">
        <is>
          <t>RO-03679</t>
        </is>
      </c>
      <c r="D23" s="3" t="inlineStr">
        <is>
          <t>OSAT_LOC_071</t>
        </is>
      </c>
      <c r="E23" s="3" t="inlineStr">
        <is>
          <t>OSAT_LOC_067</t>
        </is>
      </c>
      <c r="F23" s="3" t="inlineStr">
        <is>
          <t>Courier</t>
        </is>
      </c>
      <c r="G23" s="3" t="inlineStr">
        <is>
          <t>Yes</t>
        </is>
      </c>
      <c r="H23" s="3" t="n">
        <v>45000</v>
      </c>
      <c r="I23" s="3" t="n">
        <v>8</v>
      </c>
      <c r="J23" s="3" t="b">
        <v>1</v>
      </c>
      <c r="K23" s="3" t="n">
        <v>3</v>
      </c>
      <c r="L23" s="3" t="n">
        <v>52</v>
      </c>
      <c r="M23" s="3" t="n">
        <v>729</v>
      </c>
      <c r="N23" s="3" t="n">
        <v>0.8</v>
      </c>
      <c r="O23" s="3" t="n">
        <v>186</v>
      </c>
    </row>
    <row r="24">
      <c r="A24" s="3" t="inlineStr">
        <is>
          <t>Normal</t>
        </is>
      </c>
      <c r="B24" s="3" t="inlineStr">
        <is>
          <t>SIM-00040</t>
        </is>
      </c>
      <c r="C24" s="3" t="inlineStr">
        <is>
          <t>RO-03640</t>
        </is>
      </c>
      <c r="D24" s="3" t="inlineStr">
        <is>
          <t>SIFO_LOC_036</t>
        </is>
      </c>
      <c r="E24" s="3" t="inlineStr">
        <is>
          <t>OSAT_LOC_034</t>
        </is>
      </c>
      <c r="F24" s="3" t="inlineStr">
        <is>
          <t>Courier</t>
        </is>
      </c>
      <c r="G24" s="3" t="inlineStr">
        <is>
          <t>Yes</t>
        </is>
      </c>
      <c r="H24" s="3" t="n">
        <v>400</v>
      </c>
      <c r="I24" s="3" t="n">
        <v>1</v>
      </c>
      <c r="J24" s="3" t="b">
        <v>0</v>
      </c>
      <c r="K24" s="3" t="n">
        <v>1</v>
      </c>
      <c r="L24" s="3" t="n">
        <v>1</v>
      </c>
      <c r="M24" s="3" t="n">
        <v>693</v>
      </c>
      <c r="N24" s="3" t="n">
        <v>1.3</v>
      </c>
      <c r="O24" s="3" t="n">
        <v>146</v>
      </c>
    </row>
    <row r="25">
      <c r="A25" s="3" t="inlineStr">
        <is>
          <t>Normal</t>
        </is>
      </c>
      <c r="B25" s="3" t="inlineStr">
        <is>
          <t>SIM-00044</t>
        </is>
      </c>
      <c r="C25" s="3" t="inlineStr">
        <is>
          <t>RO-03644</t>
        </is>
      </c>
      <c r="D25" s="3" t="inlineStr">
        <is>
          <t>OSAT_LOC_056</t>
        </is>
      </c>
      <c r="E25" s="3" t="inlineStr">
        <is>
          <t>BE_LOC_062</t>
        </is>
      </c>
      <c r="F25" s="3" t="inlineStr">
        <is>
          <t>Air</t>
        </is>
      </c>
      <c r="G25" s="3" t="inlineStr">
        <is>
          <t>Yes</t>
        </is>
      </c>
      <c r="H25" s="3" t="n">
        <v>800</v>
      </c>
      <c r="I25" s="3" t="n">
        <v>1</v>
      </c>
      <c r="J25" s="3" t="b">
        <v>0</v>
      </c>
      <c r="K25" s="3" t="n">
        <v>4</v>
      </c>
      <c r="L25" s="3" t="n">
        <v>4</v>
      </c>
      <c r="M25" s="3" t="n">
        <v>581</v>
      </c>
      <c r="N25" s="3" t="n">
        <v>1.4</v>
      </c>
      <c r="O25" s="3" t="n">
        <v>220</v>
      </c>
    </row>
    <row r="26">
      <c r="A26" s="3" t="inlineStr">
        <is>
          <t>Normal</t>
        </is>
      </c>
      <c r="B26" s="3" t="inlineStr">
        <is>
          <t>SIM-00045</t>
        </is>
      </c>
      <c r="C26" s="3" t="inlineStr">
        <is>
          <t>RO-03645</t>
        </is>
      </c>
      <c r="D26" s="3" t="inlineStr">
        <is>
          <t>BE_LOC_061</t>
        </is>
      </c>
      <c r="E26" s="3" t="inlineStr">
        <is>
          <t>SIFO_LOC_069</t>
        </is>
      </c>
      <c r="F26" s="3" t="inlineStr">
        <is>
          <t>Air</t>
        </is>
      </c>
      <c r="G26" s="3" t="inlineStr">
        <is>
          <t>Yes</t>
        </is>
      </c>
      <c r="H26" s="3" t="n">
        <v>900</v>
      </c>
      <c r="I26" s="3" t="n">
        <v>1</v>
      </c>
      <c r="J26" s="3" t="b">
        <v>0</v>
      </c>
      <c r="K26" s="3" t="n">
        <v>2</v>
      </c>
      <c r="L26" s="3" t="n">
        <v>2</v>
      </c>
      <c r="M26" s="3" t="n">
        <v>485</v>
      </c>
      <c r="N26" s="3" t="n">
        <v>1.5</v>
      </c>
      <c r="O26" s="3" t="n">
        <v>212</v>
      </c>
    </row>
    <row r="27">
      <c r="A27" s="3" t="inlineStr">
        <is>
          <t>Normal</t>
        </is>
      </c>
      <c r="B27" s="3" t="inlineStr">
        <is>
          <t>SIM-00049</t>
        </is>
      </c>
      <c r="C27" s="3" t="inlineStr">
        <is>
          <t>RO-01333</t>
        </is>
      </c>
      <c r="D27" s="3" t="inlineStr">
        <is>
          <t>OSAT_ALT_03</t>
        </is>
      </c>
      <c r="E27" s="3" t="inlineStr">
        <is>
          <t>OSAT_ALT_03</t>
        </is>
      </c>
      <c r="F27" s="3" t="inlineStr">
        <is>
          <t>Road</t>
        </is>
      </c>
      <c r="G27" s="3" t="inlineStr">
        <is>
          <t>No</t>
        </is>
      </c>
      <c r="H27" s="3" t="n">
        <v>3120</v>
      </c>
      <c r="I27" s="3" t="n">
        <v>2</v>
      </c>
      <c r="J27" s="3" t="b">
        <v>1</v>
      </c>
      <c r="K27" s="3" t="n">
        <v>3</v>
      </c>
      <c r="L27" s="3" t="n">
        <v>10</v>
      </c>
      <c r="M27" s="3" t="n">
        <v>552</v>
      </c>
      <c r="N27" s="3" t="n">
        <v>1.5</v>
      </c>
      <c r="O27" s="3" t="n">
        <v>218</v>
      </c>
    </row>
    <row r="28">
      <c r="A28" s="3" t="inlineStr">
        <is>
          <t>Normal</t>
        </is>
      </c>
      <c r="B28" s="3" t="inlineStr">
        <is>
          <t>SIM-00052</t>
        </is>
      </c>
      <c r="C28" s="3" t="inlineStr">
        <is>
          <t>RO-03652</t>
        </is>
      </c>
      <c r="D28" s="3" t="inlineStr">
        <is>
          <t>SIFO_LOC_016</t>
        </is>
      </c>
      <c r="E28" s="3" t="inlineStr">
        <is>
          <t>BE_LOC_038</t>
        </is>
      </c>
      <c r="F28" s="3" t="inlineStr">
        <is>
          <t>Courier</t>
        </is>
      </c>
      <c r="G28" s="3" t="inlineStr">
        <is>
          <t>Yes</t>
        </is>
      </c>
      <c r="H28" s="3" t="n">
        <v>8000</v>
      </c>
      <c r="I28" s="3" t="n">
        <v>2</v>
      </c>
      <c r="J28" s="3" t="b">
        <v>1</v>
      </c>
      <c r="K28" s="3" t="n">
        <v>1</v>
      </c>
      <c r="L28" s="3" t="n">
        <v>8</v>
      </c>
      <c r="M28" s="3" t="n">
        <v>729</v>
      </c>
      <c r="N28" s="3" t="n">
        <v>1.3</v>
      </c>
      <c r="O28" s="3" t="n">
        <v>162</v>
      </c>
    </row>
    <row r="29">
      <c r="A29" s="3" t="inlineStr">
        <is>
          <t>Normal</t>
        </is>
      </c>
      <c r="B29" s="3" t="inlineStr">
        <is>
          <t>SIM-00054</t>
        </is>
      </c>
      <c r="C29" s="3" t="inlineStr">
        <is>
          <t>RO-03654</t>
        </is>
      </c>
      <c r="D29" s="3" t="inlineStr">
        <is>
          <t>OSAT_LOC_026</t>
        </is>
      </c>
      <c r="E29" s="3" t="inlineStr">
        <is>
          <t>BE_LOC_052</t>
        </is>
      </c>
      <c r="F29" s="3" t="inlineStr">
        <is>
          <t>Ocean</t>
        </is>
      </c>
      <c r="G29" s="3" t="inlineStr">
        <is>
          <t>Yes</t>
        </is>
      </c>
      <c r="H29" s="3" t="n">
        <v>1800</v>
      </c>
      <c r="I29" s="3" t="n">
        <v>1</v>
      </c>
      <c r="J29" s="3" t="b">
        <v>0</v>
      </c>
      <c r="K29" s="3" t="n">
        <v>11</v>
      </c>
      <c r="L29" s="3" t="n">
        <v>11</v>
      </c>
      <c r="M29" s="3" t="n">
        <v>145</v>
      </c>
      <c r="N29" s="3" t="n">
        <v>2.5</v>
      </c>
      <c r="O29" s="3" t="n">
        <v>145</v>
      </c>
    </row>
    <row r="30">
      <c r="A30" s="3" t="inlineStr">
        <is>
          <t>Normal</t>
        </is>
      </c>
      <c r="B30" s="3" t="inlineStr">
        <is>
          <t>SIM-00057</t>
        </is>
      </c>
      <c r="C30" s="3" t="inlineStr">
        <is>
          <t>RO-00010</t>
        </is>
      </c>
      <c r="D30" s="3" t="inlineStr">
        <is>
          <t>FE_ALT_04</t>
        </is>
      </c>
      <c r="E30" s="3" t="inlineStr">
        <is>
          <t>BE_ALT_04</t>
        </is>
      </c>
      <c r="F30" s="3" t="inlineStr">
        <is>
          <t>Air</t>
        </is>
      </c>
      <c r="G30" s="3" t="inlineStr">
        <is>
          <t>No</t>
        </is>
      </c>
      <c r="H30" s="3" t="n">
        <v>300</v>
      </c>
      <c r="I30" s="3" t="n">
        <v>1</v>
      </c>
      <c r="J30" s="3" t="b">
        <v>0</v>
      </c>
      <c r="K30" s="3" t="n">
        <v>1</v>
      </c>
      <c r="L30" s="3" t="n">
        <v>1</v>
      </c>
      <c r="M30" s="3" t="n">
        <v>712</v>
      </c>
      <c r="N30" s="3" t="n">
        <v>1.5</v>
      </c>
      <c r="O30" s="3" t="n">
        <v>154</v>
      </c>
    </row>
    <row r="31">
      <c r="A31" s="3" t="inlineStr">
        <is>
          <t>Normal</t>
        </is>
      </c>
      <c r="B31" s="3" t="inlineStr">
        <is>
          <t>SIM-00059</t>
        </is>
      </c>
      <c r="C31" s="3" t="inlineStr">
        <is>
          <t>RO-03768</t>
        </is>
      </c>
      <c r="D31" s="3" t="inlineStr">
        <is>
          <t>OSAT_LOC_011</t>
        </is>
      </c>
      <c r="E31" s="3" t="inlineStr">
        <is>
          <t>OSAT_LOC_047</t>
        </is>
      </c>
      <c r="F31" s="3" t="inlineStr">
        <is>
          <t>Courier</t>
        </is>
      </c>
      <c r="G31" s="3" t="inlineStr">
        <is>
          <t>Yes</t>
        </is>
      </c>
      <c r="H31" s="3" t="n">
        <v>15000</v>
      </c>
      <c r="I31" s="3" t="n">
        <v>8</v>
      </c>
      <c r="J31" s="3" t="b">
        <v>1</v>
      </c>
      <c r="K31" s="3" t="n">
        <v>2</v>
      </c>
      <c r="L31" s="3" t="n">
        <v>51</v>
      </c>
      <c r="M31" s="3" t="n">
        <v>717</v>
      </c>
      <c r="N31" s="3" t="n">
        <v>0.6</v>
      </c>
      <c r="O31" s="3" t="n">
        <v>152</v>
      </c>
    </row>
    <row r="32">
      <c r="A32" s="3" t="inlineStr">
        <is>
          <t>Normal</t>
        </is>
      </c>
      <c r="B32" s="3" t="inlineStr">
        <is>
          <t>SIM-00061</t>
        </is>
      </c>
      <c r="C32" s="3" t="inlineStr">
        <is>
          <t>RO-00901</t>
        </is>
      </c>
      <c r="D32" s="3" t="inlineStr">
        <is>
          <t>FE_ALT_61</t>
        </is>
      </c>
      <c r="E32" s="3" t="inlineStr">
        <is>
          <t>SIFO_ALT_61</t>
        </is>
      </c>
      <c r="F32" s="3" t="inlineStr">
        <is>
          <t>Air</t>
        </is>
      </c>
      <c r="G32" s="3" t="inlineStr">
        <is>
          <t>No</t>
        </is>
      </c>
      <c r="H32" s="3" t="n">
        <v>7000</v>
      </c>
      <c r="I32" s="3" t="n">
        <v>3</v>
      </c>
      <c r="J32" s="3" t="b">
        <v>1</v>
      </c>
      <c r="K32" s="3" t="n">
        <v>2</v>
      </c>
      <c r="L32" s="3" t="n">
        <v>16</v>
      </c>
      <c r="M32" s="3" t="n">
        <v>552</v>
      </c>
      <c r="N32" s="3" t="n">
        <v>1.5</v>
      </c>
      <c r="O32" s="3" t="n">
        <v>212</v>
      </c>
    </row>
    <row r="33">
      <c r="A33" s="3" t="inlineStr">
        <is>
          <t>Normal</t>
        </is>
      </c>
      <c r="B33" s="3" t="inlineStr">
        <is>
          <t>SIM-00062</t>
        </is>
      </c>
      <c r="C33" s="3" t="inlineStr">
        <is>
          <t>RO-03662</t>
        </is>
      </c>
      <c r="D33" s="3" t="inlineStr">
        <is>
          <t>SIFO_LOC_066</t>
        </is>
      </c>
      <c r="E33" s="3" t="inlineStr">
        <is>
          <t>BE_LOC_028</t>
        </is>
      </c>
      <c r="F33" s="3" t="inlineStr">
        <is>
          <t>Road</t>
        </is>
      </c>
      <c r="G33" s="3" t="inlineStr">
        <is>
          <t>Yes</t>
        </is>
      </c>
      <c r="H33" s="3" t="n">
        <v>800</v>
      </c>
      <c r="I33" s="3" t="n">
        <v>1</v>
      </c>
      <c r="J33" s="3" t="b">
        <v>0</v>
      </c>
      <c r="K33" s="3" t="n">
        <v>4</v>
      </c>
      <c r="L33" s="3" t="n">
        <v>4</v>
      </c>
      <c r="M33" s="3" t="n">
        <v>321</v>
      </c>
      <c r="N33" s="3" t="n">
        <v>1.8</v>
      </c>
      <c r="O33" s="3" t="n">
        <v>128</v>
      </c>
    </row>
    <row r="34">
      <c r="A34" s="3" t="inlineStr">
        <is>
          <t>Normal</t>
        </is>
      </c>
      <c r="B34" s="3" t="inlineStr">
        <is>
          <t>SIM-00063</t>
        </is>
      </c>
      <c r="C34" s="3" t="inlineStr">
        <is>
          <t>RO-00334</t>
        </is>
      </c>
      <c r="D34" s="3" t="inlineStr">
        <is>
          <t>BE_ALT_24</t>
        </is>
      </c>
      <c r="E34" s="3" t="inlineStr">
        <is>
          <t>OSAT_ALT_24</t>
        </is>
      </c>
      <c r="F34" s="3" t="inlineStr">
        <is>
          <t>Ocean</t>
        </is>
      </c>
      <c r="G34" s="3" t="inlineStr">
        <is>
          <t>No</t>
        </is>
      </c>
      <c r="H34" s="3" t="n">
        <v>900</v>
      </c>
      <c r="I34" s="3" t="n">
        <v>1</v>
      </c>
      <c r="J34" s="3" t="b">
        <v>0</v>
      </c>
      <c r="K34" s="3" t="n">
        <v>3</v>
      </c>
      <c r="L34" s="3" t="n">
        <v>3</v>
      </c>
      <c r="M34" s="3" t="n">
        <v>712</v>
      </c>
      <c r="N34" s="3" t="n">
        <v>1.5</v>
      </c>
      <c r="O34" s="3" t="n">
        <v>182</v>
      </c>
    </row>
    <row r="35">
      <c r="A35" s="3" t="inlineStr">
        <is>
          <t>Normal</t>
        </is>
      </c>
      <c r="B35" s="3" t="inlineStr">
        <is>
          <t>SIM-00074</t>
        </is>
      </c>
      <c r="C35" s="3" t="inlineStr">
        <is>
          <t>RO-03674</t>
        </is>
      </c>
      <c r="D35" s="3" t="inlineStr">
        <is>
          <t>OSAT_LOC_046</t>
        </is>
      </c>
      <c r="E35" s="3" t="inlineStr">
        <is>
          <t>BE_LOC_032</t>
        </is>
      </c>
      <c r="F35" s="3" t="inlineStr">
        <is>
          <t>Ocean</t>
        </is>
      </c>
      <c r="G35" s="3" t="inlineStr">
        <is>
          <t>Yes</t>
        </is>
      </c>
      <c r="H35" s="3" t="n">
        <v>36000</v>
      </c>
      <c r="I35" s="3" t="n">
        <v>5</v>
      </c>
      <c r="J35" s="3" t="b">
        <v>1</v>
      </c>
      <c r="K35" s="3" t="n">
        <v>11</v>
      </c>
      <c r="L35" s="3" t="n">
        <v>39</v>
      </c>
      <c r="M35" s="3" t="n">
        <v>169</v>
      </c>
      <c r="N35" s="3" t="n">
        <v>2.8</v>
      </c>
      <c r="O35" s="3" t="n">
        <v>129</v>
      </c>
    </row>
    <row r="36">
      <c r="A36" s="3" t="inlineStr">
        <is>
          <t>Normal</t>
        </is>
      </c>
      <c r="B36" s="3" t="inlineStr">
        <is>
          <t>SIM-00076</t>
        </is>
      </c>
      <c r="C36" s="3" t="inlineStr">
        <is>
          <t>RO-01372</t>
        </is>
      </c>
      <c r="D36" s="3" t="inlineStr">
        <is>
          <t>SIFO_ALT_04</t>
        </is>
      </c>
      <c r="E36" s="3" t="inlineStr">
        <is>
          <t>FE_ALT_04</t>
        </is>
      </c>
      <c r="F36" s="3" t="inlineStr">
        <is>
          <t>Courier</t>
        </is>
      </c>
      <c r="G36" s="3" t="inlineStr">
        <is>
          <t>No</t>
        </is>
      </c>
      <c r="H36" s="3" t="n">
        <v>400</v>
      </c>
      <c r="I36" s="3" t="n">
        <v>1</v>
      </c>
      <c r="J36" s="3" t="b">
        <v>0</v>
      </c>
      <c r="K36" s="3" t="n">
        <v>4</v>
      </c>
      <c r="L36" s="3" t="n">
        <v>4</v>
      </c>
      <c r="M36" s="3" t="n">
        <v>328</v>
      </c>
      <c r="N36" s="3" t="n">
        <v>2.3</v>
      </c>
      <c r="O36" s="3" t="n">
        <v>120</v>
      </c>
    </row>
    <row r="37">
      <c r="A37" s="3" t="inlineStr">
        <is>
          <t>Normal</t>
        </is>
      </c>
      <c r="B37" s="3" t="inlineStr">
        <is>
          <t>SIM-00077</t>
        </is>
      </c>
      <c r="C37" s="3" t="inlineStr">
        <is>
          <t>RO-02710</t>
        </is>
      </c>
      <c r="D37" s="3" t="inlineStr">
        <is>
          <t>FE_ALT_04</t>
        </is>
      </c>
      <c r="E37" s="3" t="inlineStr">
        <is>
          <t>BE_ALT_04</t>
        </is>
      </c>
      <c r="F37" s="3" t="inlineStr">
        <is>
          <t>Air</t>
        </is>
      </c>
      <c r="G37" s="3" t="inlineStr">
        <is>
          <t>No</t>
        </is>
      </c>
      <c r="H37" s="3" t="n">
        <v>45000</v>
      </c>
      <c r="I37" s="3" t="n">
        <v>10</v>
      </c>
      <c r="J37" s="3" t="b">
        <v>1</v>
      </c>
      <c r="K37" s="3" t="n">
        <v>1</v>
      </c>
      <c r="L37" s="3" t="n">
        <v>64</v>
      </c>
      <c r="M37" s="3" t="n">
        <v>712</v>
      </c>
      <c r="N37" s="3" t="n">
        <v>1.5</v>
      </c>
      <c r="O37" s="3" t="n">
        <v>170</v>
      </c>
    </row>
    <row r="38">
      <c r="A38" s="3" t="inlineStr">
        <is>
          <t>Normal</t>
        </is>
      </c>
      <c r="B38" s="3" t="inlineStr">
        <is>
          <t>SIM-00080</t>
        </is>
      </c>
      <c r="C38" s="3" t="inlineStr">
        <is>
          <t>RO-03680</t>
        </is>
      </c>
      <c r="D38" s="3" t="inlineStr">
        <is>
          <t>SIFO_LOC_076</t>
        </is>
      </c>
      <c r="E38" s="3" t="inlineStr">
        <is>
          <t>OSAT_LOC_074</t>
        </is>
      </c>
      <c r="F38" s="3" t="inlineStr">
        <is>
          <t>Courier</t>
        </is>
      </c>
      <c r="G38" s="3" t="inlineStr">
        <is>
          <t>Yes</t>
        </is>
      </c>
      <c r="H38" s="3" t="n">
        <v>800</v>
      </c>
      <c r="I38" s="3" t="n">
        <v>1</v>
      </c>
      <c r="J38" s="3" t="b">
        <v>0</v>
      </c>
      <c r="K38" s="3" t="n">
        <v>1</v>
      </c>
      <c r="L38" s="3" t="n">
        <v>1</v>
      </c>
      <c r="M38" s="3" t="n">
        <v>741</v>
      </c>
      <c r="N38" s="3" t="n">
        <v>0.9</v>
      </c>
      <c r="O38" s="3" t="n">
        <v>146</v>
      </c>
    </row>
    <row r="39">
      <c r="A39" s="3" t="inlineStr">
        <is>
          <t>Normal</t>
        </is>
      </c>
      <c r="B39" s="3" t="inlineStr">
        <is>
          <t>SIM-00084</t>
        </is>
      </c>
      <c r="C39" s="3" t="inlineStr">
        <is>
          <t>RO-03684</t>
        </is>
      </c>
      <c r="D39" s="3" t="inlineStr">
        <is>
          <t>OSAT_LOC_016</t>
        </is>
      </c>
      <c r="E39" s="3" t="inlineStr">
        <is>
          <t>BE_LOC_022</t>
        </is>
      </c>
      <c r="F39" s="3" t="inlineStr">
        <is>
          <t>Air</t>
        </is>
      </c>
      <c r="G39" s="3" t="inlineStr">
        <is>
          <t>Yes</t>
        </is>
      </c>
      <c r="H39" s="3" t="n">
        <v>36000</v>
      </c>
      <c r="I39" s="3" t="n">
        <v>4</v>
      </c>
      <c r="J39" s="3" t="b">
        <v>1</v>
      </c>
      <c r="K39" s="3" t="n">
        <v>4</v>
      </c>
      <c r="L39" s="3" t="n">
        <v>25</v>
      </c>
      <c r="M39" s="3" t="n">
        <v>521</v>
      </c>
      <c r="N39" s="3" t="n">
        <v>1.1</v>
      </c>
      <c r="O39" s="3" t="n">
        <v>220</v>
      </c>
    </row>
    <row r="40">
      <c r="A40" s="3" t="inlineStr">
        <is>
          <t>Normal</t>
        </is>
      </c>
      <c r="B40" s="3" t="inlineStr">
        <is>
          <t>SIM-00088</t>
        </is>
      </c>
      <c r="C40" s="3" t="inlineStr">
        <is>
          <t>RO-03608</t>
        </is>
      </c>
      <c r="D40" s="3" t="inlineStr">
        <is>
          <t>BE_LOC_036</t>
        </is>
      </c>
      <c r="E40" s="3" t="inlineStr">
        <is>
          <t>BE_LOC_050</t>
        </is>
      </c>
      <c r="F40" s="3" t="inlineStr">
        <is>
          <t>Courier</t>
        </is>
      </c>
      <c r="G40" s="3" t="inlineStr">
        <is>
          <t>Yes</t>
        </is>
      </c>
      <c r="H40" s="3" t="n">
        <v>4000</v>
      </c>
      <c r="I40" s="3" t="n">
        <v>2</v>
      </c>
      <c r="J40" s="3" t="b">
        <v>1</v>
      </c>
      <c r="K40" s="3" t="n">
        <v>2</v>
      </c>
      <c r="L40" s="3" t="n">
        <v>9</v>
      </c>
      <c r="M40" s="3" t="n">
        <v>741</v>
      </c>
      <c r="N40" s="3" t="n">
        <v>0.9</v>
      </c>
      <c r="O40" s="3" t="n">
        <v>152</v>
      </c>
    </row>
    <row r="41">
      <c r="A41" s="3" t="inlineStr">
        <is>
          <t>Normal</t>
        </is>
      </c>
      <c r="B41" s="3" t="inlineStr">
        <is>
          <t>SIM-00094</t>
        </is>
      </c>
      <c r="C41" s="3" t="inlineStr">
        <is>
          <t>RO-03614</t>
        </is>
      </c>
      <c r="D41" s="3" t="inlineStr">
        <is>
          <t>OSAT_LOC_066</t>
        </is>
      </c>
      <c r="E41" s="3" t="inlineStr">
        <is>
          <t>BE_LOC_012</t>
        </is>
      </c>
      <c r="F41" s="3" t="inlineStr">
        <is>
          <t>Ocean</t>
        </is>
      </c>
      <c r="G41" s="3" t="inlineStr">
        <is>
          <t>Yes</t>
        </is>
      </c>
      <c r="H41" s="3" t="n">
        <v>156000</v>
      </c>
      <c r="I41" s="3" t="n">
        <v>12</v>
      </c>
      <c r="J41" s="3" t="b">
        <v>1</v>
      </c>
      <c r="K41" s="3" t="n">
        <v>11</v>
      </c>
      <c r="L41" s="3" t="n">
        <v>88</v>
      </c>
      <c r="M41" s="3" t="n">
        <v>205</v>
      </c>
      <c r="N41" s="3" t="n">
        <v>2.8</v>
      </c>
      <c r="O41" s="3" t="n">
        <v>145</v>
      </c>
    </row>
    <row r="42">
      <c r="A42" s="3" t="inlineStr">
        <is>
          <t>Normal</t>
        </is>
      </c>
      <c r="B42" s="3" t="inlineStr">
        <is>
          <t>SIM-00097</t>
        </is>
      </c>
      <c r="C42" s="3" t="inlineStr">
        <is>
          <t>RO-01450</t>
        </is>
      </c>
      <c r="D42" s="3" t="inlineStr">
        <is>
          <t>FE_ALT_10</t>
        </is>
      </c>
      <c r="E42" s="3" t="inlineStr">
        <is>
          <t>BE_ALT_10</t>
        </is>
      </c>
      <c r="F42" s="3" t="inlineStr">
        <is>
          <t>Air</t>
        </is>
      </c>
      <c r="G42" s="3" t="inlineStr">
        <is>
          <t>No</t>
        </is>
      </c>
      <c r="H42" s="3" t="n">
        <v>700</v>
      </c>
      <c r="I42" s="3" t="n">
        <v>1</v>
      </c>
      <c r="J42" s="3" t="b">
        <v>0</v>
      </c>
      <c r="K42" s="3" t="n">
        <v>1</v>
      </c>
      <c r="L42" s="3" t="n">
        <v>1</v>
      </c>
      <c r="M42" s="3" t="n">
        <v>712</v>
      </c>
      <c r="N42" s="3" t="n">
        <v>1.5</v>
      </c>
      <c r="O42" s="3" t="n">
        <v>154</v>
      </c>
    </row>
    <row r="43">
      <c r="A43" s="3" t="inlineStr">
        <is>
          <t>Normal</t>
        </is>
      </c>
      <c r="B43" s="3" t="inlineStr">
        <is>
          <t>SIM-00098</t>
        </is>
      </c>
      <c r="C43" s="3" t="inlineStr">
        <is>
          <t>RO-01465</t>
        </is>
      </c>
      <c r="D43" s="3" t="inlineStr">
        <is>
          <t>BE_ALT_11</t>
        </is>
      </c>
      <c r="E43" s="3" t="inlineStr">
        <is>
          <t>BE_ALT_11</t>
        </is>
      </c>
      <c r="F43" s="3" t="inlineStr">
        <is>
          <t>Road</t>
        </is>
      </c>
      <c r="G43" s="3" t="inlineStr">
        <is>
          <t>No</t>
        </is>
      </c>
      <c r="H43" s="3" t="n">
        <v>800</v>
      </c>
      <c r="I43" s="3" t="n">
        <v>1</v>
      </c>
      <c r="J43" s="3" t="b">
        <v>0</v>
      </c>
      <c r="K43" s="3" t="n">
        <v>2</v>
      </c>
      <c r="L43" s="3" t="n">
        <v>2</v>
      </c>
      <c r="M43" s="3" t="n">
        <v>624</v>
      </c>
      <c r="N43" s="3" t="n">
        <v>1.5</v>
      </c>
      <c r="O43" s="3" t="n">
        <v>196</v>
      </c>
    </row>
    <row r="44">
      <c r="A44" s="3" t="inlineStr">
        <is>
          <t>Normal</t>
        </is>
      </c>
      <c r="B44" s="3" t="inlineStr">
        <is>
          <t>SIM-00100</t>
        </is>
      </c>
      <c r="C44" s="3" t="inlineStr">
        <is>
          <t>RO-03697</t>
        </is>
      </c>
      <c r="D44" s="3" t="inlineStr">
        <is>
          <t>SIFO_LOC_016</t>
        </is>
      </c>
      <c r="E44" s="3" t="inlineStr">
        <is>
          <t>OSAT_LOC_054</t>
        </is>
      </c>
      <c r="F44" s="3" t="inlineStr">
        <is>
          <t>Courier</t>
        </is>
      </c>
      <c r="G44" s="3" t="inlineStr">
        <is>
          <t>Yes</t>
        </is>
      </c>
      <c r="H44" s="3" t="n">
        <v>30000</v>
      </c>
      <c r="I44" s="3" t="n">
        <v>7</v>
      </c>
      <c r="J44" s="3" t="b">
        <v>1</v>
      </c>
      <c r="K44" s="3" t="n">
        <v>1</v>
      </c>
      <c r="L44" s="3" t="n">
        <v>43</v>
      </c>
      <c r="M44" s="3" t="n">
        <v>729</v>
      </c>
      <c r="N44" s="3" t="n">
        <v>0.8</v>
      </c>
      <c r="O44" s="3" t="n">
        <v>150</v>
      </c>
    </row>
    <row r="45">
      <c r="A45" s="3" t="inlineStr">
        <is>
          <t>Normal</t>
        </is>
      </c>
      <c r="B45" s="3" t="inlineStr">
        <is>
          <t>SIM-00102</t>
        </is>
      </c>
      <c r="C45" s="3" t="inlineStr">
        <is>
          <t>RO-01756</t>
        </is>
      </c>
      <c r="D45" s="3" t="inlineStr">
        <is>
          <t>SIFO_ALT_28</t>
        </is>
      </c>
      <c r="E45" s="3" t="inlineStr">
        <is>
          <t>BE_ALT_28</t>
        </is>
      </c>
      <c r="F45" s="3" t="inlineStr">
        <is>
          <t>Road</t>
        </is>
      </c>
      <c r="G45" s="3" t="inlineStr">
        <is>
          <t>No</t>
        </is>
      </c>
      <c r="H45" s="3" t="n">
        <v>36000</v>
      </c>
      <c r="I45" s="3" t="n">
        <v>7</v>
      </c>
      <c r="J45" s="3" t="b">
        <v>1</v>
      </c>
      <c r="K45" s="3" t="n">
        <v>4</v>
      </c>
      <c r="L45" s="3" t="n">
        <v>46</v>
      </c>
      <c r="M45" s="3" t="n">
        <v>292</v>
      </c>
      <c r="N45" s="3" t="n">
        <v>2.3</v>
      </c>
      <c r="O45" s="3" t="n">
        <v>120</v>
      </c>
    </row>
    <row r="46">
      <c r="A46" s="3" t="inlineStr">
        <is>
          <t>Normal</t>
        </is>
      </c>
      <c r="B46" s="3" t="inlineStr">
        <is>
          <t>SIM-00104</t>
        </is>
      </c>
      <c r="C46" s="3" t="inlineStr">
        <is>
          <t>RO-03701</t>
        </is>
      </c>
      <c r="D46" s="3" t="inlineStr">
        <is>
          <t>OSAT_LOC_036</t>
        </is>
      </c>
      <c r="E46" s="3" t="inlineStr">
        <is>
          <t>BE_LOC_002</t>
        </is>
      </c>
      <c r="F46" s="3" t="inlineStr">
        <is>
          <t>Air</t>
        </is>
      </c>
      <c r="G46" s="3" t="inlineStr">
        <is>
          <t>Yes</t>
        </is>
      </c>
      <c r="H46" s="3" t="n">
        <v>1400</v>
      </c>
      <c r="I46" s="3" t="n">
        <v>1</v>
      </c>
      <c r="J46" s="3" t="b">
        <v>0</v>
      </c>
      <c r="K46" s="3" t="n">
        <v>2</v>
      </c>
      <c r="L46" s="3" t="n">
        <v>2</v>
      </c>
      <c r="M46" s="3" t="n">
        <v>509</v>
      </c>
      <c r="N46" s="3" t="n">
        <v>1.8</v>
      </c>
      <c r="O46" s="3" t="n">
        <v>212</v>
      </c>
    </row>
    <row r="47">
      <c r="A47" s="3" t="inlineStr">
        <is>
          <t>Normal</t>
        </is>
      </c>
      <c r="B47" s="3" t="inlineStr">
        <is>
          <t>SIM-00105</t>
        </is>
      </c>
      <c r="C47" s="3" t="inlineStr">
        <is>
          <t>RO-03702</t>
        </is>
      </c>
      <c r="D47" s="3" t="inlineStr">
        <is>
          <t>BE_LOC_041</t>
        </is>
      </c>
      <c r="E47" s="3" t="inlineStr">
        <is>
          <t>SIFO_LOC_009</t>
        </is>
      </c>
      <c r="F47" s="3" t="inlineStr">
        <is>
          <t>Air</t>
        </is>
      </c>
      <c r="G47" s="3" t="inlineStr">
        <is>
          <t>Yes</t>
        </is>
      </c>
      <c r="H47" s="3" t="n">
        <v>1500</v>
      </c>
      <c r="I47" s="3" t="n">
        <v>1</v>
      </c>
      <c r="J47" s="3" t="b">
        <v>0</v>
      </c>
      <c r="K47" s="3" t="n">
        <v>2</v>
      </c>
      <c r="L47" s="3" t="n">
        <v>2</v>
      </c>
      <c r="M47" s="3" t="n">
        <v>521</v>
      </c>
      <c r="N47" s="3" t="n">
        <v>1.1</v>
      </c>
      <c r="O47" s="3" t="n">
        <v>216</v>
      </c>
    </row>
    <row r="48">
      <c r="A48" s="3" t="inlineStr">
        <is>
          <t>Normal</t>
        </is>
      </c>
      <c r="B48" s="3" t="inlineStr">
        <is>
          <t>SIM-00109</t>
        </is>
      </c>
      <c r="C48" s="3" t="inlineStr">
        <is>
          <t>RO-01633</t>
        </is>
      </c>
      <c r="D48" s="3" t="inlineStr">
        <is>
          <t>OSAT_ALT_23</t>
        </is>
      </c>
      <c r="E48" s="3" t="inlineStr">
        <is>
          <t>OSAT_ALT_23</t>
        </is>
      </c>
      <c r="F48" s="3" t="inlineStr">
        <is>
          <t>Road</t>
        </is>
      </c>
      <c r="G48" s="3" t="inlineStr">
        <is>
          <t>No</t>
        </is>
      </c>
      <c r="H48" s="3" t="n">
        <v>100</v>
      </c>
      <c r="I48" s="3" t="n">
        <v>1</v>
      </c>
      <c r="J48" s="3" t="b">
        <v>0</v>
      </c>
      <c r="K48" s="3" t="n">
        <v>3</v>
      </c>
      <c r="L48" s="3" t="n">
        <v>3</v>
      </c>
      <c r="M48" s="3" t="n">
        <v>588</v>
      </c>
      <c r="N48" s="3" t="n">
        <v>1.5</v>
      </c>
      <c r="O48" s="3" t="n">
        <v>202</v>
      </c>
    </row>
    <row r="49">
      <c r="A49" s="3" t="inlineStr">
        <is>
          <t>Normal</t>
        </is>
      </c>
      <c r="B49" s="3" t="inlineStr">
        <is>
          <t>SIM-00112</t>
        </is>
      </c>
      <c r="C49" s="3" t="inlineStr">
        <is>
          <t>RO-01666</t>
        </is>
      </c>
      <c r="D49" s="3" t="inlineStr">
        <is>
          <t>SIFO_ALT_22</t>
        </is>
      </c>
      <c r="E49" s="3" t="inlineStr">
        <is>
          <t>BE_ALT_22</t>
        </is>
      </c>
      <c r="F49" s="3" t="inlineStr">
        <is>
          <t>Courier</t>
        </is>
      </c>
      <c r="G49" s="3" t="inlineStr">
        <is>
          <t>No</t>
        </is>
      </c>
      <c r="H49" s="3" t="n">
        <v>40000</v>
      </c>
      <c r="I49" s="3" t="n">
        <v>10</v>
      </c>
      <c r="J49" s="3" t="b">
        <v>1</v>
      </c>
      <c r="K49" s="3" t="n">
        <v>1</v>
      </c>
      <c r="L49" s="3" t="n">
        <v>64</v>
      </c>
      <c r="M49" s="3" t="n">
        <v>712</v>
      </c>
      <c r="N49" s="3" t="n">
        <v>1.5</v>
      </c>
      <c r="O49" s="3" t="n">
        <v>154</v>
      </c>
    </row>
    <row r="50">
      <c r="A50" s="3" t="inlineStr">
        <is>
          <t>Normal</t>
        </is>
      </c>
      <c r="B50" s="3" t="inlineStr">
        <is>
          <t>SIM-00114</t>
        </is>
      </c>
      <c r="C50" s="3" t="inlineStr">
        <is>
          <t>RO-03711</t>
        </is>
      </c>
      <c r="D50" s="3" t="inlineStr">
        <is>
          <t>OSAT_LOC_006</t>
        </is>
      </c>
      <c r="E50" s="3" t="inlineStr">
        <is>
          <t>BE_LOC_072</t>
        </is>
      </c>
      <c r="F50" s="3" t="inlineStr">
        <is>
          <t>Ocean</t>
        </is>
      </c>
      <c r="G50" s="3" t="inlineStr">
        <is>
          <t>Yes</t>
        </is>
      </c>
      <c r="H50" s="3" t="n">
        <v>600</v>
      </c>
      <c r="I50" s="3" t="n">
        <v>1</v>
      </c>
      <c r="J50" s="3" t="b">
        <v>0</v>
      </c>
      <c r="K50" s="3" t="n">
        <v>9</v>
      </c>
      <c r="L50" s="3" t="n">
        <v>9</v>
      </c>
      <c r="M50" s="3" t="n">
        <v>181</v>
      </c>
      <c r="N50" s="3" t="n">
        <v>2.9</v>
      </c>
      <c r="O50" s="3" t="n">
        <v>137</v>
      </c>
    </row>
    <row r="51">
      <c r="A51" s="3" t="inlineStr">
        <is>
          <t>Normal</t>
        </is>
      </c>
      <c r="B51" s="3" t="inlineStr">
        <is>
          <t>SIM-00116</t>
        </is>
      </c>
      <c r="C51" s="3" t="inlineStr">
        <is>
          <t>RO-01732</t>
        </is>
      </c>
      <c r="D51" s="3" t="inlineStr">
        <is>
          <t>SIFO_ALT_28</t>
        </is>
      </c>
      <c r="E51" s="3" t="inlineStr">
        <is>
          <t>FE_ALT_28</t>
        </is>
      </c>
      <c r="F51" s="3" t="inlineStr">
        <is>
          <t>Courier</t>
        </is>
      </c>
      <c r="G51" s="3" t="inlineStr">
        <is>
          <t>No</t>
        </is>
      </c>
      <c r="H51" s="3" t="n">
        <v>800</v>
      </c>
      <c r="I51" s="3" t="n">
        <v>1</v>
      </c>
      <c r="J51" s="3" t="b">
        <v>0</v>
      </c>
      <c r="K51" s="3" t="n">
        <v>4</v>
      </c>
      <c r="L51" s="3" t="n">
        <v>4</v>
      </c>
      <c r="M51" s="3" t="n">
        <v>328</v>
      </c>
      <c r="N51" s="3" t="n">
        <v>2.3</v>
      </c>
      <c r="O51" s="3" t="n">
        <v>120</v>
      </c>
    </row>
    <row r="52">
      <c r="A52" s="3" t="inlineStr">
        <is>
          <t>Normal</t>
        </is>
      </c>
      <c r="B52" s="3" t="inlineStr">
        <is>
          <t>SIM-00120</t>
        </is>
      </c>
      <c r="C52" s="3" t="inlineStr">
        <is>
          <t>RO-03640</t>
        </is>
      </c>
      <c r="D52" s="3" t="inlineStr">
        <is>
          <t>SIFO_LOC_036</t>
        </is>
      </c>
      <c r="E52" s="3" t="inlineStr">
        <is>
          <t>OSAT_LOC_034</t>
        </is>
      </c>
      <c r="F52" s="3" t="inlineStr">
        <is>
          <t>Courier</t>
        </is>
      </c>
      <c r="G52" s="3" t="inlineStr">
        <is>
          <t>Yes</t>
        </is>
      </c>
      <c r="H52" s="3" t="n">
        <v>1200</v>
      </c>
      <c r="I52" s="3" t="n">
        <v>1</v>
      </c>
      <c r="J52" s="3" t="b">
        <v>0</v>
      </c>
      <c r="K52" s="3" t="n">
        <v>1</v>
      </c>
      <c r="L52" s="3" t="n">
        <v>1</v>
      </c>
      <c r="M52" s="3" t="n">
        <v>693</v>
      </c>
      <c r="N52" s="3" t="n">
        <v>1.3</v>
      </c>
      <c r="O52" s="3" t="n">
        <v>146</v>
      </c>
    </row>
    <row r="53">
      <c r="A53" s="3" t="inlineStr">
        <is>
          <t>Normal</t>
        </is>
      </c>
      <c r="B53" s="3" t="inlineStr">
        <is>
          <t>SIM-00121</t>
        </is>
      </c>
      <c r="C53" s="3" t="inlineStr">
        <is>
          <t>RO-03717</t>
        </is>
      </c>
      <c r="D53" s="3" t="inlineStr">
        <is>
          <t>FE_LOC_041</t>
        </is>
      </c>
      <c r="E53" s="3" t="inlineStr">
        <is>
          <t>SIFO_LOC_041</t>
        </is>
      </c>
      <c r="F53" s="3" t="inlineStr">
        <is>
          <t>Air</t>
        </is>
      </c>
      <c r="G53" s="3" t="inlineStr">
        <is>
          <t>Yes</t>
        </is>
      </c>
      <c r="H53" s="3" t="n">
        <v>1300</v>
      </c>
      <c r="I53" s="3" t="n">
        <v>1</v>
      </c>
      <c r="J53" s="3" t="b">
        <v>0</v>
      </c>
      <c r="K53" s="3" t="n">
        <v>2</v>
      </c>
      <c r="L53" s="3" t="n">
        <v>2</v>
      </c>
      <c r="M53" s="3" t="n">
        <v>485</v>
      </c>
      <c r="N53" s="3" t="n">
        <v>1.5</v>
      </c>
      <c r="O53" s="3" t="n">
        <v>212</v>
      </c>
    </row>
    <row r="54">
      <c r="A54" s="3" t="inlineStr">
        <is>
          <t>Normal</t>
        </is>
      </c>
      <c r="B54" s="3" t="inlineStr">
        <is>
          <t>SIM-00123</t>
        </is>
      </c>
      <c r="C54" s="3" t="inlineStr">
        <is>
          <t>RO-01594</t>
        </is>
      </c>
      <c r="D54" s="3" t="inlineStr">
        <is>
          <t>BE_ALT_18</t>
        </is>
      </c>
      <c r="E54" s="3" t="inlineStr">
        <is>
          <t>OSAT_ALT_18</t>
        </is>
      </c>
      <c r="F54" s="3" t="inlineStr">
        <is>
          <t>Ocean</t>
        </is>
      </c>
      <c r="G54" s="3" t="inlineStr">
        <is>
          <t>No</t>
        </is>
      </c>
      <c r="H54" s="3" t="n">
        <v>1500</v>
      </c>
      <c r="I54" s="3" t="n">
        <v>1</v>
      </c>
      <c r="J54" s="3" t="b">
        <v>0</v>
      </c>
      <c r="K54" s="3" t="n">
        <v>3</v>
      </c>
      <c r="L54" s="3" t="n">
        <v>3</v>
      </c>
      <c r="M54" s="3" t="n">
        <v>712</v>
      </c>
      <c r="N54" s="3" t="n">
        <v>1.5</v>
      </c>
      <c r="O54" s="3" t="n">
        <v>166</v>
      </c>
    </row>
    <row r="55">
      <c r="A55" s="3" t="inlineStr">
        <is>
          <t>Normal</t>
        </is>
      </c>
      <c r="B55" s="3" t="inlineStr">
        <is>
          <t>SIM-00124</t>
        </is>
      </c>
      <c r="C55" s="3" t="inlineStr">
        <is>
          <t>RO-03720</t>
        </is>
      </c>
      <c r="D55" s="3" t="inlineStr">
        <is>
          <t>OSAT_LOC_056</t>
        </is>
      </c>
      <c r="E55" s="3" t="inlineStr">
        <is>
          <t>BE_LOC_062</t>
        </is>
      </c>
      <c r="F55" s="3" t="inlineStr">
        <is>
          <t>Air</t>
        </is>
      </c>
      <c r="G55" s="3" t="inlineStr">
        <is>
          <t>Yes</t>
        </is>
      </c>
      <c r="H55" s="3" t="n">
        <v>16000</v>
      </c>
      <c r="I55" s="3" t="n">
        <v>5</v>
      </c>
      <c r="J55" s="3" t="b">
        <v>1</v>
      </c>
      <c r="K55" s="3" t="n">
        <v>2</v>
      </c>
      <c r="L55" s="3" t="n">
        <v>30</v>
      </c>
      <c r="M55" s="3" t="n">
        <v>521</v>
      </c>
      <c r="N55" s="3" t="n">
        <v>1.1</v>
      </c>
      <c r="O55" s="3" t="n">
        <v>192</v>
      </c>
    </row>
    <row r="56">
      <c r="A56" s="3" t="inlineStr">
        <is>
          <t>Normal</t>
        </is>
      </c>
      <c r="B56" s="3" t="inlineStr">
        <is>
          <t>SIM-00125</t>
        </is>
      </c>
      <c r="C56" s="3" t="inlineStr">
        <is>
          <t>RO-03756</t>
        </is>
      </c>
      <c r="D56" s="3" t="inlineStr">
        <is>
          <t>BE_LOC_021</t>
        </is>
      </c>
      <c r="E56" s="3" t="inlineStr">
        <is>
          <t>SIFO_LOC_029</t>
        </is>
      </c>
      <c r="F56" s="3" t="inlineStr">
        <is>
          <t>Air</t>
        </is>
      </c>
      <c r="G56" s="3" t="inlineStr">
        <is>
          <t>Yes</t>
        </is>
      </c>
      <c r="H56" s="3" t="n">
        <v>1700</v>
      </c>
      <c r="I56" s="3" t="n">
        <v>1</v>
      </c>
      <c r="J56" s="3" t="b">
        <v>0</v>
      </c>
      <c r="K56" s="3" t="n">
        <v>2</v>
      </c>
      <c r="L56" s="3" t="n">
        <v>2</v>
      </c>
      <c r="M56" s="3" t="n">
        <v>521</v>
      </c>
      <c r="N56" s="3" t="n">
        <v>1.1</v>
      </c>
      <c r="O56" s="3" t="n">
        <v>208</v>
      </c>
    </row>
    <row r="57">
      <c r="A57" s="3" t="inlineStr">
        <is>
          <t>Normal</t>
        </is>
      </c>
      <c r="B57" s="3" t="inlineStr">
        <is>
          <t>SIM-00128</t>
        </is>
      </c>
      <c r="C57" s="3" t="inlineStr">
        <is>
          <t>RO-03724</t>
        </is>
      </c>
      <c r="D57" s="3" t="inlineStr">
        <is>
          <t>BE_LOC_076</t>
        </is>
      </c>
      <c r="E57" s="3" t="inlineStr">
        <is>
          <t>BE_LOC_010</t>
        </is>
      </c>
      <c r="F57" s="3" t="inlineStr">
        <is>
          <t>Courier</t>
        </is>
      </c>
      <c r="G57" s="3" t="inlineStr">
        <is>
          <t>Yes</t>
        </is>
      </c>
      <c r="H57" s="3" t="n">
        <v>200</v>
      </c>
      <c r="I57" s="3" t="n">
        <v>1</v>
      </c>
      <c r="J57" s="3" t="b">
        <v>0</v>
      </c>
      <c r="K57" s="3" t="n">
        <v>3</v>
      </c>
      <c r="L57" s="3" t="n">
        <v>3</v>
      </c>
      <c r="M57" s="3" t="n">
        <v>729</v>
      </c>
      <c r="N57" s="3" t="n">
        <v>1.3</v>
      </c>
      <c r="O57" s="3" t="n">
        <v>174</v>
      </c>
    </row>
    <row r="58">
      <c r="A58" s="3" t="inlineStr">
        <is>
          <t>Normal</t>
        </is>
      </c>
      <c r="B58" s="3" t="inlineStr">
        <is>
          <t>SIM-00129</t>
        </is>
      </c>
      <c r="C58" s="3" t="inlineStr">
        <is>
          <t>RO-00133</t>
        </is>
      </c>
      <c r="D58" s="3" t="inlineStr">
        <is>
          <t>OSAT_ALT_13</t>
        </is>
      </c>
      <c r="E58" s="3" t="inlineStr">
        <is>
          <t>OSAT_ALT_13</t>
        </is>
      </c>
      <c r="F58" s="3" t="inlineStr">
        <is>
          <t>Road</t>
        </is>
      </c>
      <c r="G58" s="3" t="inlineStr">
        <is>
          <t>No</t>
        </is>
      </c>
      <c r="H58" s="3" t="n">
        <v>90000</v>
      </c>
      <c r="I58" s="3" t="n">
        <v>12</v>
      </c>
      <c r="J58" s="3" t="b">
        <v>1</v>
      </c>
      <c r="K58" s="3" t="n">
        <v>3</v>
      </c>
      <c r="L58" s="3" t="n">
        <v>80</v>
      </c>
      <c r="M58" s="3" t="n">
        <v>624</v>
      </c>
      <c r="N58" s="3" t="n">
        <v>1.5</v>
      </c>
      <c r="O58" s="3" t="n">
        <v>218</v>
      </c>
    </row>
    <row r="59">
      <c r="A59" s="3" t="inlineStr">
        <is>
          <t>Normal</t>
        </is>
      </c>
      <c r="B59" s="3" t="inlineStr">
        <is>
          <t>SIM-00130</t>
        </is>
      </c>
      <c r="C59" s="3" t="inlineStr">
        <is>
          <t>RO-03726</t>
        </is>
      </c>
      <c r="D59" s="3" t="inlineStr">
        <is>
          <t>SIFO_LOC_006</t>
        </is>
      </c>
      <c r="E59" s="3" t="inlineStr">
        <is>
          <t>OSAT_LOC_024</t>
        </is>
      </c>
      <c r="F59" s="3" t="inlineStr">
        <is>
          <t>Road</t>
        </is>
      </c>
      <c r="G59" s="3" t="inlineStr">
        <is>
          <t>Yes</t>
        </is>
      </c>
      <c r="H59" s="3" t="n">
        <v>400</v>
      </c>
      <c r="I59" s="3" t="n">
        <v>1</v>
      </c>
      <c r="J59" s="3" t="b">
        <v>0</v>
      </c>
      <c r="K59" s="3" t="n">
        <v>4</v>
      </c>
      <c r="L59" s="3" t="n">
        <v>4</v>
      </c>
      <c r="M59" s="3" t="n">
        <v>225</v>
      </c>
      <c r="N59" s="3" t="n">
        <v>1.4</v>
      </c>
      <c r="O59" s="3" t="n">
        <v>128</v>
      </c>
    </row>
    <row r="60">
      <c r="A60" s="3" t="inlineStr">
        <is>
          <t>Normal</t>
        </is>
      </c>
      <c r="B60" s="3" t="inlineStr">
        <is>
          <t>SIM-00137</t>
        </is>
      </c>
      <c r="C60" s="3" t="inlineStr">
        <is>
          <t>RO-03010</t>
        </is>
      </c>
      <c r="D60" s="3" t="inlineStr">
        <is>
          <t>FE_ALT_24</t>
        </is>
      </c>
      <c r="E60" s="3" t="inlineStr">
        <is>
          <t>BE_ALT_24</t>
        </is>
      </c>
      <c r="F60" s="3" t="inlineStr">
        <is>
          <t>Air</t>
        </is>
      </c>
      <c r="G60" s="3" t="inlineStr">
        <is>
          <t>No</t>
        </is>
      </c>
      <c r="H60" s="3" t="n">
        <v>1100</v>
      </c>
      <c r="I60" s="3" t="n">
        <v>1</v>
      </c>
      <c r="J60" s="3" t="b">
        <v>0</v>
      </c>
      <c r="K60" s="3" t="n">
        <v>1</v>
      </c>
      <c r="L60" s="3" t="n">
        <v>1</v>
      </c>
      <c r="M60" s="3" t="n">
        <v>748</v>
      </c>
      <c r="N60" s="3" t="n">
        <v>1.5</v>
      </c>
      <c r="O60" s="3" t="n">
        <v>154</v>
      </c>
    </row>
    <row r="61">
      <c r="A61" s="3" t="inlineStr">
        <is>
          <t>Normal</t>
        </is>
      </c>
      <c r="B61" s="3" t="inlineStr">
        <is>
          <t>SIM-00140</t>
        </is>
      </c>
      <c r="C61" s="3" t="inlineStr">
        <is>
          <t>RO-02098</t>
        </is>
      </c>
      <c r="D61" s="3" t="inlineStr">
        <is>
          <t>SIFO_ALT_54</t>
        </is>
      </c>
      <c r="E61" s="3" t="inlineStr">
        <is>
          <t>OSAT_ALT_54</t>
        </is>
      </c>
      <c r="F61" s="3" t="inlineStr">
        <is>
          <t>Courier</t>
        </is>
      </c>
      <c r="G61" s="3" t="inlineStr">
        <is>
          <t>No</t>
        </is>
      </c>
      <c r="H61" s="3" t="n">
        <v>1400</v>
      </c>
      <c r="I61" s="3" t="n">
        <v>1</v>
      </c>
      <c r="J61" s="3" t="b">
        <v>0</v>
      </c>
      <c r="K61" s="3" t="n">
        <v>2</v>
      </c>
      <c r="L61" s="3" t="n">
        <v>2</v>
      </c>
      <c r="M61" s="3" t="n">
        <v>712</v>
      </c>
      <c r="N61" s="3" t="n">
        <v>1.5</v>
      </c>
      <c r="O61" s="3" t="n">
        <v>160</v>
      </c>
    </row>
    <row r="62">
      <c r="A62" s="3" t="inlineStr">
        <is>
          <t>Normal</t>
        </is>
      </c>
      <c r="B62" s="3" t="inlineStr">
        <is>
          <t>SIM-00144</t>
        </is>
      </c>
      <c r="C62" s="3" t="inlineStr">
        <is>
          <t>RO-03737</t>
        </is>
      </c>
      <c r="D62" s="3" t="inlineStr">
        <is>
          <t>OSAT_LOC_076</t>
        </is>
      </c>
      <c r="E62" s="3" t="inlineStr">
        <is>
          <t>BE_LOC_042</t>
        </is>
      </c>
      <c r="F62" s="3" t="inlineStr">
        <is>
          <t>Air</t>
        </is>
      </c>
      <c r="G62" s="3" t="inlineStr">
        <is>
          <t>Yes</t>
        </is>
      </c>
      <c r="H62" s="3" t="n">
        <v>1800</v>
      </c>
      <c r="I62" s="3" t="n">
        <v>1</v>
      </c>
      <c r="J62" s="3" t="b">
        <v>0</v>
      </c>
      <c r="K62" s="3" t="n">
        <v>2</v>
      </c>
      <c r="L62" s="3" t="n">
        <v>2</v>
      </c>
      <c r="M62" s="3" t="n">
        <v>509</v>
      </c>
      <c r="N62" s="3" t="n">
        <v>1.8</v>
      </c>
      <c r="O62" s="3" t="n">
        <v>196</v>
      </c>
    </row>
    <row r="63">
      <c r="A63" s="3" t="inlineStr">
        <is>
          <t>Normal</t>
        </is>
      </c>
      <c r="B63" s="3" t="inlineStr">
        <is>
          <t>SIM-00145</t>
        </is>
      </c>
      <c r="C63" s="3" t="inlineStr">
        <is>
          <t>RO-03738</t>
        </is>
      </c>
      <c r="D63" s="3" t="inlineStr">
        <is>
          <t>BE_LOC_001</t>
        </is>
      </c>
      <c r="E63" s="3" t="inlineStr">
        <is>
          <t>SIFO_LOC_049</t>
        </is>
      </c>
      <c r="F63" s="3" t="inlineStr">
        <is>
          <t>Air</t>
        </is>
      </c>
      <c r="G63" s="3" t="inlineStr">
        <is>
          <t>Yes</t>
        </is>
      </c>
      <c r="H63" s="3" t="n">
        <v>100</v>
      </c>
      <c r="I63" s="3" t="n">
        <v>1</v>
      </c>
      <c r="J63" s="3" t="b">
        <v>0</v>
      </c>
      <c r="K63" s="3" t="n">
        <v>3</v>
      </c>
      <c r="L63" s="3" t="n">
        <v>3</v>
      </c>
      <c r="M63" s="3" t="n">
        <v>521</v>
      </c>
      <c r="N63" s="3" t="n">
        <v>1.1</v>
      </c>
      <c r="O63" s="3" t="n">
        <v>206</v>
      </c>
    </row>
    <row r="64">
      <c r="A64" s="3" t="inlineStr">
        <is>
          <t>Normal</t>
        </is>
      </c>
      <c r="B64" s="3" t="inlineStr">
        <is>
          <t>SIM-00149</t>
        </is>
      </c>
      <c r="C64" s="3" t="inlineStr">
        <is>
          <t>RO-03776</t>
        </is>
      </c>
      <c r="D64" s="3" t="inlineStr">
        <is>
          <t>OSAT_LOC_061</t>
        </is>
      </c>
      <c r="E64" s="3" t="inlineStr">
        <is>
          <t>OSAT_LOC_037</t>
        </is>
      </c>
      <c r="F64" s="3" t="inlineStr">
        <is>
          <t>Road</t>
        </is>
      </c>
      <c r="G64" s="3" t="inlineStr">
        <is>
          <t>Yes</t>
        </is>
      </c>
      <c r="H64" s="3" t="n">
        <v>500</v>
      </c>
      <c r="I64" s="3" t="n">
        <v>1</v>
      </c>
      <c r="J64" s="3" t="b">
        <v>0</v>
      </c>
      <c r="K64" s="3" t="n">
        <v>4</v>
      </c>
      <c r="L64" s="3" t="n">
        <v>4</v>
      </c>
      <c r="M64" s="3" t="n">
        <v>285</v>
      </c>
      <c r="N64" s="3" t="n">
        <v>1.8</v>
      </c>
      <c r="O64" s="3" t="n">
        <v>104</v>
      </c>
    </row>
    <row r="65">
      <c r="A65" s="3" t="inlineStr">
        <is>
          <t>Normal</t>
        </is>
      </c>
      <c r="B65" s="3" t="inlineStr">
        <is>
          <t>SIM-00152</t>
        </is>
      </c>
      <c r="C65" s="3" t="inlineStr">
        <is>
          <t>RO-03745</t>
        </is>
      </c>
      <c r="D65" s="3" t="inlineStr">
        <is>
          <t>SIFO_LOC_036</t>
        </is>
      </c>
      <c r="E65" s="3" t="inlineStr">
        <is>
          <t>BE_LOC_018</t>
        </is>
      </c>
      <c r="F65" s="3" t="inlineStr">
        <is>
          <t>Courier</t>
        </is>
      </c>
      <c r="G65" s="3" t="inlineStr">
        <is>
          <t>Yes</t>
        </is>
      </c>
      <c r="H65" s="3" t="n">
        <v>800</v>
      </c>
      <c r="I65" s="3" t="n">
        <v>1</v>
      </c>
      <c r="J65" s="3" t="b">
        <v>0</v>
      </c>
      <c r="K65" s="3" t="n">
        <v>1</v>
      </c>
      <c r="L65" s="3" t="n">
        <v>1</v>
      </c>
      <c r="M65" s="3" t="n">
        <v>657</v>
      </c>
      <c r="N65" s="3" t="n">
        <v>0.8</v>
      </c>
      <c r="O65" s="3" t="n">
        <v>150</v>
      </c>
    </row>
    <row r="66">
      <c r="A66" s="3" t="inlineStr">
        <is>
          <t>Normal</t>
        </is>
      </c>
      <c r="B66" s="3" t="inlineStr">
        <is>
          <t>SIM-00154</t>
        </is>
      </c>
      <c r="C66" s="3" t="inlineStr">
        <is>
          <t>RO-03746</t>
        </is>
      </c>
      <c r="D66" s="3" t="inlineStr">
        <is>
          <t>OSAT_LOC_046</t>
        </is>
      </c>
      <c r="E66" s="3" t="inlineStr">
        <is>
          <t>BE_LOC_032</t>
        </is>
      </c>
      <c r="F66" s="3" t="inlineStr">
        <is>
          <t>Ocean</t>
        </is>
      </c>
      <c r="G66" s="3" t="inlineStr">
        <is>
          <t>Yes</t>
        </is>
      </c>
      <c r="H66" s="3" t="n">
        <v>1000</v>
      </c>
      <c r="I66" s="3" t="n">
        <v>1</v>
      </c>
      <c r="J66" s="3" t="b">
        <v>0</v>
      </c>
      <c r="K66" s="3" t="n">
        <v>9</v>
      </c>
      <c r="L66" s="3" t="n">
        <v>9</v>
      </c>
      <c r="M66" s="3" t="n">
        <v>169</v>
      </c>
      <c r="N66" s="3" t="n">
        <v>2.8</v>
      </c>
      <c r="O66" s="3" t="n">
        <v>117</v>
      </c>
    </row>
    <row r="67">
      <c r="A67" s="3" t="inlineStr">
        <is>
          <t>Normal</t>
        </is>
      </c>
      <c r="B67" s="3" t="inlineStr">
        <is>
          <t>SIM-00162</t>
        </is>
      </c>
      <c r="C67" s="3" t="inlineStr">
        <is>
          <t>RO-00496</t>
        </is>
      </c>
      <c r="D67" s="3" t="inlineStr">
        <is>
          <t>SIFO_ALT_34</t>
        </is>
      </c>
      <c r="E67" s="3" t="inlineStr">
        <is>
          <t>BE_ALT_34</t>
        </is>
      </c>
      <c r="F67" s="3" t="inlineStr">
        <is>
          <t>Road</t>
        </is>
      </c>
      <c r="G67" s="3" t="inlineStr">
        <is>
          <t>No</t>
        </is>
      </c>
      <c r="H67" s="3" t="n">
        <v>1800</v>
      </c>
      <c r="I67" s="3" t="n">
        <v>1</v>
      </c>
      <c r="J67" s="3" t="b">
        <v>0</v>
      </c>
      <c r="K67" s="3" t="n">
        <v>4</v>
      </c>
      <c r="L67" s="3" t="n">
        <v>4</v>
      </c>
      <c r="M67" s="3" t="n">
        <v>292</v>
      </c>
      <c r="N67" s="3" t="n">
        <v>2.3</v>
      </c>
      <c r="O67" s="3" t="n">
        <v>104</v>
      </c>
    </row>
    <row r="68">
      <c r="A68" s="3" t="inlineStr">
        <is>
          <t>Normal</t>
        </is>
      </c>
      <c r="B68" s="3" t="inlineStr">
        <is>
          <t>SIM-00165</t>
        </is>
      </c>
      <c r="C68" s="3" t="inlineStr">
        <is>
          <t>RO-03756</t>
        </is>
      </c>
      <c r="D68" s="3" t="inlineStr">
        <is>
          <t>BE_LOC_021</t>
        </is>
      </c>
      <c r="E68" s="3" t="inlineStr">
        <is>
          <t>SIFO_LOC_029</t>
        </is>
      </c>
      <c r="F68" s="3" t="inlineStr">
        <is>
          <t>Air</t>
        </is>
      </c>
      <c r="G68" s="3" t="inlineStr">
        <is>
          <t>Yes</t>
        </is>
      </c>
      <c r="H68" s="3" t="n">
        <v>300</v>
      </c>
      <c r="I68" s="3" t="n">
        <v>1</v>
      </c>
      <c r="J68" s="3" t="b">
        <v>0</v>
      </c>
      <c r="K68" s="3" t="n">
        <v>2</v>
      </c>
      <c r="L68" s="3" t="n">
        <v>2</v>
      </c>
      <c r="M68" s="3" t="n">
        <v>521</v>
      </c>
      <c r="N68" s="3" t="n">
        <v>1.1</v>
      </c>
      <c r="O68" s="3" t="n">
        <v>208</v>
      </c>
    </row>
    <row r="69">
      <c r="A69" s="3" t="inlineStr">
        <is>
          <t>Normal</t>
        </is>
      </c>
      <c r="B69" s="3" t="inlineStr">
        <is>
          <t>SIM-00168</t>
        </is>
      </c>
      <c r="C69" s="3" t="inlineStr">
        <is>
          <t>RO-03759</t>
        </is>
      </c>
      <c r="D69" s="3" t="inlineStr">
        <is>
          <t>BE_LOC_036</t>
        </is>
      </c>
      <c r="E69" s="3" t="inlineStr">
        <is>
          <t>BE_LOC_050</t>
        </is>
      </c>
      <c r="F69" s="3" t="inlineStr">
        <is>
          <t>Courier</t>
        </is>
      </c>
      <c r="G69" s="3" t="inlineStr">
        <is>
          <t>Yes</t>
        </is>
      </c>
      <c r="H69" s="3" t="n">
        <v>600</v>
      </c>
      <c r="I69" s="3" t="n">
        <v>1</v>
      </c>
      <c r="J69" s="3" t="b">
        <v>0</v>
      </c>
      <c r="K69" s="3" t="n">
        <v>3</v>
      </c>
      <c r="L69" s="3" t="n">
        <v>3</v>
      </c>
      <c r="M69" s="3" t="n">
        <v>717</v>
      </c>
      <c r="N69" s="3" t="n">
        <v>1.1</v>
      </c>
      <c r="O69" s="3" t="n">
        <v>186</v>
      </c>
    </row>
    <row r="70">
      <c r="A70" s="3" t="inlineStr">
        <is>
          <t>Normal</t>
        </is>
      </c>
      <c r="B70" s="3" t="inlineStr">
        <is>
          <t>SIM-00170</t>
        </is>
      </c>
      <c r="C70" s="3" t="inlineStr">
        <is>
          <t>RO-02548</t>
        </is>
      </c>
      <c r="D70" s="3" t="inlineStr">
        <is>
          <t>SIFO_ALT_84</t>
        </is>
      </c>
      <c r="E70" s="3" t="inlineStr">
        <is>
          <t>OSAT_ALT_84</t>
        </is>
      </c>
      <c r="F70" s="3" t="inlineStr">
        <is>
          <t>Road</t>
        </is>
      </c>
      <c r="G70" s="3" t="inlineStr">
        <is>
          <t>No</t>
        </is>
      </c>
      <c r="H70" s="3" t="n">
        <v>800</v>
      </c>
      <c r="I70" s="3" t="n">
        <v>1</v>
      </c>
      <c r="J70" s="3" t="b">
        <v>0</v>
      </c>
      <c r="K70" s="3" t="n">
        <v>5</v>
      </c>
      <c r="L70" s="3" t="n">
        <v>5</v>
      </c>
      <c r="M70" s="3" t="n">
        <v>292</v>
      </c>
      <c r="N70" s="3" t="n">
        <v>2.3</v>
      </c>
      <c r="O70" s="3" t="n">
        <v>126</v>
      </c>
    </row>
    <row r="71">
      <c r="A71" s="3" t="inlineStr">
        <is>
          <t>Normal</t>
        </is>
      </c>
      <c r="B71" s="3" t="inlineStr">
        <is>
          <t>SIM-00173</t>
        </is>
      </c>
      <c r="C71" s="3" t="inlineStr">
        <is>
          <t>RO-03763</t>
        </is>
      </c>
      <c r="D71" s="3" t="inlineStr">
        <is>
          <t>BE_LOC_061</t>
        </is>
      </c>
      <c r="E71" s="3" t="inlineStr">
        <is>
          <t>OSAT_LOC_005</t>
        </is>
      </c>
      <c r="F71" s="3" t="inlineStr">
        <is>
          <t>Air</t>
        </is>
      </c>
      <c r="G71" s="3" t="inlineStr">
        <is>
          <t>Yes</t>
        </is>
      </c>
      <c r="H71" s="3" t="n">
        <v>1100</v>
      </c>
      <c r="I71" s="3" t="n">
        <v>1</v>
      </c>
      <c r="J71" s="3" t="b">
        <v>0</v>
      </c>
      <c r="K71" s="3" t="n">
        <v>3</v>
      </c>
      <c r="L71" s="3" t="n">
        <v>3</v>
      </c>
      <c r="M71" s="3" t="n">
        <v>497</v>
      </c>
      <c r="N71" s="3" t="n">
        <v>1.2</v>
      </c>
      <c r="O71" s="3" t="n">
        <v>210</v>
      </c>
    </row>
    <row r="72">
      <c r="A72" s="3" t="inlineStr">
        <is>
          <t>Normal</t>
        </is>
      </c>
      <c r="B72" s="3" t="inlineStr">
        <is>
          <t>SIM-00174</t>
        </is>
      </c>
      <c r="C72" s="3" t="inlineStr">
        <is>
          <t>RO-03764</t>
        </is>
      </c>
      <c r="D72" s="3" t="inlineStr">
        <is>
          <t>OSAT_LOC_066</t>
        </is>
      </c>
      <c r="E72" s="3" t="inlineStr">
        <is>
          <t>BE_LOC_012</t>
        </is>
      </c>
      <c r="F72" s="3" t="inlineStr">
        <is>
          <t>Ocean</t>
        </is>
      </c>
      <c r="G72" s="3" t="inlineStr">
        <is>
          <t>Yes</t>
        </is>
      </c>
      <c r="H72" s="3" t="n">
        <v>1200</v>
      </c>
      <c r="I72" s="3" t="n">
        <v>1</v>
      </c>
      <c r="J72" s="3" t="b">
        <v>0</v>
      </c>
      <c r="K72" s="3" t="n">
        <v>11</v>
      </c>
      <c r="L72" s="3" t="n">
        <v>11</v>
      </c>
      <c r="M72" s="3" t="n">
        <v>169</v>
      </c>
      <c r="N72" s="3" t="n">
        <v>2.8</v>
      </c>
      <c r="O72" s="3" t="n">
        <v>137</v>
      </c>
    </row>
    <row r="73">
      <c r="A73" s="3" t="inlineStr">
        <is>
          <t>Normal</t>
        </is>
      </c>
      <c r="B73" s="3" t="inlineStr">
        <is>
          <t>SIM-00176</t>
        </is>
      </c>
      <c r="C73" s="3" t="inlineStr">
        <is>
          <t>RO-01912</t>
        </is>
      </c>
      <c r="D73" s="3" t="inlineStr">
        <is>
          <t>SIFO_ALT_40</t>
        </is>
      </c>
      <c r="E73" s="3" t="inlineStr">
        <is>
          <t>FE_ALT_40</t>
        </is>
      </c>
      <c r="F73" s="3" t="inlineStr">
        <is>
          <t>Courier</t>
        </is>
      </c>
      <c r="G73" s="3" t="inlineStr">
        <is>
          <t>No</t>
        </is>
      </c>
      <c r="H73" s="3" t="n">
        <v>1400</v>
      </c>
      <c r="I73" s="3" t="n">
        <v>1</v>
      </c>
      <c r="J73" s="3" t="b">
        <v>0</v>
      </c>
      <c r="K73" s="3" t="n">
        <v>4</v>
      </c>
      <c r="L73" s="3" t="n">
        <v>4</v>
      </c>
      <c r="M73" s="3" t="n">
        <v>328</v>
      </c>
      <c r="N73" s="3" t="n">
        <v>2.3</v>
      </c>
      <c r="O73" s="3" t="n">
        <v>104</v>
      </c>
    </row>
    <row r="74">
      <c r="A74" s="3" t="inlineStr">
        <is>
          <t>Normal</t>
        </is>
      </c>
      <c r="B74" s="3" t="inlineStr">
        <is>
          <t>SIM-00180</t>
        </is>
      </c>
      <c r="C74" s="3" t="inlineStr">
        <is>
          <t>RO-02578</t>
        </is>
      </c>
      <c r="D74" s="3" t="inlineStr">
        <is>
          <t>SIFO_ALT_86</t>
        </is>
      </c>
      <c r="E74" s="3" t="inlineStr">
        <is>
          <t>OSAT_ALT_86</t>
        </is>
      </c>
      <c r="F74" s="3" t="inlineStr">
        <is>
          <t>Courier</t>
        </is>
      </c>
      <c r="G74" s="3" t="inlineStr">
        <is>
          <t>No</t>
        </is>
      </c>
      <c r="H74" s="3" t="n">
        <v>54000</v>
      </c>
      <c r="I74" s="3" t="n">
        <v>11</v>
      </c>
      <c r="J74" s="3" t="b">
        <v>1</v>
      </c>
      <c r="K74" s="3" t="n">
        <v>2</v>
      </c>
      <c r="L74" s="3" t="n">
        <v>72</v>
      </c>
      <c r="M74" s="3" t="n">
        <v>748</v>
      </c>
      <c r="N74" s="3" t="n">
        <v>1.5</v>
      </c>
      <c r="O74" s="3" t="n">
        <v>160</v>
      </c>
    </row>
    <row r="75">
      <c r="A75" s="3" t="inlineStr">
        <is>
          <t>Normal</t>
        </is>
      </c>
      <c r="B75" s="3" t="inlineStr">
        <is>
          <t>SIM-00183</t>
        </is>
      </c>
      <c r="C75" s="3" t="inlineStr">
        <is>
          <t>RO-02134</t>
        </is>
      </c>
      <c r="D75" s="3" t="inlineStr">
        <is>
          <t>BE_ALT_54</t>
        </is>
      </c>
      <c r="E75" s="3" t="inlineStr">
        <is>
          <t>OSAT_ALT_54</t>
        </is>
      </c>
      <c r="F75" s="3" t="inlineStr">
        <is>
          <t>Ocean</t>
        </is>
      </c>
      <c r="G75" s="3" t="inlineStr">
        <is>
          <t>No</t>
        </is>
      </c>
      <c r="H75" s="3" t="n">
        <v>1500</v>
      </c>
      <c r="I75" s="3" t="n">
        <v>1</v>
      </c>
      <c r="J75" s="3" t="b">
        <v>0</v>
      </c>
      <c r="K75" s="3" t="n">
        <v>3</v>
      </c>
      <c r="L75" s="3" t="n">
        <v>3</v>
      </c>
      <c r="M75" s="3" t="n">
        <v>712</v>
      </c>
      <c r="N75" s="3" t="n">
        <v>1.5</v>
      </c>
      <c r="O75" s="3" t="n">
        <v>182</v>
      </c>
    </row>
    <row r="76">
      <c r="A76" s="3" t="inlineStr">
        <is>
          <t>Normal</t>
        </is>
      </c>
      <c r="B76" s="3" t="inlineStr">
        <is>
          <t>SIM-00184</t>
        </is>
      </c>
      <c r="C76" s="3" t="inlineStr">
        <is>
          <t>RO-03701</t>
        </is>
      </c>
      <c r="D76" s="3" t="inlineStr">
        <is>
          <t>OSAT_LOC_036</t>
        </is>
      </c>
      <c r="E76" s="3" t="inlineStr">
        <is>
          <t>BE_LOC_002</t>
        </is>
      </c>
      <c r="F76" s="3" t="inlineStr">
        <is>
          <t>Air</t>
        </is>
      </c>
      <c r="G76" s="3" t="inlineStr">
        <is>
          <t>Yes</t>
        </is>
      </c>
      <c r="H76" s="3" t="n">
        <v>400</v>
      </c>
      <c r="I76" s="3" t="n">
        <v>1</v>
      </c>
      <c r="J76" s="3" t="b">
        <v>0</v>
      </c>
      <c r="K76" s="3" t="n">
        <v>2</v>
      </c>
      <c r="L76" s="3" t="n">
        <v>2</v>
      </c>
      <c r="M76" s="3" t="n">
        <v>509</v>
      </c>
      <c r="N76" s="3" t="n">
        <v>1.8</v>
      </c>
      <c r="O76" s="3" t="n">
        <v>212</v>
      </c>
    </row>
    <row r="77">
      <c r="A77" s="3" t="inlineStr">
        <is>
          <t>Normal</t>
        </is>
      </c>
      <c r="B77" s="3" t="inlineStr">
        <is>
          <t>SIM-00185</t>
        </is>
      </c>
      <c r="C77" s="3" t="inlineStr">
        <is>
          <t>RO-03772</t>
        </is>
      </c>
      <c r="D77" s="3" t="inlineStr">
        <is>
          <t>BE_LOC_041</t>
        </is>
      </c>
      <c r="E77" s="3" t="inlineStr">
        <is>
          <t>SIFO_LOC_009</t>
        </is>
      </c>
      <c r="F77" s="3" t="inlineStr">
        <is>
          <t>Air</t>
        </is>
      </c>
      <c r="G77" s="3" t="inlineStr">
        <is>
          <t>Yes</t>
        </is>
      </c>
      <c r="H77" s="3" t="n">
        <v>2500</v>
      </c>
      <c r="I77" s="3" t="n">
        <v>1</v>
      </c>
      <c r="J77" s="3" t="b">
        <v>0</v>
      </c>
      <c r="K77" s="3" t="n">
        <v>2</v>
      </c>
      <c r="L77" s="3" t="n">
        <v>2</v>
      </c>
      <c r="M77" s="3" t="n">
        <v>497</v>
      </c>
      <c r="N77" s="3" t="n">
        <v>1.7</v>
      </c>
      <c r="O77" s="3" t="n">
        <v>208</v>
      </c>
    </row>
    <row r="78">
      <c r="A78" s="3" t="inlineStr">
        <is>
          <t>Normal</t>
        </is>
      </c>
      <c r="B78" s="3" t="inlineStr">
        <is>
          <t>SIM-00189</t>
        </is>
      </c>
      <c r="C78" s="3" t="inlineStr">
        <is>
          <t>RO-02953</t>
        </is>
      </c>
      <c r="D78" s="3" t="inlineStr">
        <is>
          <t>OSAT_ALT_21</t>
        </is>
      </c>
      <c r="E78" s="3" t="inlineStr">
        <is>
          <t>OSAT_ALT_21</t>
        </is>
      </c>
      <c r="F78" s="3" t="inlineStr">
        <is>
          <t>Road</t>
        </is>
      </c>
      <c r="G78" s="3" t="inlineStr">
        <is>
          <t>No</t>
        </is>
      </c>
      <c r="H78" s="3" t="n">
        <v>900</v>
      </c>
      <c r="I78" s="3" t="n">
        <v>1</v>
      </c>
      <c r="J78" s="3" t="b">
        <v>0</v>
      </c>
      <c r="K78" s="3" t="n">
        <v>3</v>
      </c>
      <c r="L78" s="3" t="n">
        <v>3</v>
      </c>
      <c r="M78" s="3" t="n">
        <v>552</v>
      </c>
      <c r="N78" s="3" t="n">
        <v>1.5</v>
      </c>
      <c r="O78" s="3" t="n">
        <v>202</v>
      </c>
    </row>
    <row r="79">
      <c r="A79" s="3" t="inlineStr">
        <is>
          <t>Normal</t>
        </is>
      </c>
      <c r="B79" s="3" t="inlineStr">
        <is>
          <t>SIM-00192</t>
        </is>
      </c>
      <c r="C79" s="3" t="inlineStr">
        <is>
          <t>RO-00226</t>
        </is>
      </c>
      <c r="D79" s="3" t="inlineStr">
        <is>
          <t>SIFO_ALT_16</t>
        </is>
      </c>
      <c r="E79" s="3" t="inlineStr">
        <is>
          <t>BE_ALT_16</t>
        </is>
      </c>
      <c r="F79" s="3" t="inlineStr">
        <is>
          <t>Courier</t>
        </is>
      </c>
      <c r="G79" s="3" t="inlineStr">
        <is>
          <t>No</t>
        </is>
      </c>
      <c r="H79" s="3" t="n">
        <v>1200</v>
      </c>
      <c r="I79" s="3" t="n">
        <v>1</v>
      </c>
      <c r="J79" s="3" t="b">
        <v>0</v>
      </c>
      <c r="K79" s="3" t="n">
        <v>1</v>
      </c>
      <c r="L79" s="3" t="n">
        <v>1</v>
      </c>
      <c r="M79" s="3" t="n">
        <v>712</v>
      </c>
      <c r="N79" s="3" t="n">
        <v>1.5</v>
      </c>
      <c r="O79" s="3" t="n">
        <v>154</v>
      </c>
    </row>
    <row r="80">
      <c r="A80" s="3" t="inlineStr">
        <is>
          <t>Normal</t>
        </is>
      </c>
      <c r="B80" s="3" t="inlineStr">
        <is>
          <t>SIM-00196</t>
        </is>
      </c>
      <c r="C80" s="3" t="inlineStr">
        <is>
          <t>RO-02452</t>
        </is>
      </c>
      <c r="D80" s="3" t="inlineStr">
        <is>
          <t>SIFO_ALT_76</t>
        </is>
      </c>
      <c r="E80" s="3" t="inlineStr">
        <is>
          <t>FE_ALT_76</t>
        </is>
      </c>
      <c r="F80" s="3" t="inlineStr">
        <is>
          <t>Courier</t>
        </is>
      </c>
      <c r="G80" s="3" t="inlineStr">
        <is>
          <t>No</t>
        </is>
      </c>
      <c r="H80" s="3" t="n">
        <v>1600</v>
      </c>
      <c r="I80" s="3" t="n">
        <v>1</v>
      </c>
      <c r="J80" s="3" t="b">
        <v>0</v>
      </c>
      <c r="K80" s="3" t="n">
        <v>4</v>
      </c>
      <c r="L80" s="3" t="n">
        <v>4</v>
      </c>
      <c r="M80" s="3" t="n">
        <v>328</v>
      </c>
      <c r="N80" s="3" t="n">
        <v>2.3</v>
      </c>
      <c r="O80" s="3" t="n">
        <v>120</v>
      </c>
    </row>
    <row r="81">
      <c r="A81" s="3" t="inlineStr">
        <is>
          <t>Normal</t>
        </is>
      </c>
      <c r="B81" s="3" t="inlineStr">
        <is>
          <t>SIM-00200</t>
        </is>
      </c>
      <c r="C81" s="3" t="inlineStr">
        <is>
          <t>RO-03786</t>
        </is>
      </c>
      <c r="D81" s="3" t="inlineStr">
        <is>
          <t>SIFO_LOC_036</t>
        </is>
      </c>
      <c r="E81" s="3" t="inlineStr">
        <is>
          <t>OSAT_LOC_034</t>
        </is>
      </c>
      <c r="F81" s="3" t="inlineStr">
        <is>
          <t>Courier</t>
        </is>
      </c>
      <c r="G81" s="3" t="inlineStr">
        <is>
          <t>Yes</t>
        </is>
      </c>
      <c r="H81" s="3" t="n">
        <v>200</v>
      </c>
      <c r="I81" s="3" t="n">
        <v>1</v>
      </c>
      <c r="J81" s="3" t="b">
        <v>0</v>
      </c>
      <c r="K81" s="3" t="n">
        <v>1</v>
      </c>
      <c r="L81" s="3" t="n">
        <v>1</v>
      </c>
      <c r="M81" s="3" t="n">
        <v>717</v>
      </c>
      <c r="N81" s="3" t="n">
        <v>0.6</v>
      </c>
      <c r="O81" s="3" t="n">
        <v>154</v>
      </c>
    </row>
    <row r="82">
      <c r="A82" s="3" t="inlineStr">
        <is>
          <t>Normal</t>
        </is>
      </c>
      <c r="B82" s="3" t="inlineStr">
        <is>
          <t>SIM-00201</t>
        </is>
      </c>
      <c r="C82" s="3" t="inlineStr">
        <is>
          <t>RO-03787</t>
        </is>
      </c>
      <c r="D82" s="3" t="inlineStr">
        <is>
          <t>FE_LOC_041</t>
        </is>
      </c>
      <c r="E82" s="3" t="inlineStr">
        <is>
          <t>SIFO_LOC_041</t>
        </is>
      </c>
      <c r="F82" s="3" t="inlineStr">
        <is>
          <t>Air</t>
        </is>
      </c>
      <c r="G82" s="3" t="inlineStr">
        <is>
          <t>Yes</t>
        </is>
      </c>
      <c r="H82" s="3" t="n">
        <v>300</v>
      </c>
      <c r="I82" s="3" t="n">
        <v>1</v>
      </c>
      <c r="J82" s="3" t="b">
        <v>0</v>
      </c>
      <c r="K82" s="3" t="n">
        <v>2</v>
      </c>
      <c r="L82" s="3" t="n">
        <v>2</v>
      </c>
      <c r="M82" s="3" t="n">
        <v>569</v>
      </c>
      <c r="N82" s="3" t="n">
        <v>1.2</v>
      </c>
      <c r="O82" s="3" t="n">
        <v>204</v>
      </c>
    </row>
    <row r="83">
      <c r="A83" s="3" t="inlineStr">
        <is>
          <t>Normal</t>
        </is>
      </c>
      <c r="B83" s="3" t="inlineStr">
        <is>
          <t>SIM-00202</t>
        </is>
      </c>
      <c r="C83" s="3" t="inlineStr">
        <is>
          <t>RO-03642</t>
        </is>
      </c>
      <c r="D83" s="3" t="inlineStr">
        <is>
          <t>SIFO_LOC_046</t>
        </is>
      </c>
      <c r="E83" s="3" t="inlineStr">
        <is>
          <t>BE_LOC_048</t>
        </is>
      </c>
      <c r="F83" s="3" t="inlineStr">
        <is>
          <t>Road</t>
        </is>
      </c>
      <c r="G83" s="3" t="inlineStr">
        <is>
          <t>Yes</t>
        </is>
      </c>
      <c r="H83" s="3" t="n">
        <v>120000</v>
      </c>
      <c r="I83" s="3" t="n">
        <v>9</v>
      </c>
      <c r="J83" s="3" t="b">
        <v>1</v>
      </c>
      <c r="K83" s="3" t="n">
        <v>4</v>
      </c>
      <c r="L83" s="3" t="n">
        <v>60</v>
      </c>
      <c r="M83" s="3" t="n">
        <v>297</v>
      </c>
      <c r="N83" s="3" t="n">
        <v>1.4</v>
      </c>
      <c r="O83" s="3" t="n">
        <v>112</v>
      </c>
    </row>
    <row r="84">
      <c r="A84" s="3" t="inlineStr">
        <is>
          <t>Normal</t>
        </is>
      </c>
      <c r="B84" s="3" t="inlineStr">
        <is>
          <t>SIM-00203</t>
        </is>
      </c>
      <c r="C84" s="3" t="inlineStr">
        <is>
          <t>RO-03643</t>
        </is>
      </c>
      <c r="D84" s="3" t="inlineStr">
        <is>
          <t>BE_LOC_051</t>
        </is>
      </c>
      <c r="E84" s="3" t="inlineStr">
        <is>
          <t>OSAT_LOC_055</t>
        </is>
      </c>
      <c r="F84" s="3" t="inlineStr">
        <is>
          <t>Ocean</t>
        </is>
      </c>
      <c r="G84" s="3" t="inlineStr">
        <is>
          <t>Yes</t>
        </is>
      </c>
      <c r="H84" s="3" t="n">
        <v>150000</v>
      </c>
      <c r="I84" s="3" t="n">
        <v>9</v>
      </c>
      <c r="J84" s="3" t="b">
        <v>1</v>
      </c>
      <c r="K84" s="3" t="n">
        <v>10</v>
      </c>
      <c r="L84" s="3" t="n">
        <v>66</v>
      </c>
      <c r="M84" s="3" t="n">
        <v>229</v>
      </c>
      <c r="N84" s="3" t="n">
        <v>2.6</v>
      </c>
      <c r="O84" s="3" t="n">
        <v>127</v>
      </c>
    </row>
    <row r="85">
      <c r="A85" s="3" t="inlineStr">
        <is>
          <t>Normal</t>
        </is>
      </c>
      <c r="B85" s="3" t="inlineStr">
        <is>
          <t>SIM-00205</t>
        </is>
      </c>
      <c r="C85" s="3" t="inlineStr">
        <is>
          <t>RO-03645</t>
        </is>
      </c>
      <c r="D85" s="3" t="inlineStr">
        <is>
          <t>BE_LOC_061</t>
        </is>
      </c>
      <c r="E85" s="3" t="inlineStr">
        <is>
          <t>SIFO_LOC_069</t>
        </is>
      </c>
      <c r="F85" s="3" t="inlineStr">
        <is>
          <t>Air</t>
        </is>
      </c>
      <c r="G85" s="3" t="inlineStr">
        <is>
          <t>Yes</t>
        </is>
      </c>
      <c r="H85" s="3" t="n">
        <v>700</v>
      </c>
      <c r="I85" s="3" t="n">
        <v>1</v>
      </c>
      <c r="J85" s="3" t="b">
        <v>0</v>
      </c>
      <c r="K85" s="3" t="n">
        <v>2</v>
      </c>
      <c r="L85" s="3" t="n">
        <v>2</v>
      </c>
      <c r="M85" s="3" t="n">
        <v>485</v>
      </c>
      <c r="N85" s="3" t="n">
        <v>1.5</v>
      </c>
      <c r="O85" s="3" t="n">
        <v>212</v>
      </c>
    </row>
    <row r="86">
      <c r="A86" s="3" t="inlineStr">
        <is>
          <t>Normal</t>
        </is>
      </c>
      <c r="B86" s="3" t="inlineStr">
        <is>
          <t>SIM-00209</t>
        </is>
      </c>
      <c r="C86" s="3" t="inlineStr">
        <is>
          <t>RO-03133</t>
        </is>
      </c>
      <c r="D86" s="3" t="inlineStr">
        <is>
          <t>OSAT_ALT_33</t>
        </is>
      </c>
      <c r="E86" s="3" t="inlineStr">
        <is>
          <t>OSAT_ALT_33</t>
        </is>
      </c>
      <c r="F86" s="3" t="inlineStr">
        <is>
          <t>Road</t>
        </is>
      </c>
      <c r="G86" s="3" t="inlineStr">
        <is>
          <t>No</t>
        </is>
      </c>
      <c r="H86" s="3" t="n">
        <v>33000</v>
      </c>
      <c r="I86" s="3" t="n">
        <v>7</v>
      </c>
      <c r="J86" s="3" t="b">
        <v>1</v>
      </c>
      <c r="K86" s="3" t="n">
        <v>3</v>
      </c>
      <c r="L86" s="3" t="n">
        <v>45</v>
      </c>
      <c r="M86" s="3" t="n">
        <v>552</v>
      </c>
      <c r="N86" s="3" t="n">
        <v>1.5</v>
      </c>
      <c r="O86" s="3" t="n">
        <v>218</v>
      </c>
    </row>
    <row r="87">
      <c r="A87" s="3" t="inlineStr">
        <is>
          <t>Normal</t>
        </is>
      </c>
      <c r="B87" s="3" t="inlineStr">
        <is>
          <t>SIM-00212</t>
        </is>
      </c>
      <c r="C87" s="3" t="inlineStr">
        <is>
          <t>RO-03791</t>
        </is>
      </c>
      <c r="D87" s="3" t="inlineStr">
        <is>
          <t>SIFO_LOC_016</t>
        </is>
      </c>
      <c r="E87" s="3" t="inlineStr">
        <is>
          <t>BE_LOC_038</t>
        </is>
      </c>
      <c r="F87" s="3" t="inlineStr">
        <is>
          <t>Courier</t>
        </is>
      </c>
      <c r="G87" s="3" t="inlineStr">
        <is>
          <t>Yes</t>
        </is>
      </c>
      <c r="H87" s="3" t="n">
        <v>1400</v>
      </c>
      <c r="I87" s="3" t="n">
        <v>1</v>
      </c>
      <c r="J87" s="3" t="b">
        <v>0</v>
      </c>
      <c r="K87" s="3" t="n">
        <v>1</v>
      </c>
      <c r="L87" s="3" t="n">
        <v>1</v>
      </c>
      <c r="M87" s="3" t="n">
        <v>669</v>
      </c>
      <c r="N87" s="3" t="n">
        <v>1.4</v>
      </c>
      <c r="O87" s="3" t="n">
        <v>174</v>
      </c>
    </row>
    <row r="88">
      <c r="A88" s="3" t="inlineStr">
        <is>
          <t>Normal</t>
        </is>
      </c>
      <c r="B88" s="3" t="inlineStr">
        <is>
          <t>SIM-00217</t>
        </is>
      </c>
      <c r="C88" s="3" t="inlineStr">
        <is>
          <t>RO-03250</t>
        </is>
      </c>
      <c r="D88" s="3" t="inlineStr">
        <is>
          <t>FE_ALT_40</t>
        </is>
      </c>
      <c r="E88" s="3" t="inlineStr">
        <is>
          <t>BE_ALT_40</t>
        </is>
      </c>
      <c r="F88" s="3" t="inlineStr">
        <is>
          <t>Air</t>
        </is>
      </c>
      <c r="G88" s="3" t="inlineStr">
        <is>
          <t>No</t>
        </is>
      </c>
      <c r="H88" s="3" t="n">
        <v>100</v>
      </c>
      <c r="I88" s="3" t="n">
        <v>1</v>
      </c>
      <c r="J88" s="3" t="b">
        <v>0</v>
      </c>
      <c r="K88" s="3" t="n">
        <v>1</v>
      </c>
      <c r="L88" s="3" t="n">
        <v>1</v>
      </c>
      <c r="M88" s="3" t="n">
        <v>712</v>
      </c>
      <c r="N88" s="3" t="n">
        <v>1.5</v>
      </c>
      <c r="O88" s="3" t="n">
        <v>154</v>
      </c>
    </row>
    <row r="89">
      <c r="A89" s="3" t="inlineStr">
        <is>
          <t>Normal</t>
        </is>
      </c>
      <c r="B89" s="3" t="inlineStr">
        <is>
          <t>SIM-00218</t>
        </is>
      </c>
      <c r="C89" s="3" t="inlineStr">
        <is>
          <t>RO-01585</t>
        </is>
      </c>
      <c r="D89" s="3" t="inlineStr">
        <is>
          <t>BE_ALT_19</t>
        </is>
      </c>
      <c r="E89" s="3" t="inlineStr">
        <is>
          <t>BE_ALT_19</t>
        </is>
      </c>
      <c r="F89" s="3" t="inlineStr">
        <is>
          <t>Road</t>
        </is>
      </c>
      <c r="G89" s="3" t="inlineStr">
        <is>
          <t>No</t>
        </is>
      </c>
      <c r="H89" s="3" t="n">
        <v>200</v>
      </c>
      <c r="I89" s="3" t="n">
        <v>1</v>
      </c>
      <c r="J89" s="3" t="b">
        <v>0</v>
      </c>
      <c r="K89" s="3" t="n">
        <v>2</v>
      </c>
      <c r="L89" s="3" t="n">
        <v>2</v>
      </c>
      <c r="M89" s="3" t="n">
        <v>552</v>
      </c>
      <c r="N89" s="3" t="n">
        <v>1.5</v>
      </c>
      <c r="O89" s="3" t="n">
        <v>196</v>
      </c>
    </row>
    <row r="90">
      <c r="A90" s="3" t="inlineStr">
        <is>
          <t>Normal</t>
        </is>
      </c>
      <c r="B90" s="3" t="inlineStr">
        <is>
          <t>SIM-00219</t>
        </is>
      </c>
      <c r="C90" s="3" t="inlineStr">
        <is>
          <t>RO-01243</t>
        </is>
      </c>
      <c r="D90" s="3" t="inlineStr">
        <is>
          <t>OSAT_ALT_87</t>
        </is>
      </c>
      <c r="E90" s="3" t="inlineStr">
        <is>
          <t>OSAT_ALT_87</t>
        </is>
      </c>
      <c r="F90" s="3" t="inlineStr">
        <is>
          <t>Courier</t>
        </is>
      </c>
      <c r="G90" s="3" t="inlineStr">
        <is>
          <t>No</t>
        </is>
      </c>
      <c r="H90" s="3" t="n">
        <v>30000</v>
      </c>
      <c r="I90" s="3" t="n">
        <v>4</v>
      </c>
      <c r="J90" s="3" t="b">
        <v>1</v>
      </c>
      <c r="K90" s="3" t="n">
        <v>10</v>
      </c>
      <c r="L90" s="3" t="n">
        <v>31</v>
      </c>
      <c r="M90" s="3" t="n">
        <v>212</v>
      </c>
      <c r="N90" s="3" t="n">
        <v>2.9</v>
      </c>
      <c r="O90" s="3" t="n">
        <v>127</v>
      </c>
    </row>
    <row r="91">
      <c r="A91" s="3" t="inlineStr">
        <is>
          <t>Normal</t>
        </is>
      </c>
      <c r="B91" s="3" t="inlineStr">
        <is>
          <t>SIM-00222</t>
        </is>
      </c>
      <c r="C91" s="3" t="inlineStr">
        <is>
          <t>RO-03801</t>
        </is>
      </c>
      <c r="D91" s="3" t="inlineStr">
        <is>
          <t>SIFO_LOC_066</t>
        </is>
      </c>
      <c r="E91" s="3" t="inlineStr">
        <is>
          <t>BE_LOC_028</t>
        </is>
      </c>
      <c r="F91" s="3" t="inlineStr">
        <is>
          <t>Road</t>
        </is>
      </c>
      <c r="G91" s="3" t="inlineStr">
        <is>
          <t>Yes</t>
        </is>
      </c>
      <c r="H91" s="3" t="n">
        <v>600</v>
      </c>
      <c r="I91" s="3" t="n">
        <v>1</v>
      </c>
      <c r="J91" s="3" t="b">
        <v>0</v>
      </c>
      <c r="K91" s="3" t="n">
        <v>4</v>
      </c>
      <c r="L91" s="3" t="n">
        <v>4</v>
      </c>
      <c r="M91" s="3" t="n">
        <v>261</v>
      </c>
      <c r="N91" s="3" t="n">
        <v>1.9</v>
      </c>
      <c r="O91" s="3" t="n">
        <v>108</v>
      </c>
    </row>
    <row r="92">
      <c r="A92" s="3" t="inlineStr">
        <is>
          <t>Normal</t>
        </is>
      </c>
      <c r="B92" s="3" t="inlineStr">
        <is>
          <t>SIM-00223</t>
        </is>
      </c>
      <c r="C92" s="3" t="inlineStr">
        <is>
          <t>RO-03802</t>
        </is>
      </c>
      <c r="D92" s="3" t="inlineStr">
        <is>
          <t>BE_LOC_071</t>
        </is>
      </c>
      <c r="E92" s="3" t="inlineStr">
        <is>
          <t>OSAT_LOC_035</t>
        </is>
      </c>
      <c r="F92" s="3" t="inlineStr">
        <is>
          <t>Ocean</t>
        </is>
      </c>
      <c r="G92" s="3" t="inlineStr">
        <is>
          <t>Yes</t>
        </is>
      </c>
      <c r="H92" s="3" t="n">
        <v>70000</v>
      </c>
      <c r="I92" s="3" t="n">
        <v>9</v>
      </c>
      <c r="J92" s="3" t="b">
        <v>1</v>
      </c>
      <c r="K92" s="3" t="n">
        <v>9</v>
      </c>
      <c r="L92" s="3" t="n">
        <v>65</v>
      </c>
      <c r="M92" s="3" t="n">
        <v>193</v>
      </c>
      <c r="N92" s="3" t="n">
        <v>3</v>
      </c>
      <c r="O92" s="3" t="n">
        <v>117</v>
      </c>
    </row>
    <row r="93">
      <c r="A93" s="3" t="inlineStr">
        <is>
          <t>Normal</t>
        </is>
      </c>
      <c r="B93" s="3" t="inlineStr">
        <is>
          <t>SIM-00230</t>
        </is>
      </c>
      <c r="C93" s="3" t="inlineStr">
        <is>
          <t>RO-03448</t>
        </is>
      </c>
      <c r="D93" s="3" t="inlineStr">
        <is>
          <t>SIFO_ALT_54</t>
        </is>
      </c>
      <c r="E93" s="3" t="inlineStr">
        <is>
          <t>OSAT_ALT_54</t>
        </is>
      </c>
      <c r="F93" s="3" t="inlineStr">
        <is>
          <t>Road</t>
        </is>
      </c>
      <c r="G93" s="3" t="inlineStr">
        <is>
          <t>No</t>
        </is>
      </c>
      <c r="H93" s="3" t="n">
        <v>1400</v>
      </c>
      <c r="I93" s="3" t="n">
        <v>1</v>
      </c>
      <c r="J93" s="3" t="b">
        <v>0</v>
      </c>
      <c r="K93" s="3" t="n">
        <v>5</v>
      </c>
      <c r="L93" s="3" t="n">
        <v>5</v>
      </c>
      <c r="M93" s="3" t="n">
        <v>292</v>
      </c>
      <c r="N93" s="3" t="n">
        <v>2.3</v>
      </c>
      <c r="O93" s="3" t="n">
        <v>110</v>
      </c>
    </row>
    <row r="94">
      <c r="A94" s="3" t="inlineStr">
        <is>
          <t>Normal</t>
        </is>
      </c>
      <c r="B94" s="3" t="inlineStr">
        <is>
          <t>SIM-00232</t>
        </is>
      </c>
      <c r="C94" s="3" t="inlineStr">
        <is>
          <t>RO-03811</t>
        </is>
      </c>
      <c r="D94" s="3" t="inlineStr">
        <is>
          <t>SIFO_LOC_036</t>
        </is>
      </c>
      <c r="E94" s="3" t="inlineStr">
        <is>
          <t>BE_LOC_018</t>
        </is>
      </c>
      <c r="F94" s="3" t="inlineStr">
        <is>
          <t>Courier</t>
        </is>
      </c>
      <c r="G94" s="3" t="inlineStr">
        <is>
          <t>Yes</t>
        </is>
      </c>
      <c r="H94" s="3" t="n">
        <v>1600</v>
      </c>
      <c r="I94" s="3" t="n">
        <v>1</v>
      </c>
      <c r="J94" s="3" t="b">
        <v>0</v>
      </c>
      <c r="K94" s="3" t="n">
        <v>1</v>
      </c>
      <c r="L94" s="3" t="n">
        <v>1</v>
      </c>
      <c r="M94" s="3" t="n">
        <v>693</v>
      </c>
      <c r="N94" s="3" t="n">
        <v>0.8</v>
      </c>
      <c r="O94" s="3" t="n">
        <v>158</v>
      </c>
    </row>
    <row r="95">
      <c r="A95" s="3" t="inlineStr">
        <is>
          <t>Normal</t>
        </is>
      </c>
      <c r="B95" s="3" t="inlineStr">
        <is>
          <t>SIM-00233</t>
        </is>
      </c>
      <c r="C95" s="3" t="inlineStr">
        <is>
          <t>RO-03484</t>
        </is>
      </c>
      <c r="D95" s="3" t="inlineStr">
        <is>
          <t>BE_ALT_54</t>
        </is>
      </c>
      <c r="E95" s="3" t="inlineStr">
        <is>
          <t>OSAT_ALT_54</t>
        </is>
      </c>
      <c r="F95" s="3" t="inlineStr">
        <is>
          <t>Air</t>
        </is>
      </c>
      <c r="G95" s="3" t="inlineStr">
        <is>
          <t>No</t>
        </is>
      </c>
      <c r="H95" s="3" t="n">
        <v>1700</v>
      </c>
      <c r="I95" s="3" t="n">
        <v>1</v>
      </c>
      <c r="J95" s="3" t="b">
        <v>0</v>
      </c>
      <c r="K95" s="3" t="n">
        <v>6</v>
      </c>
      <c r="L95" s="3" t="n">
        <v>6</v>
      </c>
      <c r="M95" s="3" t="n">
        <v>292</v>
      </c>
      <c r="N95" s="3" t="n">
        <v>2.3</v>
      </c>
      <c r="O95" s="3" t="n">
        <v>132</v>
      </c>
    </row>
    <row r="96">
      <c r="A96" s="3" t="inlineStr">
        <is>
          <t>Normal</t>
        </is>
      </c>
      <c r="B96" s="3" t="inlineStr">
        <is>
          <t>SIM-00237</t>
        </is>
      </c>
      <c r="C96" s="3" t="inlineStr">
        <is>
          <t>RO-01390</t>
        </is>
      </c>
      <c r="D96" s="3" t="inlineStr">
        <is>
          <t>FE_ALT_06</t>
        </is>
      </c>
      <c r="E96" s="3" t="inlineStr">
        <is>
          <t>BE_ALT_06</t>
        </is>
      </c>
      <c r="F96" s="3" t="inlineStr">
        <is>
          <t>Air</t>
        </is>
      </c>
      <c r="G96" s="3" t="inlineStr">
        <is>
          <t>No</t>
        </is>
      </c>
      <c r="H96" s="3" t="n">
        <v>300</v>
      </c>
      <c r="I96" s="3" t="n">
        <v>1</v>
      </c>
      <c r="J96" s="3" t="b">
        <v>0</v>
      </c>
      <c r="K96" s="3" t="n">
        <v>1</v>
      </c>
      <c r="L96" s="3" t="n">
        <v>1</v>
      </c>
      <c r="M96" s="3" t="n">
        <v>748</v>
      </c>
      <c r="N96" s="3" t="n">
        <v>1.5</v>
      </c>
      <c r="O96" s="3" t="n">
        <v>170</v>
      </c>
    </row>
    <row r="97">
      <c r="A97" s="3" t="inlineStr">
        <is>
          <t>Normal</t>
        </is>
      </c>
      <c r="B97" s="3" t="inlineStr">
        <is>
          <t>SIM-00238</t>
        </is>
      </c>
      <c r="C97" s="3" t="inlineStr">
        <is>
          <t>RO-03205</t>
        </is>
      </c>
      <c r="D97" s="3" t="inlineStr">
        <is>
          <t>BE_ALT_37</t>
        </is>
      </c>
      <c r="E97" s="3" t="inlineStr">
        <is>
          <t>BE_ALT_37</t>
        </is>
      </c>
      <c r="F97" s="3" t="inlineStr">
        <is>
          <t>Road</t>
        </is>
      </c>
      <c r="G97" s="3" t="inlineStr">
        <is>
          <t>No</t>
        </is>
      </c>
      <c r="H97" s="3" t="n">
        <v>40000</v>
      </c>
      <c r="I97" s="3" t="n">
        <v>6</v>
      </c>
      <c r="J97" s="3" t="b">
        <v>1</v>
      </c>
      <c r="K97" s="3" t="n">
        <v>2</v>
      </c>
      <c r="L97" s="3" t="n">
        <v>37</v>
      </c>
      <c r="M97" s="3" t="n">
        <v>552</v>
      </c>
      <c r="N97" s="3" t="n">
        <v>1.5</v>
      </c>
      <c r="O97" s="3" t="n">
        <v>212</v>
      </c>
    </row>
    <row r="98">
      <c r="A98" s="3" t="inlineStr">
        <is>
          <t>Normal</t>
        </is>
      </c>
      <c r="B98" s="3" t="inlineStr">
        <is>
          <t>SIM-00240</t>
        </is>
      </c>
      <c r="C98" s="3" t="inlineStr">
        <is>
          <t>RO-03358</t>
        </is>
      </c>
      <c r="D98" s="3" t="inlineStr">
        <is>
          <t>SIFO_ALT_48</t>
        </is>
      </c>
      <c r="E98" s="3" t="inlineStr">
        <is>
          <t>OSAT_ALT_48</t>
        </is>
      </c>
      <c r="F98" s="3" t="inlineStr">
        <is>
          <t>Courier</t>
        </is>
      </c>
      <c r="G98" s="3" t="inlineStr">
        <is>
          <t>No</t>
        </is>
      </c>
      <c r="H98" s="3" t="n">
        <v>600</v>
      </c>
      <c r="I98" s="3" t="n">
        <v>1</v>
      </c>
      <c r="J98" s="3" t="b">
        <v>0</v>
      </c>
      <c r="K98" s="3" t="n">
        <v>2</v>
      </c>
      <c r="L98" s="3" t="n">
        <v>2</v>
      </c>
      <c r="M98" s="3" t="n">
        <v>712</v>
      </c>
      <c r="N98" s="3" t="n">
        <v>1.5</v>
      </c>
      <c r="O98" s="3" t="n">
        <v>176</v>
      </c>
    </row>
    <row r="99">
      <c r="A99" s="3" t="inlineStr">
        <is>
          <t>PrimaryHubDown</t>
        </is>
      </c>
      <c r="B99" s="3" t="inlineStr">
        <is>
          <t>SIM-00001</t>
        </is>
      </c>
      <c r="C99" s="3" t="inlineStr">
        <is>
          <t>RO-00002</t>
        </is>
      </c>
      <c r="D99" s="3" t="inlineStr">
        <is>
          <t>FE_ALT_02</t>
        </is>
      </c>
      <c r="E99" s="3" t="inlineStr">
        <is>
          <t>SIFO_ALT_04</t>
        </is>
      </c>
      <c r="F99" s="3" t="inlineStr">
        <is>
          <t>Air</t>
        </is>
      </c>
      <c r="G99" s="3" t="inlineStr">
        <is>
          <t>No</t>
        </is>
      </c>
      <c r="H99" s="3" t="n">
        <v>850</v>
      </c>
      <c r="I99" s="3" t="n">
        <v>1</v>
      </c>
      <c r="J99" s="3" t="b">
        <v>0</v>
      </c>
      <c r="K99" s="3" t="n">
        <v>6</v>
      </c>
      <c r="L99" s="3" t="n">
        <v>6</v>
      </c>
      <c r="M99" s="3" t="n">
        <v>394</v>
      </c>
      <c r="N99" s="3" t="n">
        <v>3.2</v>
      </c>
      <c r="O99" s="3" t="n">
        <v>124</v>
      </c>
    </row>
    <row r="100">
      <c r="A100" s="3" t="inlineStr">
        <is>
          <t>PrimaryHubDown</t>
        </is>
      </c>
      <c r="B100" s="3" t="inlineStr">
        <is>
          <t>SIM-00002</t>
        </is>
      </c>
      <c r="C100" s="3" t="inlineStr">
        <is>
          <t>RO-00017</t>
        </is>
      </c>
      <c r="D100" s="3" t="inlineStr">
        <is>
          <t>SIFO_ALT_03</t>
        </is>
      </c>
      <c r="E100" s="3" t="inlineStr">
        <is>
          <t>BE_ALT_05</t>
        </is>
      </c>
      <c r="F100" s="3" t="inlineStr">
        <is>
          <t>Road</t>
        </is>
      </c>
      <c r="G100" s="3" t="inlineStr">
        <is>
          <t>No</t>
        </is>
      </c>
      <c r="H100" s="3" t="n">
        <v>200</v>
      </c>
      <c r="I100" s="3" t="n">
        <v>1</v>
      </c>
      <c r="J100" s="3" t="b">
        <v>0</v>
      </c>
      <c r="K100" s="3" t="n">
        <v>11</v>
      </c>
      <c r="L100" s="3" t="n">
        <v>11</v>
      </c>
      <c r="M100" s="3" t="n">
        <v>386</v>
      </c>
      <c r="N100" s="3" t="n">
        <v>4.7</v>
      </c>
      <c r="O100" s="3" t="n">
        <v>125</v>
      </c>
    </row>
    <row r="101">
      <c r="A101" s="3" t="inlineStr">
        <is>
          <t>PrimaryHubDown</t>
        </is>
      </c>
      <c r="B101" s="3" t="inlineStr">
        <is>
          <t>SIM-00003</t>
        </is>
      </c>
      <c r="C101" s="3" t="inlineStr">
        <is>
          <t>RO-00515</t>
        </is>
      </c>
      <c r="D101" s="3" t="inlineStr">
        <is>
          <t>BE_ALT_37</t>
        </is>
      </c>
      <c r="E101" s="3" t="inlineStr">
        <is>
          <t>OSAT_ALT_39</t>
        </is>
      </c>
      <c r="F101" s="3" t="inlineStr">
        <is>
          <t>Ocean</t>
        </is>
      </c>
      <c r="G101" s="3" t="inlineStr">
        <is>
          <t>No</t>
        </is>
      </c>
      <c r="H101" s="3" t="n">
        <v>300</v>
      </c>
      <c r="I101" s="3" t="n">
        <v>1</v>
      </c>
      <c r="J101" s="3" t="b">
        <v>0</v>
      </c>
      <c r="K101" s="3" t="n">
        <v>4</v>
      </c>
      <c r="L101" s="3" t="n">
        <v>4</v>
      </c>
      <c r="M101" s="3" t="n">
        <v>654</v>
      </c>
      <c r="N101" s="3" t="n">
        <v>3.3</v>
      </c>
      <c r="O101" s="3" t="n">
        <v>216</v>
      </c>
    </row>
    <row r="102">
      <c r="A102" s="3" t="inlineStr">
        <is>
          <t>PrimaryHubDown</t>
        </is>
      </c>
      <c r="B102" s="3" t="inlineStr">
        <is>
          <t>SIM-00004</t>
        </is>
      </c>
      <c r="C102" s="3" t="inlineStr">
        <is>
          <t>RO-00050</t>
        </is>
      </c>
      <c r="D102" s="3" t="inlineStr">
        <is>
          <t>OSAT_ALT_06</t>
        </is>
      </c>
      <c r="E102" s="3" t="inlineStr">
        <is>
          <t>BE_ALT_08</t>
        </is>
      </c>
      <c r="F102" s="3" t="inlineStr">
        <is>
          <t>Air</t>
        </is>
      </c>
      <c r="G102" s="3" t="inlineStr">
        <is>
          <t>No</t>
        </is>
      </c>
      <c r="H102" s="3" t="n">
        <v>3400</v>
      </c>
      <c r="I102" s="3" t="n">
        <v>1</v>
      </c>
      <c r="J102" s="3" t="b">
        <v>0</v>
      </c>
      <c r="K102" s="3" t="n">
        <v>6</v>
      </c>
      <c r="L102" s="3" t="n">
        <v>6</v>
      </c>
      <c r="M102" s="3" t="n">
        <v>430</v>
      </c>
      <c r="N102" s="3" t="n">
        <v>3.2</v>
      </c>
      <c r="O102" s="3" t="n">
        <v>124</v>
      </c>
    </row>
    <row r="103">
      <c r="A103" s="3" t="inlineStr">
        <is>
          <t>PrimaryHubDown</t>
        </is>
      </c>
      <c r="B103" s="3" t="inlineStr">
        <is>
          <t>SIM-00005</t>
        </is>
      </c>
      <c r="C103" s="3" t="inlineStr">
        <is>
          <t>RO-00068</t>
        </is>
      </c>
      <c r="D103" s="3" t="inlineStr">
        <is>
          <t>BE_ALT_08</t>
        </is>
      </c>
      <c r="E103" s="3" t="inlineStr">
        <is>
          <t>SIFO_ALT_10</t>
        </is>
      </c>
      <c r="F103" s="3" t="inlineStr">
        <is>
          <t>Air</t>
        </is>
      </c>
      <c r="G103" s="3" t="inlineStr">
        <is>
          <t>No</t>
        </is>
      </c>
      <c r="H103" s="3" t="n">
        <v>500</v>
      </c>
      <c r="I103" s="3" t="n">
        <v>1</v>
      </c>
      <c r="J103" s="3" t="b">
        <v>0</v>
      </c>
      <c r="K103" s="3" t="n">
        <v>4</v>
      </c>
      <c r="L103" s="3" t="n">
        <v>4</v>
      </c>
      <c r="M103" s="3" t="n">
        <v>850</v>
      </c>
      <c r="N103" s="3" t="n">
        <v>2.4</v>
      </c>
      <c r="O103" s="3" t="n">
        <v>180</v>
      </c>
    </row>
    <row r="104">
      <c r="A104" s="3" t="inlineStr">
        <is>
          <t>PrimaryHubDown</t>
        </is>
      </c>
      <c r="B104" s="3" t="inlineStr">
        <is>
          <t>SIM-00010</t>
        </is>
      </c>
      <c r="C104" s="3" t="inlineStr">
        <is>
          <t>RO-01109</t>
        </is>
      </c>
      <c r="D104" s="3" t="inlineStr">
        <is>
          <t>SIFO_ALT_79</t>
        </is>
      </c>
      <c r="E104" s="3" t="inlineStr">
        <is>
          <t>OSAT_ALT_81</t>
        </is>
      </c>
      <c r="F104" s="3" t="inlineStr">
        <is>
          <t>Road</t>
        </is>
      </c>
      <c r="G104" s="3" t="inlineStr">
        <is>
          <t>No</t>
        </is>
      </c>
      <c r="H104" s="3" t="n">
        <v>30000</v>
      </c>
      <c r="I104" s="3" t="n">
        <v>10</v>
      </c>
      <c r="J104" s="3" t="b">
        <v>1</v>
      </c>
      <c r="K104" s="3" t="n">
        <v>12</v>
      </c>
      <c r="L104" s="3" t="n">
        <v>75</v>
      </c>
      <c r="M104" s="3" t="n">
        <v>314</v>
      </c>
      <c r="N104" s="3" t="n">
        <v>4.7</v>
      </c>
      <c r="O104" s="3" t="n">
        <v>147</v>
      </c>
    </row>
    <row r="105">
      <c r="A105" s="3" t="inlineStr">
        <is>
          <t>PrimaryHubDown</t>
        </is>
      </c>
      <c r="B105" s="3" t="inlineStr">
        <is>
          <t>SIM-00012</t>
        </is>
      </c>
      <c r="C105" s="3" t="inlineStr">
        <is>
          <t>RO-01487</t>
        </is>
      </c>
      <c r="D105" s="3" t="inlineStr">
        <is>
          <t>SIFO_ALT_11</t>
        </is>
      </c>
      <c r="E105" s="3" t="inlineStr">
        <is>
          <t>BE_ALT_13</t>
        </is>
      </c>
      <c r="F105" s="3" t="inlineStr">
        <is>
          <t>Courier</t>
        </is>
      </c>
      <c r="G105" s="3" t="inlineStr">
        <is>
          <t>No</t>
        </is>
      </c>
      <c r="H105" s="3" t="n">
        <v>36000</v>
      </c>
      <c r="I105" s="3" t="n">
        <v>7</v>
      </c>
      <c r="J105" s="3" t="b">
        <v>1</v>
      </c>
      <c r="K105" s="3" t="n">
        <v>4</v>
      </c>
      <c r="L105" s="3" t="n">
        <v>46</v>
      </c>
      <c r="M105" s="3" t="n">
        <v>654</v>
      </c>
      <c r="N105" s="3" t="n">
        <v>3.3</v>
      </c>
      <c r="O105" s="3" t="n">
        <v>232</v>
      </c>
    </row>
    <row r="106">
      <c r="A106" s="3" t="inlineStr">
        <is>
          <t>PrimaryHubDown</t>
        </is>
      </c>
      <c r="B106" s="3" t="inlineStr">
        <is>
          <t>SIM-00016</t>
        </is>
      </c>
      <c r="C106" s="3" t="inlineStr">
        <is>
          <t>RO-00233</t>
        </is>
      </c>
      <c r="D106" s="3" t="inlineStr">
        <is>
          <t>SIFO_ALT_19</t>
        </is>
      </c>
      <c r="E106" s="3" t="inlineStr">
        <is>
          <t>FE_ALT_21</t>
        </is>
      </c>
      <c r="F106" s="3" t="inlineStr">
        <is>
          <t>Courier</t>
        </is>
      </c>
      <c r="G106" s="3" t="inlineStr">
        <is>
          <t>No</t>
        </is>
      </c>
      <c r="H106" s="3" t="n">
        <v>1600</v>
      </c>
      <c r="I106" s="3" t="n">
        <v>2</v>
      </c>
      <c r="J106" s="3" t="b">
        <v>1</v>
      </c>
      <c r="K106" s="3" t="n">
        <v>12</v>
      </c>
      <c r="L106" s="3" t="n">
        <v>19</v>
      </c>
      <c r="M106" s="3" t="n">
        <v>386</v>
      </c>
      <c r="N106" s="3" t="n">
        <v>4.7</v>
      </c>
      <c r="O106" s="3" t="n">
        <v>131</v>
      </c>
    </row>
    <row r="107">
      <c r="A107" s="3" t="inlineStr">
        <is>
          <t>PrimaryHubDown</t>
        </is>
      </c>
      <c r="B107" s="3" t="inlineStr">
        <is>
          <t>SIM-00018</t>
        </is>
      </c>
      <c r="C107" s="3" t="inlineStr">
        <is>
          <t>RO-00266</t>
        </is>
      </c>
      <c r="D107" s="3" t="inlineStr">
        <is>
          <t>BE_ALT_22</t>
        </is>
      </c>
      <c r="E107" s="3" t="inlineStr">
        <is>
          <t>BE_ALT_24</t>
        </is>
      </c>
      <c r="F107" s="3" t="inlineStr">
        <is>
          <t>Road</t>
        </is>
      </c>
      <c r="G107" s="3" t="inlineStr">
        <is>
          <t>No</t>
        </is>
      </c>
      <c r="H107" s="3" t="n">
        <v>9000</v>
      </c>
      <c r="I107" s="3" t="n">
        <v>3</v>
      </c>
      <c r="J107" s="3" t="b">
        <v>1</v>
      </c>
      <c r="K107" s="3" t="n">
        <v>6</v>
      </c>
      <c r="L107" s="3" t="n">
        <v>20</v>
      </c>
      <c r="M107" s="3" t="n">
        <v>430</v>
      </c>
      <c r="N107" s="3" t="n">
        <v>3.2</v>
      </c>
      <c r="O107" s="3" t="n">
        <v>124</v>
      </c>
    </row>
    <row r="108">
      <c r="A108" s="3" t="inlineStr">
        <is>
          <t>PrimaryHubDown</t>
        </is>
      </c>
      <c r="B108" s="3" t="inlineStr">
        <is>
          <t>SIM-00019</t>
        </is>
      </c>
      <c r="C108" s="3" t="inlineStr">
        <is>
          <t>RO-00284</t>
        </is>
      </c>
      <c r="D108" s="3" t="inlineStr">
        <is>
          <t>OSAT_ALT_24</t>
        </is>
      </c>
      <c r="E108" s="3" t="inlineStr">
        <is>
          <t>OSAT_ALT_26</t>
        </is>
      </c>
      <c r="F108" s="3" t="inlineStr">
        <is>
          <t>Courier</t>
        </is>
      </c>
      <c r="G108" s="3" t="inlineStr">
        <is>
          <t>No</t>
        </is>
      </c>
      <c r="H108" s="3" t="n">
        <v>450</v>
      </c>
      <c r="I108" s="3" t="n">
        <v>1</v>
      </c>
      <c r="J108" s="3" t="b">
        <v>0</v>
      </c>
      <c r="K108" s="3" t="n">
        <v>5</v>
      </c>
      <c r="L108" s="3" t="n">
        <v>5</v>
      </c>
      <c r="M108" s="3" t="n">
        <v>850</v>
      </c>
      <c r="N108" s="3" t="n">
        <v>2.4</v>
      </c>
      <c r="O108" s="3" t="n">
        <v>186</v>
      </c>
    </row>
    <row r="109">
      <c r="A109" s="3" t="inlineStr">
        <is>
          <t>PrimaryHubDown</t>
        </is>
      </c>
      <c r="B109" s="3" t="inlineStr">
        <is>
          <t>SIM-00021</t>
        </is>
      </c>
      <c r="C109" s="3" t="inlineStr">
        <is>
          <t>RO-00542</t>
        </is>
      </c>
      <c r="D109" s="3" t="inlineStr">
        <is>
          <t>FE_ALT_38</t>
        </is>
      </c>
      <c r="E109" s="3" t="inlineStr">
        <is>
          <t>SIFO_ALT_40</t>
        </is>
      </c>
      <c r="F109" s="3" t="inlineStr">
        <is>
          <t>Air</t>
        </is>
      </c>
      <c r="G109" s="3" t="inlineStr">
        <is>
          <t>No</t>
        </is>
      </c>
      <c r="H109" s="3" t="n">
        <v>300</v>
      </c>
      <c r="I109" s="3" t="n">
        <v>1</v>
      </c>
      <c r="J109" s="3" t="b">
        <v>0</v>
      </c>
      <c r="K109" s="3" t="n">
        <v>6</v>
      </c>
      <c r="L109" s="3" t="n">
        <v>6</v>
      </c>
      <c r="M109" s="3" t="n">
        <v>394</v>
      </c>
      <c r="N109" s="3" t="n">
        <v>3.2</v>
      </c>
      <c r="O109" s="3" t="n">
        <v>140</v>
      </c>
    </row>
    <row r="110">
      <c r="A110" s="3" t="inlineStr">
        <is>
          <t>PrimaryHubDown</t>
        </is>
      </c>
      <c r="B110" s="3" t="inlineStr">
        <is>
          <t>SIM-00022</t>
        </is>
      </c>
      <c r="C110" s="3" t="inlineStr">
        <is>
          <t>RO-00317</t>
        </is>
      </c>
      <c r="D110" s="3" t="inlineStr">
        <is>
          <t>SIFO_ALT_23</t>
        </is>
      </c>
      <c r="E110" s="3" t="inlineStr">
        <is>
          <t>BE_ALT_25</t>
        </is>
      </c>
      <c r="F110" s="3" t="inlineStr">
        <is>
          <t>Road</t>
        </is>
      </c>
      <c r="G110" s="3" t="inlineStr">
        <is>
          <t>No</t>
        </is>
      </c>
      <c r="H110" s="3" t="n">
        <v>400</v>
      </c>
      <c r="I110" s="3" t="n">
        <v>1</v>
      </c>
      <c r="J110" s="3" t="b">
        <v>0</v>
      </c>
      <c r="K110" s="3" t="n">
        <v>11</v>
      </c>
      <c r="L110" s="3" t="n">
        <v>11</v>
      </c>
      <c r="M110" s="3" t="n">
        <v>314</v>
      </c>
      <c r="N110" s="3" t="n">
        <v>4.7</v>
      </c>
      <c r="O110" s="3" t="n">
        <v>141</v>
      </c>
    </row>
    <row r="111">
      <c r="A111" s="3" t="inlineStr">
        <is>
          <t>PrimaryHubDown</t>
        </is>
      </c>
      <c r="B111" s="3" t="inlineStr">
        <is>
          <t>SIM-00023</t>
        </is>
      </c>
      <c r="C111" s="3" t="inlineStr">
        <is>
          <t>RO-00335</t>
        </is>
      </c>
      <c r="D111" s="3" t="inlineStr">
        <is>
          <t>BE_ALT_25</t>
        </is>
      </c>
      <c r="E111" s="3" t="inlineStr">
        <is>
          <t>OSAT_ALT_27</t>
        </is>
      </c>
      <c r="F111" s="3" t="inlineStr">
        <is>
          <t>Ocean</t>
        </is>
      </c>
      <c r="G111" s="3" t="inlineStr">
        <is>
          <t>No</t>
        </is>
      </c>
      <c r="H111" s="3" t="n">
        <v>500</v>
      </c>
      <c r="I111" s="3" t="n">
        <v>1</v>
      </c>
      <c r="J111" s="3" t="b">
        <v>0</v>
      </c>
      <c r="K111" s="3" t="n">
        <v>4</v>
      </c>
      <c r="L111" s="3" t="n">
        <v>4</v>
      </c>
      <c r="M111" s="3" t="n">
        <v>654</v>
      </c>
      <c r="N111" s="3" t="n">
        <v>3.3</v>
      </c>
      <c r="O111" s="3" t="n">
        <v>232</v>
      </c>
    </row>
    <row r="112">
      <c r="A112" s="3" t="inlineStr">
        <is>
          <t>PrimaryHubDown</t>
        </is>
      </c>
      <c r="B112" s="3" t="inlineStr">
        <is>
          <t>SIM-00024</t>
        </is>
      </c>
      <c r="C112" s="3" t="inlineStr">
        <is>
          <t>RO-00830</t>
        </is>
      </c>
      <c r="D112" s="3" t="inlineStr">
        <is>
          <t>OSAT_ALT_58</t>
        </is>
      </c>
      <c r="E112" s="3" t="inlineStr">
        <is>
          <t>BE_ALT_60</t>
        </is>
      </c>
      <c r="F112" s="3" t="inlineStr">
        <is>
          <t>Air</t>
        </is>
      </c>
      <c r="G112" s="3" t="inlineStr">
        <is>
          <t>No</t>
        </is>
      </c>
      <c r="H112" s="3" t="n">
        <v>72000</v>
      </c>
      <c r="I112" s="3" t="n">
        <v>12</v>
      </c>
      <c r="J112" s="3" t="b">
        <v>1</v>
      </c>
      <c r="K112" s="3" t="n">
        <v>6</v>
      </c>
      <c r="L112" s="3" t="n">
        <v>83</v>
      </c>
      <c r="M112" s="3" t="n">
        <v>394</v>
      </c>
      <c r="N112" s="3" t="n">
        <v>3.2</v>
      </c>
      <c r="O112" s="3" t="n">
        <v>140</v>
      </c>
    </row>
    <row r="113">
      <c r="A113" s="3" t="inlineStr">
        <is>
          <t>PrimaryHubDown</t>
        </is>
      </c>
      <c r="B113" s="3" t="inlineStr">
        <is>
          <t>SIM-00025</t>
        </is>
      </c>
      <c r="C113" s="3" t="inlineStr">
        <is>
          <t>RO-00368</t>
        </is>
      </c>
      <c r="D113" s="3" t="inlineStr">
        <is>
          <t>BE_ALT_28</t>
        </is>
      </c>
      <c r="E113" s="3" t="inlineStr">
        <is>
          <t>SIFO_ALT_30</t>
        </is>
      </c>
      <c r="F113" s="3" t="inlineStr">
        <is>
          <t>Air</t>
        </is>
      </c>
      <c r="G113" s="3" t="inlineStr">
        <is>
          <t>No</t>
        </is>
      </c>
      <c r="H113" s="3" t="n">
        <v>700</v>
      </c>
      <c r="I113" s="3" t="n">
        <v>1</v>
      </c>
      <c r="J113" s="3" t="b">
        <v>0</v>
      </c>
      <c r="K113" s="3" t="n">
        <v>4</v>
      </c>
      <c r="L113" s="3" t="n">
        <v>4</v>
      </c>
      <c r="M113" s="3" t="n">
        <v>886</v>
      </c>
      <c r="N113" s="3" t="n">
        <v>2.4</v>
      </c>
      <c r="O113" s="3" t="n">
        <v>164</v>
      </c>
    </row>
    <row r="114">
      <c r="A114" s="3" t="inlineStr">
        <is>
          <t>PrimaryHubDown</t>
        </is>
      </c>
      <c r="B114" s="3" t="inlineStr">
        <is>
          <t>SIM-00028</t>
        </is>
      </c>
      <c r="C114" s="3" t="inlineStr">
        <is>
          <t>RO-00416</t>
        </is>
      </c>
      <c r="D114" s="3" t="inlineStr">
        <is>
          <t>BE_ALT_32</t>
        </is>
      </c>
      <c r="E114" s="3" t="inlineStr">
        <is>
          <t>BE_ALT_34</t>
        </is>
      </c>
      <c r="F114" s="3" t="inlineStr">
        <is>
          <t>Courier</t>
        </is>
      </c>
      <c r="G114" s="3" t="inlineStr">
        <is>
          <t>No</t>
        </is>
      </c>
      <c r="H114" s="3" t="n">
        <v>5000</v>
      </c>
      <c r="I114" s="3" t="n">
        <v>2</v>
      </c>
      <c r="J114" s="3" t="b">
        <v>1</v>
      </c>
      <c r="K114" s="3" t="n">
        <v>3</v>
      </c>
      <c r="L114" s="3" t="n">
        <v>10</v>
      </c>
      <c r="M114" s="3" t="n">
        <v>814</v>
      </c>
      <c r="N114" s="3" t="n">
        <v>2.4</v>
      </c>
      <c r="O114" s="3" t="n">
        <v>158</v>
      </c>
    </row>
    <row r="115">
      <c r="A115" s="3" t="inlineStr">
        <is>
          <t>PrimaryHubDown</t>
        </is>
      </c>
      <c r="B115" s="3" t="inlineStr">
        <is>
          <t>SIM-00029</t>
        </is>
      </c>
      <c r="C115" s="3" t="inlineStr">
        <is>
          <t>RO-00434</t>
        </is>
      </c>
      <c r="D115" s="3" t="inlineStr">
        <is>
          <t>OSAT_ALT_34</t>
        </is>
      </c>
      <c r="E115" s="3" t="inlineStr">
        <is>
          <t>OSAT_ALT_36</t>
        </is>
      </c>
      <c r="F115" s="3" t="inlineStr">
        <is>
          <t>Road</t>
        </is>
      </c>
      <c r="G115" s="3" t="inlineStr">
        <is>
          <t>No</t>
        </is>
      </c>
      <c r="H115" s="3" t="n">
        <v>33000</v>
      </c>
      <c r="I115" s="3" t="n">
        <v>8</v>
      </c>
      <c r="J115" s="3" t="b">
        <v>1</v>
      </c>
      <c r="K115" s="3" t="n">
        <v>8</v>
      </c>
      <c r="L115" s="3" t="n">
        <v>57</v>
      </c>
      <c r="M115" s="3" t="n">
        <v>394</v>
      </c>
      <c r="N115" s="3" t="n">
        <v>3.2</v>
      </c>
      <c r="O115" s="3" t="n">
        <v>136</v>
      </c>
    </row>
    <row r="116">
      <c r="A116" s="3" t="inlineStr">
        <is>
          <t>PrimaryHubDown</t>
        </is>
      </c>
      <c r="B116" s="3" t="inlineStr">
        <is>
          <t>SIM-00032</t>
        </is>
      </c>
      <c r="C116" s="3" t="inlineStr">
        <is>
          <t>RO-02747</t>
        </is>
      </c>
      <c r="D116" s="3" t="inlineStr">
        <is>
          <t>SIFO_ALT_05</t>
        </is>
      </c>
      <c r="E116" s="3" t="inlineStr">
        <is>
          <t>BE_ALT_07</t>
        </is>
      </c>
      <c r="F116" s="3" t="inlineStr">
        <is>
          <t>Courier</t>
        </is>
      </c>
      <c r="G116" s="3" t="inlineStr">
        <is>
          <t>No</t>
        </is>
      </c>
      <c r="H116" s="3" t="n">
        <v>1400</v>
      </c>
      <c r="I116" s="3" t="n">
        <v>1</v>
      </c>
      <c r="J116" s="3" t="b">
        <v>0</v>
      </c>
      <c r="K116" s="3" t="n">
        <v>4</v>
      </c>
      <c r="L116" s="3" t="n">
        <v>4</v>
      </c>
      <c r="M116" s="3" t="n">
        <v>654</v>
      </c>
      <c r="N116" s="3" t="n">
        <v>3.3</v>
      </c>
      <c r="O116" s="3" t="n">
        <v>216</v>
      </c>
    </row>
    <row r="117">
      <c r="A117" s="3" t="inlineStr">
        <is>
          <t>PrimaryHubDown</t>
        </is>
      </c>
      <c r="B117" s="3" t="inlineStr">
        <is>
          <t>SIM-00034</t>
        </is>
      </c>
      <c r="C117" s="3" t="inlineStr">
        <is>
          <t>RO-00740</t>
        </is>
      </c>
      <c r="D117" s="3" t="inlineStr">
        <is>
          <t>OSAT_ALT_52</t>
        </is>
      </c>
      <c r="E117" s="3" t="inlineStr">
        <is>
          <t>BE_ALT_54</t>
        </is>
      </c>
      <c r="F117" s="3" t="inlineStr">
        <is>
          <t>Ocean</t>
        </is>
      </c>
      <c r="G117" s="3" t="inlineStr">
        <is>
          <t>No</t>
        </is>
      </c>
      <c r="H117" s="3" t="n">
        <v>1600</v>
      </c>
      <c r="I117" s="3" t="n">
        <v>3</v>
      </c>
      <c r="J117" s="3" t="b">
        <v>1</v>
      </c>
      <c r="K117" s="3" t="n">
        <v>3</v>
      </c>
      <c r="L117" s="3" t="n">
        <v>17</v>
      </c>
      <c r="M117" s="3" t="n">
        <v>814</v>
      </c>
      <c r="N117" s="3" t="n">
        <v>2.4</v>
      </c>
      <c r="O117" s="3" t="n">
        <v>174</v>
      </c>
    </row>
    <row r="118">
      <c r="A118" s="3" t="inlineStr">
        <is>
          <t>PrimaryHubDown</t>
        </is>
      </c>
      <c r="B118" s="3" t="inlineStr">
        <is>
          <t>SIM-00037</t>
        </is>
      </c>
      <c r="C118" s="3" t="inlineStr">
        <is>
          <t>RO-00551</t>
        </is>
      </c>
      <c r="D118" s="3" t="inlineStr">
        <is>
          <t>FE_ALT_41</t>
        </is>
      </c>
      <c r="E118" s="3" t="inlineStr">
        <is>
          <t>BE_ALT_43</t>
        </is>
      </c>
      <c r="F118" s="3" t="inlineStr">
        <is>
          <t>Air</t>
        </is>
      </c>
      <c r="G118" s="3" t="inlineStr">
        <is>
          <t>No</t>
        </is>
      </c>
      <c r="H118" s="3" t="n">
        <v>2000</v>
      </c>
      <c r="I118" s="3" t="n">
        <v>1</v>
      </c>
      <c r="J118" s="3" t="b">
        <v>0</v>
      </c>
      <c r="K118" s="3" t="n">
        <v>4</v>
      </c>
      <c r="L118" s="3" t="n">
        <v>4</v>
      </c>
      <c r="M118" s="3" t="n">
        <v>654</v>
      </c>
      <c r="N118" s="3" t="n">
        <v>3.3</v>
      </c>
      <c r="O118" s="3" t="n">
        <v>232</v>
      </c>
    </row>
    <row r="119">
      <c r="A119" s="3" t="inlineStr">
        <is>
          <t>PrimaryHubDown</t>
        </is>
      </c>
      <c r="B119" s="3" t="inlineStr">
        <is>
          <t>SIM-00039</t>
        </is>
      </c>
      <c r="C119" s="3" t="inlineStr">
        <is>
          <t>RO-00584</t>
        </is>
      </c>
      <c r="D119" s="3" t="inlineStr">
        <is>
          <t>OSAT_ALT_44</t>
        </is>
      </c>
      <c r="E119" s="3" t="inlineStr">
        <is>
          <t>OSAT_ALT_46</t>
        </is>
      </c>
      <c r="F119" s="3" t="inlineStr">
        <is>
          <t>Courier</t>
        </is>
      </c>
      <c r="G119" s="3" t="inlineStr">
        <is>
          <t>No</t>
        </is>
      </c>
      <c r="H119" s="3" t="n">
        <v>45000</v>
      </c>
      <c r="I119" s="3" t="n">
        <v>12</v>
      </c>
      <c r="J119" s="3" t="b">
        <v>1</v>
      </c>
      <c r="K119" s="3" t="n">
        <v>5</v>
      </c>
      <c r="L119" s="3" t="n">
        <v>82</v>
      </c>
      <c r="M119" s="3" t="n">
        <v>886</v>
      </c>
      <c r="N119" s="3" t="n">
        <v>2.4</v>
      </c>
      <c r="O119" s="3" t="n">
        <v>170</v>
      </c>
    </row>
    <row r="120">
      <c r="A120" s="3" t="inlineStr">
        <is>
          <t>PrimaryHubDown</t>
        </is>
      </c>
      <c r="B120" s="3" t="inlineStr">
        <is>
          <t>SIM-00040</t>
        </is>
      </c>
      <c r="C120" s="3" t="inlineStr">
        <is>
          <t>RO-00119</t>
        </is>
      </c>
      <c r="D120" s="3" t="inlineStr">
        <is>
          <t>SIFO_ALT_13</t>
        </is>
      </c>
      <c r="E120" s="3" t="inlineStr">
        <is>
          <t>OSAT_ALT_15</t>
        </is>
      </c>
      <c r="F120" s="3" t="inlineStr">
        <is>
          <t>Courier</t>
        </is>
      </c>
      <c r="G120" s="3" t="inlineStr">
        <is>
          <t>No</t>
        </is>
      </c>
      <c r="H120" s="3" t="n">
        <v>400</v>
      </c>
      <c r="I120" s="3" t="n">
        <v>1</v>
      </c>
      <c r="J120" s="3" t="b">
        <v>0</v>
      </c>
      <c r="K120" s="3" t="n">
        <v>6</v>
      </c>
      <c r="L120" s="3" t="n">
        <v>6</v>
      </c>
      <c r="M120" s="3" t="n">
        <v>654</v>
      </c>
      <c r="N120" s="3" t="n">
        <v>3.3</v>
      </c>
      <c r="O120" s="3" t="n">
        <v>244</v>
      </c>
    </row>
    <row r="121">
      <c r="A121" s="3" t="inlineStr">
        <is>
          <t>PrimaryHubDown</t>
        </is>
      </c>
      <c r="B121" s="3" t="inlineStr">
        <is>
          <t>SIM-00044</t>
        </is>
      </c>
      <c r="C121" s="3" t="inlineStr">
        <is>
          <t>RO-01370</t>
        </is>
      </c>
      <c r="D121" s="3" t="inlineStr">
        <is>
          <t>OSAT_ALT_04</t>
        </is>
      </c>
      <c r="E121" s="3" t="inlineStr">
        <is>
          <t>BE_ALT_06</t>
        </is>
      </c>
      <c r="F121" s="3" t="inlineStr">
        <is>
          <t>Air</t>
        </is>
      </c>
      <c r="G121" s="3" t="inlineStr">
        <is>
          <t>No</t>
        </is>
      </c>
      <c r="H121" s="3" t="n">
        <v>800</v>
      </c>
      <c r="I121" s="3" t="n">
        <v>1</v>
      </c>
      <c r="J121" s="3" t="b">
        <v>0</v>
      </c>
      <c r="K121" s="3" t="n">
        <v>6</v>
      </c>
      <c r="L121" s="3" t="n">
        <v>6</v>
      </c>
      <c r="M121" s="3" t="n">
        <v>394</v>
      </c>
      <c r="N121" s="3" t="n">
        <v>3.2</v>
      </c>
      <c r="O121" s="3" t="n">
        <v>124</v>
      </c>
    </row>
    <row r="122">
      <c r="A122" s="3" t="inlineStr">
        <is>
          <t>PrimaryHubDown</t>
        </is>
      </c>
      <c r="B122" s="3" t="inlineStr">
        <is>
          <t>SIM-00045</t>
        </is>
      </c>
      <c r="C122" s="3" t="inlineStr">
        <is>
          <t>RO-00668</t>
        </is>
      </c>
      <c r="D122" s="3" t="inlineStr">
        <is>
          <t>BE_ALT_48</t>
        </is>
      </c>
      <c r="E122" s="3" t="inlineStr">
        <is>
          <t>SIFO_ALT_50</t>
        </is>
      </c>
      <c r="F122" s="3" t="inlineStr">
        <is>
          <t>Air</t>
        </is>
      </c>
      <c r="G122" s="3" t="inlineStr">
        <is>
          <t>No</t>
        </is>
      </c>
      <c r="H122" s="3" t="n">
        <v>900</v>
      </c>
      <c r="I122" s="3" t="n">
        <v>1</v>
      </c>
      <c r="J122" s="3" t="b">
        <v>0</v>
      </c>
      <c r="K122" s="3" t="n">
        <v>4</v>
      </c>
      <c r="L122" s="3" t="n">
        <v>4</v>
      </c>
      <c r="M122" s="3" t="n">
        <v>814</v>
      </c>
      <c r="N122" s="3" t="n">
        <v>2.4</v>
      </c>
      <c r="O122" s="3" t="n">
        <v>180</v>
      </c>
    </row>
    <row r="123">
      <c r="A123" s="3" t="inlineStr">
        <is>
          <t>PrimaryHubDown</t>
        </is>
      </c>
      <c r="B123" s="3" t="inlineStr">
        <is>
          <t>SIM-00049</t>
        </is>
      </c>
      <c r="C123" s="3" t="inlineStr">
        <is>
          <t>RO-01334</t>
        </is>
      </c>
      <c r="D123" s="3" t="inlineStr">
        <is>
          <t>OSAT_ALT_04</t>
        </is>
      </c>
      <c r="E123" s="3" t="inlineStr">
        <is>
          <t>OSAT_ALT_06</t>
        </is>
      </c>
      <c r="F123" s="3" t="inlineStr">
        <is>
          <t>Road</t>
        </is>
      </c>
      <c r="G123" s="3" t="inlineStr">
        <is>
          <t>No</t>
        </is>
      </c>
      <c r="H123" s="3" t="n">
        <v>3120</v>
      </c>
      <c r="I123" s="3" t="n">
        <v>1</v>
      </c>
      <c r="J123" s="3" t="b">
        <v>0</v>
      </c>
      <c r="K123" s="3" t="n">
        <v>8</v>
      </c>
      <c r="L123" s="3" t="n">
        <v>8</v>
      </c>
      <c r="M123" s="3" t="n">
        <v>394</v>
      </c>
      <c r="N123" s="3" t="n">
        <v>3.2</v>
      </c>
      <c r="O123" s="3" t="n">
        <v>152</v>
      </c>
    </row>
    <row r="124">
      <c r="A124" s="3" t="inlineStr">
        <is>
          <t>PrimaryHubDown</t>
        </is>
      </c>
      <c r="B124" s="3" t="inlineStr">
        <is>
          <t>SIM-00052</t>
        </is>
      </c>
      <c r="C124" s="3" t="inlineStr">
        <is>
          <t>RO-00767</t>
        </is>
      </c>
      <c r="D124" s="3" t="inlineStr">
        <is>
          <t>SIFO_ALT_53</t>
        </is>
      </c>
      <c r="E124" s="3" t="inlineStr">
        <is>
          <t>BE_ALT_55</t>
        </is>
      </c>
      <c r="F124" s="3" t="inlineStr">
        <is>
          <t>Courier</t>
        </is>
      </c>
      <c r="G124" s="3" t="inlineStr">
        <is>
          <t>No</t>
        </is>
      </c>
      <c r="H124" s="3" t="n">
        <v>8000</v>
      </c>
      <c r="I124" s="3" t="n">
        <v>2</v>
      </c>
      <c r="J124" s="3" t="b">
        <v>1</v>
      </c>
      <c r="K124" s="3" t="n">
        <v>4</v>
      </c>
      <c r="L124" s="3" t="n">
        <v>11</v>
      </c>
      <c r="M124" s="3" t="n">
        <v>654</v>
      </c>
      <c r="N124" s="3" t="n">
        <v>3.3</v>
      </c>
      <c r="O124" s="3" t="n">
        <v>232</v>
      </c>
    </row>
    <row r="125">
      <c r="A125" s="3" t="inlineStr">
        <is>
          <t>PrimaryHubDown</t>
        </is>
      </c>
      <c r="B125" s="3" t="inlineStr">
        <is>
          <t>SIM-00054</t>
        </is>
      </c>
      <c r="C125" s="3" t="inlineStr">
        <is>
          <t>RO-02720</t>
        </is>
      </c>
      <c r="D125" s="3" t="inlineStr">
        <is>
          <t>OSAT_ALT_04</t>
        </is>
      </c>
      <c r="E125" s="3" t="inlineStr">
        <is>
          <t>BE_ALT_06</t>
        </is>
      </c>
      <c r="F125" s="3" t="inlineStr">
        <is>
          <t>Ocean</t>
        </is>
      </c>
      <c r="G125" s="3" t="inlineStr">
        <is>
          <t>No</t>
        </is>
      </c>
      <c r="H125" s="3" t="n">
        <v>1800</v>
      </c>
      <c r="I125" s="3" t="n">
        <v>1</v>
      </c>
      <c r="J125" s="3" t="b">
        <v>0</v>
      </c>
      <c r="K125" s="3" t="n">
        <v>3</v>
      </c>
      <c r="L125" s="3" t="n">
        <v>3</v>
      </c>
      <c r="M125" s="3" t="n">
        <v>814</v>
      </c>
      <c r="N125" s="3" t="n">
        <v>2.4</v>
      </c>
      <c r="O125" s="3" t="n">
        <v>158</v>
      </c>
    </row>
    <row r="126">
      <c r="A126" s="3" t="inlineStr">
        <is>
          <t>PrimaryHubDown</t>
        </is>
      </c>
      <c r="B126" s="3" t="inlineStr">
        <is>
          <t>SIM-00057</t>
        </is>
      </c>
      <c r="C126" s="3" t="inlineStr">
        <is>
          <t>RO-00851</t>
        </is>
      </c>
      <c r="D126" s="3" t="inlineStr">
        <is>
          <t>FE_ALT_61</t>
        </is>
      </c>
      <c r="E126" s="3" t="inlineStr">
        <is>
          <t>BE_ALT_63</t>
        </is>
      </c>
      <c r="F126" s="3" t="inlineStr">
        <is>
          <t>Air</t>
        </is>
      </c>
      <c r="G126" s="3" t="inlineStr">
        <is>
          <t>No</t>
        </is>
      </c>
      <c r="H126" s="3" t="n">
        <v>300</v>
      </c>
      <c r="I126" s="3" t="n">
        <v>1</v>
      </c>
      <c r="J126" s="3" t="b">
        <v>0</v>
      </c>
      <c r="K126" s="3" t="n">
        <v>4</v>
      </c>
      <c r="L126" s="3" t="n">
        <v>4</v>
      </c>
      <c r="M126" s="3" t="n">
        <v>690</v>
      </c>
      <c r="N126" s="3" t="n">
        <v>3.3</v>
      </c>
      <c r="O126" s="3" t="n">
        <v>216</v>
      </c>
    </row>
    <row r="127">
      <c r="A127" s="3" t="inlineStr">
        <is>
          <t>PrimaryHubDown</t>
        </is>
      </c>
      <c r="B127" s="3" t="inlineStr">
        <is>
          <t>SIM-00059</t>
        </is>
      </c>
      <c r="C127" s="3" t="inlineStr">
        <is>
          <t>RO-00884</t>
        </is>
      </c>
      <c r="D127" s="3" t="inlineStr">
        <is>
          <t>OSAT_ALT_64</t>
        </is>
      </c>
      <c r="E127" s="3" t="inlineStr">
        <is>
          <t>OSAT_ALT_66</t>
        </is>
      </c>
      <c r="F127" s="3" t="inlineStr">
        <is>
          <t>Courier</t>
        </is>
      </c>
      <c r="G127" s="3" t="inlineStr">
        <is>
          <t>No</t>
        </is>
      </c>
      <c r="H127" s="3" t="n">
        <v>15000</v>
      </c>
      <c r="I127" s="3" t="n">
        <v>5</v>
      </c>
      <c r="J127" s="3" t="b">
        <v>1</v>
      </c>
      <c r="K127" s="3" t="n">
        <v>5</v>
      </c>
      <c r="L127" s="3" t="n">
        <v>33</v>
      </c>
      <c r="M127" s="3" t="n">
        <v>814</v>
      </c>
      <c r="N127" s="3" t="n">
        <v>2.4</v>
      </c>
      <c r="O127" s="3" t="n">
        <v>186</v>
      </c>
    </row>
    <row r="128">
      <c r="A128" s="3" t="inlineStr">
        <is>
          <t>PrimaryHubDown</t>
        </is>
      </c>
      <c r="B128" s="3" t="inlineStr">
        <is>
          <t>SIM-00062</t>
        </is>
      </c>
      <c r="C128" s="3" t="inlineStr">
        <is>
          <t>RO-00917</t>
        </is>
      </c>
      <c r="D128" s="3" t="inlineStr">
        <is>
          <t>SIFO_ALT_63</t>
        </is>
      </c>
      <c r="E128" s="3" t="inlineStr">
        <is>
          <t>BE_ALT_65</t>
        </is>
      </c>
      <c r="F128" s="3" t="inlineStr">
        <is>
          <t>Road</t>
        </is>
      </c>
      <c r="G128" s="3" t="inlineStr">
        <is>
          <t>No</t>
        </is>
      </c>
      <c r="H128" s="3" t="n">
        <v>800</v>
      </c>
      <c r="I128" s="3" t="n">
        <v>1</v>
      </c>
      <c r="J128" s="3" t="b">
        <v>0</v>
      </c>
      <c r="K128" s="3" t="n">
        <v>11</v>
      </c>
      <c r="L128" s="3" t="n">
        <v>11</v>
      </c>
      <c r="M128" s="3" t="n">
        <v>386</v>
      </c>
      <c r="N128" s="3" t="n">
        <v>4.7</v>
      </c>
      <c r="O128" s="3" t="n">
        <v>141</v>
      </c>
    </row>
    <row r="129">
      <c r="A129" s="3" t="inlineStr">
        <is>
          <t>PrimaryHubDown</t>
        </is>
      </c>
      <c r="B129" s="3" t="inlineStr">
        <is>
          <t>SIM-00063</t>
        </is>
      </c>
      <c r="C129" s="3" t="inlineStr">
        <is>
          <t>RO-00335</t>
        </is>
      </c>
      <c r="D129" s="3" t="inlineStr">
        <is>
          <t>BE_ALT_25</t>
        </is>
      </c>
      <c r="E129" s="3" t="inlineStr">
        <is>
          <t>OSAT_ALT_27</t>
        </is>
      </c>
      <c r="F129" s="3" t="inlineStr">
        <is>
          <t>Ocean</t>
        </is>
      </c>
      <c r="G129" s="3" t="inlineStr">
        <is>
          <t>No</t>
        </is>
      </c>
      <c r="H129" s="3" t="n">
        <v>900</v>
      </c>
      <c r="I129" s="3" t="n">
        <v>1</v>
      </c>
      <c r="J129" s="3" t="b">
        <v>0</v>
      </c>
      <c r="K129" s="3" t="n">
        <v>4</v>
      </c>
      <c r="L129" s="3" t="n">
        <v>4</v>
      </c>
      <c r="M129" s="3" t="n">
        <v>654</v>
      </c>
      <c r="N129" s="3" t="n">
        <v>3.3</v>
      </c>
      <c r="O129" s="3" t="n">
        <v>232</v>
      </c>
    </row>
    <row r="130">
      <c r="A130" s="3" t="inlineStr">
        <is>
          <t>PrimaryHubDown</t>
        </is>
      </c>
      <c r="B130" s="3" t="inlineStr">
        <is>
          <t>SIM-00074</t>
        </is>
      </c>
      <c r="C130" s="3" t="inlineStr">
        <is>
          <t>RO-00140</t>
        </is>
      </c>
      <c r="D130" s="3" t="inlineStr">
        <is>
          <t>OSAT_ALT_12</t>
        </is>
      </c>
      <c r="E130" s="3" t="inlineStr">
        <is>
          <t>BE_ALT_14</t>
        </is>
      </c>
      <c r="F130" s="3" t="inlineStr">
        <is>
          <t>Ocean</t>
        </is>
      </c>
      <c r="G130" s="3" t="inlineStr">
        <is>
          <t>No</t>
        </is>
      </c>
      <c r="H130" s="3" t="n">
        <v>36000</v>
      </c>
      <c r="I130" s="3" t="n">
        <v>12</v>
      </c>
      <c r="J130" s="3" t="b">
        <v>1</v>
      </c>
      <c r="K130" s="3" t="n">
        <v>3</v>
      </c>
      <c r="L130" s="3" t="n">
        <v>80</v>
      </c>
      <c r="M130" s="3" t="n">
        <v>850</v>
      </c>
      <c r="N130" s="3" t="n">
        <v>2.4</v>
      </c>
      <c r="O130" s="3" t="n">
        <v>174</v>
      </c>
    </row>
    <row r="131">
      <c r="A131" s="3" t="inlineStr">
        <is>
          <t>PrimaryHubDown</t>
        </is>
      </c>
      <c r="B131" s="3" t="inlineStr">
        <is>
          <t>SIM-00077</t>
        </is>
      </c>
      <c r="C131" s="3" t="inlineStr">
        <is>
          <t>RO-00191</t>
        </is>
      </c>
      <c r="D131" s="3" t="inlineStr">
        <is>
          <t>FE_ALT_17</t>
        </is>
      </c>
      <c r="E131" s="3" t="inlineStr">
        <is>
          <t>BE_ALT_19</t>
        </is>
      </c>
      <c r="F131" s="3" t="inlineStr">
        <is>
          <t>Air</t>
        </is>
      </c>
      <c r="G131" s="3" t="inlineStr">
        <is>
          <t>No</t>
        </is>
      </c>
      <c r="H131" s="3" t="n">
        <v>45000</v>
      </c>
      <c r="I131" s="3" t="n">
        <v>8</v>
      </c>
      <c r="J131" s="3" t="b">
        <v>1</v>
      </c>
      <c r="K131" s="3" t="n">
        <v>4</v>
      </c>
      <c r="L131" s="3" t="n">
        <v>53</v>
      </c>
      <c r="M131" s="3" t="n">
        <v>654</v>
      </c>
      <c r="N131" s="3" t="n">
        <v>3.3</v>
      </c>
      <c r="O131" s="3" t="n">
        <v>232</v>
      </c>
    </row>
    <row r="132">
      <c r="A132" s="3" t="inlineStr">
        <is>
          <t>PrimaryHubDown</t>
        </is>
      </c>
      <c r="B132" s="3" t="inlineStr">
        <is>
          <t>SIM-00080</t>
        </is>
      </c>
      <c r="C132" s="3" t="inlineStr">
        <is>
          <t>RO-00959</t>
        </is>
      </c>
      <c r="D132" s="3" t="inlineStr">
        <is>
          <t>SIFO_ALT_69</t>
        </is>
      </c>
      <c r="E132" s="3" t="inlineStr">
        <is>
          <t>OSAT_ALT_71</t>
        </is>
      </c>
      <c r="F132" s="3" t="inlineStr">
        <is>
          <t>Courier</t>
        </is>
      </c>
      <c r="G132" s="3" t="inlineStr">
        <is>
          <t>No</t>
        </is>
      </c>
      <c r="H132" s="3" t="n">
        <v>800</v>
      </c>
      <c r="I132" s="3" t="n">
        <v>1</v>
      </c>
      <c r="J132" s="3" t="b">
        <v>0</v>
      </c>
      <c r="K132" s="3" t="n">
        <v>6</v>
      </c>
      <c r="L132" s="3" t="n">
        <v>6</v>
      </c>
      <c r="M132" s="3" t="n">
        <v>690</v>
      </c>
      <c r="N132" s="3" t="n">
        <v>3.3</v>
      </c>
      <c r="O132" s="3" t="n">
        <v>244</v>
      </c>
    </row>
    <row r="133">
      <c r="A133" s="3" t="inlineStr">
        <is>
          <t>PrimaryHubDown</t>
        </is>
      </c>
      <c r="B133" s="3" t="inlineStr">
        <is>
          <t>SIM-00084</t>
        </is>
      </c>
      <c r="C133" s="3" t="inlineStr">
        <is>
          <t>RO-01490</t>
        </is>
      </c>
      <c r="D133" s="3" t="inlineStr">
        <is>
          <t>OSAT_ALT_12</t>
        </is>
      </c>
      <c r="E133" s="3" t="inlineStr">
        <is>
          <t>BE_ALT_14</t>
        </is>
      </c>
      <c r="F133" s="3" t="inlineStr">
        <is>
          <t>Air</t>
        </is>
      </c>
      <c r="G133" s="3" t="inlineStr">
        <is>
          <t>No</t>
        </is>
      </c>
      <c r="H133" s="3" t="n">
        <v>36000</v>
      </c>
      <c r="I133" s="3" t="n">
        <v>12</v>
      </c>
      <c r="J133" s="3" t="b">
        <v>1</v>
      </c>
      <c r="K133" s="3" t="n">
        <v>6</v>
      </c>
      <c r="L133" s="3" t="n">
        <v>83</v>
      </c>
      <c r="M133" s="3" t="n">
        <v>430</v>
      </c>
      <c r="N133" s="3" t="n">
        <v>3.2</v>
      </c>
      <c r="O133" s="3" t="n">
        <v>124</v>
      </c>
    </row>
    <row r="134">
      <c r="A134" s="3" t="inlineStr">
        <is>
          <t>PrimaryHubDown</t>
        </is>
      </c>
      <c r="B134" s="3" t="inlineStr">
        <is>
          <t>SIM-00088</t>
        </is>
      </c>
      <c r="C134" s="3" t="inlineStr">
        <is>
          <t>RO-01316</t>
        </is>
      </c>
      <c r="D134" s="3" t="inlineStr">
        <is>
          <t>BE_ALT_02</t>
        </is>
      </c>
      <c r="E134" s="3" t="inlineStr">
        <is>
          <t>BE_ALT_04</t>
        </is>
      </c>
      <c r="F134" s="3" t="inlineStr">
        <is>
          <t>Courier</t>
        </is>
      </c>
      <c r="G134" s="3" t="inlineStr">
        <is>
          <t>No</t>
        </is>
      </c>
      <c r="H134" s="3" t="n">
        <v>4000</v>
      </c>
      <c r="I134" s="3" t="n">
        <v>2</v>
      </c>
      <c r="J134" s="3" t="b">
        <v>1</v>
      </c>
      <c r="K134" s="3" t="n">
        <v>3</v>
      </c>
      <c r="L134" s="3" t="n">
        <v>10</v>
      </c>
      <c r="M134" s="3" t="n">
        <v>814</v>
      </c>
      <c r="N134" s="3" t="n">
        <v>2.4</v>
      </c>
      <c r="O134" s="3" t="n">
        <v>174</v>
      </c>
    </row>
    <row r="135">
      <c r="A135" s="3" t="inlineStr">
        <is>
          <t>PrimaryHubDown</t>
        </is>
      </c>
      <c r="B135" s="3" t="inlineStr">
        <is>
          <t>SIM-00097</t>
        </is>
      </c>
      <c r="C135" s="3" t="inlineStr">
        <is>
          <t>RO-01451</t>
        </is>
      </c>
      <c r="D135" s="3" t="inlineStr">
        <is>
          <t>FE_ALT_11</t>
        </is>
      </c>
      <c r="E135" s="3" t="inlineStr">
        <is>
          <t>BE_ALT_13</t>
        </is>
      </c>
      <c r="F135" s="3" t="inlineStr">
        <is>
          <t>Air</t>
        </is>
      </c>
      <c r="G135" s="3" t="inlineStr">
        <is>
          <t>No</t>
        </is>
      </c>
      <c r="H135" s="3" t="n">
        <v>700</v>
      </c>
      <c r="I135" s="3" t="n">
        <v>1</v>
      </c>
      <c r="J135" s="3" t="b">
        <v>0</v>
      </c>
      <c r="K135" s="3" t="n">
        <v>4</v>
      </c>
      <c r="L135" s="3" t="n">
        <v>4</v>
      </c>
      <c r="M135" s="3" t="n">
        <v>654</v>
      </c>
      <c r="N135" s="3" t="n">
        <v>3.3</v>
      </c>
      <c r="O135" s="3" t="n">
        <v>216</v>
      </c>
    </row>
    <row r="136">
      <c r="A136" s="3" t="inlineStr">
        <is>
          <t>PrimaryHubDown</t>
        </is>
      </c>
      <c r="B136" s="3" t="inlineStr">
        <is>
          <t>SIM-00098</t>
        </is>
      </c>
      <c r="C136" s="3" t="inlineStr">
        <is>
          <t>RO-01466</t>
        </is>
      </c>
      <c r="D136" s="3" t="inlineStr">
        <is>
          <t>BE_ALT_12</t>
        </is>
      </c>
      <c r="E136" s="3" t="inlineStr">
        <is>
          <t>BE_ALT_14</t>
        </is>
      </c>
      <c r="F136" s="3" t="inlineStr">
        <is>
          <t>Road</t>
        </is>
      </c>
      <c r="G136" s="3" t="inlineStr">
        <is>
          <t>No</t>
        </is>
      </c>
      <c r="H136" s="3" t="n">
        <v>800</v>
      </c>
      <c r="I136" s="3" t="n">
        <v>1</v>
      </c>
      <c r="J136" s="3" t="b">
        <v>0</v>
      </c>
      <c r="K136" s="3" t="n">
        <v>6</v>
      </c>
      <c r="L136" s="3" t="n">
        <v>6</v>
      </c>
      <c r="M136" s="3" t="n">
        <v>466</v>
      </c>
      <c r="N136" s="3" t="n">
        <v>3.2</v>
      </c>
      <c r="O136" s="3" t="n">
        <v>124</v>
      </c>
    </row>
    <row r="137">
      <c r="A137" s="3" t="inlineStr">
        <is>
          <t>PrimaryHubDown</t>
        </is>
      </c>
      <c r="B137" s="3" t="inlineStr">
        <is>
          <t>SIM-00100</t>
        </is>
      </c>
      <c r="C137" s="3" t="inlineStr">
        <is>
          <t>RO-01499</t>
        </is>
      </c>
      <c r="D137" s="3" t="inlineStr">
        <is>
          <t>SIFO_ALT_15</t>
        </is>
      </c>
      <c r="E137" s="3" t="inlineStr">
        <is>
          <t>OSAT_ALT_17</t>
        </is>
      </c>
      <c r="F137" s="3" t="inlineStr">
        <is>
          <t>Courier</t>
        </is>
      </c>
      <c r="G137" s="3" t="inlineStr">
        <is>
          <t>No</t>
        </is>
      </c>
      <c r="H137" s="3" t="n">
        <v>30000</v>
      </c>
      <c r="I137" s="3" t="n">
        <v>6</v>
      </c>
      <c r="J137" s="3" t="b">
        <v>1</v>
      </c>
      <c r="K137" s="3" t="n">
        <v>6</v>
      </c>
      <c r="L137" s="3" t="n">
        <v>41</v>
      </c>
      <c r="M137" s="3" t="n">
        <v>690</v>
      </c>
      <c r="N137" s="3" t="n">
        <v>3.3</v>
      </c>
      <c r="O137" s="3" t="n">
        <v>228</v>
      </c>
    </row>
    <row r="138">
      <c r="A138" s="3" t="inlineStr">
        <is>
          <t>PrimaryHubDown</t>
        </is>
      </c>
      <c r="B138" s="3" t="inlineStr">
        <is>
          <t>SIM-00102</t>
        </is>
      </c>
      <c r="C138" s="3" t="inlineStr">
        <is>
          <t>RO-01757</t>
        </is>
      </c>
      <c r="D138" s="3" t="inlineStr">
        <is>
          <t>SIFO_ALT_29</t>
        </is>
      </c>
      <c r="E138" s="3" t="inlineStr">
        <is>
          <t>BE_ALT_31</t>
        </is>
      </c>
      <c r="F138" s="3" t="inlineStr">
        <is>
          <t>Road</t>
        </is>
      </c>
      <c r="G138" s="3" t="inlineStr">
        <is>
          <t>No</t>
        </is>
      </c>
      <c r="H138" s="3" t="n">
        <v>36000</v>
      </c>
      <c r="I138" s="3" t="n">
        <v>10</v>
      </c>
      <c r="J138" s="3" t="b">
        <v>1</v>
      </c>
      <c r="K138" s="3" t="n">
        <v>11</v>
      </c>
      <c r="L138" s="3" t="n">
        <v>74</v>
      </c>
      <c r="M138" s="3" t="n">
        <v>314</v>
      </c>
      <c r="N138" s="3" t="n">
        <v>4.7</v>
      </c>
      <c r="O138" s="3" t="n">
        <v>141</v>
      </c>
    </row>
    <row r="139">
      <c r="A139" s="3" t="inlineStr">
        <is>
          <t>PrimaryHubDown</t>
        </is>
      </c>
      <c r="B139" s="3" t="inlineStr">
        <is>
          <t>SIM-00104</t>
        </is>
      </c>
      <c r="C139" s="3" t="inlineStr">
        <is>
          <t>RO-01550</t>
        </is>
      </c>
      <c r="D139" s="3" t="inlineStr">
        <is>
          <t>OSAT_ALT_16</t>
        </is>
      </c>
      <c r="E139" s="3" t="inlineStr">
        <is>
          <t>BE_ALT_18</t>
        </is>
      </c>
      <c r="F139" s="3" t="inlineStr">
        <is>
          <t>Air</t>
        </is>
      </c>
      <c r="G139" s="3" t="inlineStr">
        <is>
          <t>No</t>
        </is>
      </c>
      <c r="H139" s="3" t="n">
        <v>1400</v>
      </c>
      <c r="I139" s="3" t="n">
        <v>1</v>
      </c>
      <c r="J139" s="3" t="b">
        <v>0</v>
      </c>
      <c r="K139" s="3" t="n">
        <v>6</v>
      </c>
      <c r="L139" s="3" t="n">
        <v>6</v>
      </c>
      <c r="M139" s="3" t="n">
        <v>394</v>
      </c>
      <c r="N139" s="3" t="n">
        <v>3.2</v>
      </c>
      <c r="O139" s="3" t="n">
        <v>140</v>
      </c>
    </row>
    <row r="140">
      <c r="A140" s="3" t="inlineStr">
        <is>
          <t>PrimaryHubDown</t>
        </is>
      </c>
      <c r="B140" s="3" t="inlineStr">
        <is>
          <t>SIM-00105</t>
        </is>
      </c>
      <c r="C140" s="3" t="inlineStr">
        <is>
          <t>RO-01568</t>
        </is>
      </c>
      <c r="D140" s="3" t="inlineStr">
        <is>
          <t>BE_ALT_18</t>
        </is>
      </c>
      <c r="E140" s="3" t="inlineStr">
        <is>
          <t>SIFO_ALT_20</t>
        </is>
      </c>
      <c r="F140" s="3" t="inlineStr">
        <is>
          <t>Air</t>
        </is>
      </c>
      <c r="G140" s="3" t="inlineStr">
        <is>
          <t>No</t>
        </is>
      </c>
      <c r="H140" s="3" t="n">
        <v>1500</v>
      </c>
      <c r="I140" s="3" t="n">
        <v>1</v>
      </c>
      <c r="J140" s="3" t="b">
        <v>0</v>
      </c>
      <c r="K140" s="3" t="n">
        <v>4</v>
      </c>
      <c r="L140" s="3" t="n">
        <v>4</v>
      </c>
      <c r="M140" s="3" t="n">
        <v>814</v>
      </c>
      <c r="N140" s="3" t="n">
        <v>2.4</v>
      </c>
      <c r="O140" s="3" t="n">
        <v>164</v>
      </c>
    </row>
    <row r="141">
      <c r="A141" s="3" t="inlineStr">
        <is>
          <t>PrimaryHubDown</t>
        </is>
      </c>
      <c r="B141" s="3" t="inlineStr">
        <is>
          <t>SIM-00109</t>
        </is>
      </c>
      <c r="C141" s="3" t="inlineStr">
        <is>
          <t>RO-01634</t>
        </is>
      </c>
      <c r="D141" s="3" t="inlineStr">
        <is>
          <t>OSAT_ALT_24</t>
        </is>
      </c>
      <c r="E141" s="3" t="inlineStr">
        <is>
          <t>OSAT_ALT_26</t>
        </is>
      </c>
      <c r="F141" s="3" t="inlineStr">
        <is>
          <t>Road</t>
        </is>
      </c>
      <c r="G141" s="3" t="inlineStr">
        <is>
          <t>No</t>
        </is>
      </c>
      <c r="H141" s="3" t="n">
        <v>100</v>
      </c>
      <c r="I141" s="3" t="n">
        <v>1</v>
      </c>
      <c r="J141" s="3" t="b">
        <v>0</v>
      </c>
      <c r="K141" s="3" t="n">
        <v>8</v>
      </c>
      <c r="L141" s="3" t="n">
        <v>8</v>
      </c>
      <c r="M141" s="3" t="n">
        <v>430</v>
      </c>
      <c r="N141" s="3" t="n">
        <v>3.2</v>
      </c>
      <c r="O141" s="3" t="n">
        <v>136</v>
      </c>
    </row>
    <row r="142">
      <c r="A142" s="3" t="inlineStr">
        <is>
          <t>PrimaryHubDown</t>
        </is>
      </c>
      <c r="B142" s="3" t="inlineStr">
        <is>
          <t>SIM-00112</t>
        </is>
      </c>
      <c r="C142" s="3" t="inlineStr">
        <is>
          <t>RO-03107</t>
        </is>
      </c>
      <c r="D142" s="3" t="inlineStr">
        <is>
          <t>SIFO_ALT_29</t>
        </is>
      </c>
      <c r="E142" s="3" t="inlineStr">
        <is>
          <t>BE_ALT_31</t>
        </is>
      </c>
      <c r="F142" s="3" t="inlineStr">
        <is>
          <t>Courier</t>
        </is>
      </c>
      <c r="G142" s="3" t="inlineStr">
        <is>
          <t>No</t>
        </is>
      </c>
      <c r="H142" s="3" t="n">
        <v>40000</v>
      </c>
      <c r="I142" s="3" t="n">
        <v>11</v>
      </c>
      <c r="J142" s="3" t="b">
        <v>1</v>
      </c>
      <c r="K142" s="3" t="n">
        <v>4</v>
      </c>
      <c r="L142" s="3" t="n">
        <v>74</v>
      </c>
      <c r="M142" s="3" t="n">
        <v>654</v>
      </c>
      <c r="N142" s="3" t="n">
        <v>3.3</v>
      </c>
      <c r="O142" s="3" t="n">
        <v>216</v>
      </c>
    </row>
    <row r="143">
      <c r="A143" s="3" t="inlineStr">
        <is>
          <t>PrimaryHubDown</t>
        </is>
      </c>
      <c r="B143" s="3" t="inlineStr">
        <is>
          <t>SIM-00114</t>
        </is>
      </c>
      <c r="C143" s="3" t="inlineStr">
        <is>
          <t>RO-02540</t>
        </is>
      </c>
      <c r="D143" s="3" t="inlineStr">
        <is>
          <t>OSAT_ALT_82</t>
        </is>
      </c>
      <c r="E143" s="3" t="inlineStr">
        <is>
          <t>BE_ALT_84</t>
        </is>
      </c>
      <c r="F143" s="3" t="inlineStr">
        <is>
          <t>Ocean</t>
        </is>
      </c>
      <c r="G143" s="3" t="inlineStr">
        <is>
          <t>No</t>
        </is>
      </c>
      <c r="H143" s="3" t="n">
        <v>600</v>
      </c>
      <c r="I143" s="3" t="n">
        <v>1</v>
      </c>
      <c r="J143" s="3" t="b">
        <v>0</v>
      </c>
      <c r="K143" s="3" t="n">
        <v>3</v>
      </c>
      <c r="L143" s="3" t="n">
        <v>3</v>
      </c>
      <c r="M143" s="3" t="n">
        <v>814</v>
      </c>
      <c r="N143" s="3" t="n">
        <v>2.4</v>
      </c>
      <c r="O143" s="3" t="n">
        <v>174</v>
      </c>
    </row>
    <row r="144">
      <c r="A144" s="3" t="inlineStr">
        <is>
          <t>PrimaryHubDown</t>
        </is>
      </c>
      <c r="B144" s="3" t="inlineStr">
        <is>
          <t>SIM-00120</t>
        </is>
      </c>
      <c r="C144" s="3" t="inlineStr">
        <is>
          <t>RO-00119</t>
        </is>
      </c>
      <c r="D144" s="3" t="inlineStr">
        <is>
          <t>SIFO_ALT_13</t>
        </is>
      </c>
      <c r="E144" s="3" t="inlineStr">
        <is>
          <t>OSAT_ALT_15</t>
        </is>
      </c>
      <c r="F144" s="3" t="inlineStr">
        <is>
          <t>Courier</t>
        </is>
      </c>
      <c r="G144" s="3" t="inlineStr">
        <is>
          <t>No</t>
        </is>
      </c>
      <c r="H144" s="3" t="n">
        <v>1200</v>
      </c>
      <c r="I144" s="3" t="n">
        <v>1</v>
      </c>
      <c r="J144" s="3" t="b">
        <v>0</v>
      </c>
      <c r="K144" s="3" t="n">
        <v>6</v>
      </c>
      <c r="L144" s="3" t="n">
        <v>6</v>
      </c>
      <c r="M144" s="3" t="n">
        <v>654</v>
      </c>
      <c r="N144" s="3" t="n">
        <v>3.3</v>
      </c>
      <c r="O144" s="3" t="n">
        <v>244</v>
      </c>
    </row>
    <row r="145">
      <c r="A145" s="3" t="inlineStr">
        <is>
          <t>PrimaryHubDown</t>
        </is>
      </c>
      <c r="B145" s="3" t="inlineStr">
        <is>
          <t>SIM-00121</t>
        </is>
      </c>
      <c r="C145" s="3" t="inlineStr">
        <is>
          <t>RO-00722</t>
        </is>
      </c>
      <c r="D145" s="3" t="inlineStr">
        <is>
          <t>FE_ALT_50</t>
        </is>
      </c>
      <c r="E145" s="3" t="inlineStr">
        <is>
          <t>SIFO_ALT_52</t>
        </is>
      </c>
      <c r="F145" s="3" t="inlineStr">
        <is>
          <t>Air</t>
        </is>
      </c>
      <c r="G145" s="3" t="inlineStr">
        <is>
          <t>No</t>
        </is>
      </c>
      <c r="H145" s="3" t="n">
        <v>1300</v>
      </c>
      <c r="I145" s="3" t="n">
        <v>1</v>
      </c>
      <c r="J145" s="3" t="b">
        <v>0</v>
      </c>
      <c r="K145" s="3" t="n">
        <v>6</v>
      </c>
      <c r="L145" s="3" t="n">
        <v>6</v>
      </c>
      <c r="M145" s="3" t="n">
        <v>394</v>
      </c>
      <c r="N145" s="3" t="n">
        <v>3.2</v>
      </c>
      <c r="O145" s="3" t="n">
        <v>124</v>
      </c>
    </row>
    <row r="146">
      <c r="A146" s="3" t="inlineStr">
        <is>
          <t>PrimaryHubDown</t>
        </is>
      </c>
      <c r="B146" s="3" t="inlineStr">
        <is>
          <t>SIM-00123</t>
        </is>
      </c>
      <c r="C146" s="3" t="inlineStr">
        <is>
          <t>RO-01835</t>
        </is>
      </c>
      <c r="D146" s="3" t="inlineStr">
        <is>
          <t>BE_ALT_35</t>
        </is>
      </c>
      <c r="E146" s="3" t="inlineStr">
        <is>
          <t>OSAT_ALT_37</t>
        </is>
      </c>
      <c r="F146" s="3" t="inlineStr">
        <is>
          <t>Ocean</t>
        </is>
      </c>
      <c r="G146" s="3" t="inlineStr">
        <is>
          <t>No</t>
        </is>
      </c>
      <c r="H146" s="3" t="n">
        <v>1500</v>
      </c>
      <c r="I146" s="3" t="n">
        <v>1</v>
      </c>
      <c r="J146" s="3" t="b">
        <v>0</v>
      </c>
      <c r="K146" s="3" t="n">
        <v>4</v>
      </c>
      <c r="L146" s="3" t="n">
        <v>4</v>
      </c>
      <c r="M146" s="3" t="n">
        <v>726</v>
      </c>
      <c r="N146" s="3" t="n">
        <v>3.3</v>
      </c>
      <c r="O146" s="3" t="n">
        <v>216</v>
      </c>
    </row>
    <row r="147">
      <c r="A147" s="3" t="inlineStr">
        <is>
          <t>PrimaryHubDown</t>
        </is>
      </c>
      <c r="B147" s="3" t="inlineStr">
        <is>
          <t>SIM-00124</t>
        </is>
      </c>
      <c r="C147" s="3" t="inlineStr">
        <is>
          <t>RO-01850</t>
        </is>
      </c>
      <c r="D147" s="3" t="inlineStr">
        <is>
          <t>OSAT_ALT_36</t>
        </is>
      </c>
      <c r="E147" s="3" t="inlineStr">
        <is>
          <t>BE_ALT_38</t>
        </is>
      </c>
      <c r="F147" s="3" t="inlineStr">
        <is>
          <t>Air</t>
        </is>
      </c>
      <c r="G147" s="3" t="inlineStr">
        <is>
          <t>No</t>
        </is>
      </c>
      <c r="H147" s="3" t="n">
        <v>16000</v>
      </c>
      <c r="I147" s="3" t="n">
        <v>4</v>
      </c>
      <c r="J147" s="3" t="b">
        <v>1</v>
      </c>
      <c r="K147" s="3" t="n">
        <v>6</v>
      </c>
      <c r="L147" s="3" t="n">
        <v>27</v>
      </c>
      <c r="M147" s="3" t="n">
        <v>430</v>
      </c>
      <c r="N147" s="3" t="n">
        <v>3.2</v>
      </c>
      <c r="O147" s="3" t="n">
        <v>124</v>
      </c>
    </row>
    <row r="148">
      <c r="A148" s="3" t="inlineStr">
        <is>
          <t>PrimaryHubDown</t>
        </is>
      </c>
      <c r="B148" s="3" t="inlineStr">
        <is>
          <t>SIM-00125</t>
        </is>
      </c>
      <c r="C148" s="3" t="inlineStr">
        <is>
          <t>RO-02468</t>
        </is>
      </c>
      <c r="D148" s="3" t="inlineStr">
        <is>
          <t>BE_ALT_78</t>
        </is>
      </c>
      <c r="E148" s="3" t="inlineStr">
        <is>
          <t>SIFO_ALT_80</t>
        </is>
      </c>
      <c r="F148" s="3" t="inlineStr">
        <is>
          <t>Air</t>
        </is>
      </c>
      <c r="G148" s="3" t="inlineStr">
        <is>
          <t>No</t>
        </is>
      </c>
      <c r="H148" s="3" t="n">
        <v>1700</v>
      </c>
      <c r="I148" s="3" t="n">
        <v>1</v>
      </c>
      <c r="J148" s="3" t="b">
        <v>0</v>
      </c>
      <c r="K148" s="3" t="n">
        <v>4</v>
      </c>
      <c r="L148" s="3" t="n">
        <v>4</v>
      </c>
      <c r="M148" s="3" t="n">
        <v>814</v>
      </c>
      <c r="N148" s="3" t="n">
        <v>2.4</v>
      </c>
      <c r="O148" s="3" t="n">
        <v>180</v>
      </c>
    </row>
    <row r="149">
      <c r="A149" s="3" t="inlineStr">
        <is>
          <t>PrimaryHubDown</t>
        </is>
      </c>
      <c r="B149" s="3" t="inlineStr">
        <is>
          <t>SIM-00128</t>
        </is>
      </c>
      <c r="C149" s="3" t="inlineStr">
        <is>
          <t>RO-00236</t>
        </is>
      </c>
      <c r="D149" s="3" t="inlineStr">
        <is>
          <t>BE_ALT_20</t>
        </is>
      </c>
      <c r="E149" s="3" t="inlineStr">
        <is>
          <t>BE_ALT_22</t>
        </is>
      </c>
      <c r="F149" s="3" t="inlineStr">
        <is>
          <t>Courier</t>
        </is>
      </c>
      <c r="G149" s="3" t="inlineStr">
        <is>
          <t>No</t>
        </is>
      </c>
      <c r="H149" s="3" t="n">
        <v>200</v>
      </c>
      <c r="I149" s="3" t="n">
        <v>1</v>
      </c>
      <c r="J149" s="3" t="b">
        <v>0</v>
      </c>
      <c r="K149" s="3" t="n">
        <v>3</v>
      </c>
      <c r="L149" s="3" t="n">
        <v>3</v>
      </c>
      <c r="M149" s="3" t="n">
        <v>814</v>
      </c>
      <c r="N149" s="3" t="n">
        <v>2.4</v>
      </c>
      <c r="O149" s="3" t="n">
        <v>174</v>
      </c>
    </row>
    <row r="150">
      <c r="A150" s="3" t="inlineStr">
        <is>
          <t>PrimaryHubDown</t>
        </is>
      </c>
      <c r="B150" s="3" t="inlineStr">
        <is>
          <t>SIM-00129</t>
        </is>
      </c>
      <c r="C150" s="3" t="inlineStr">
        <is>
          <t>RO-01214</t>
        </is>
      </c>
      <c r="D150" s="3" t="inlineStr">
        <is>
          <t>OSAT_ALT_86</t>
        </is>
      </c>
      <c r="E150" s="3" t="inlineStr">
        <is>
          <t>OSAT_ALT_88</t>
        </is>
      </c>
      <c r="F150" s="3" t="inlineStr">
        <is>
          <t>Road</t>
        </is>
      </c>
      <c r="G150" s="3" t="inlineStr">
        <is>
          <t>No</t>
        </is>
      </c>
      <c r="H150" s="3" t="n">
        <v>90000</v>
      </c>
      <c r="I150" s="3" t="n">
        <v>12</v>
      </c>
      <c r="J150" s="3" t="b">
        <v>1</v>
      </c>
      <c r="K150" s="3" t="n">
        <v>8</v>
      </c>
      <c r="L150" s="3" t="n">
        <v>85</v>
      </c>
      <c r="M150" s="3" t="n">
        <v>466</v>
      </c>
      <c r="N150" s="3" t="n">
        <v>3.2</v>
      </c>
      <c r="O150" s="3" t="n">
        <v>152</v>
      </c>
    </row>
    <row r="151">
      <c r="A151" s="3" t="inlineStr">
        <is>
          <t>PrimaryHubDown</t>
        </is>
      </c>
      <c r="B151" s="3" t="inlineStr">
        <is>
          <t>SIM-00130</t>
        </is>
      </c>
      <c r="C151" s="3" t="inlineStr">
        <is>
          <t>RO-01949</t>
        </is>
      </c>
      <c r="D151" s="3" t="inlineStr">
        <is>
          <t>SIFO_ALT_45</t>
        </is>
      </c>
      <c r="E151" s="3" t="inlineStr">
        <is>
          <t>OSAT_ALT_47</t>
        </is>
      </c>
      <c r="F151" s="3" t="inlineStr">
        <is>
          <t>Road</t>
        </is>
      </c>
      <c r="G151" s="3" t="inlineStr">
        <is>
          <t>No</t>
        </is>
      </c>
      <c r="H151" s="3" t="n">
        <v>400</v>
      </c>
      <c r="I151" s="3" t="n">
        <v>1</v>
      </c>
      <c r="J151" s="3" t="b">
        <v>0</v>
      </c>
      <c r="K151" s="3" t="n">
        <v>12</v>
      </c>
      <c r="L151" s="3" t="n">
        <v>12</v>
      </c>
      <c r="M151" s="3" t="n">
        <v>350</v>
      </c>
      <c r="N151" s="3" t="n">
        <v>4.7</v>
      </c>
      <c r="O151" s="3" t="n">
        <v>147</v>
      </c>
    </row>
    <row r="152">
      <c r="A152" s="3" t="inlineStr">
        <is>
          <t>PrimaryHubDown</t>
        </is>
      </c>
      <c r="B152" s="3" t="inlineStr">
        <is>
          <t>SIM-00137</t>
        </is>
      </c>
      <c r="C152" s="3" t="inlineStr">
        <is>
          <t>RO-03011</t>
        </is>
      </c>
      <c r="D152" s="3" t="inlineStr">
        <is>
          <t>FE_ALT_25</t>
        </is>
      </c>
      <c r="E152" s="3" t="inlineStr">
        <is>
          <t>BE_ALT_27</t>
        </is>
      </c>
      <c r="F152" s="3" t="inlineStr">
        <is>
          <t>Air</t>
        </is>
      </c>
      <c r="G152" s="3" t="inlineStr">
        <is>
          <t>No</t>
        </is>
      </c>
      <c r="H152" s="3" t="n">
        <v>1100</v>
      </c>
      <c r="I152" s="3" t="n">
        <v>1</v>
      </c>
      <c r="J152" s="3" t="b">
        <v>0</v>
      </c>
      <c r="K152" s="3" t="n">
        <v>4</v>
      </c>
      <c r="L152" s="3" t="n">
        <v>4</v>
      </c>
      <c r="M152" s="3" t="n">
        <v>690</v>
      </c>
      <c r="N152" s="3" t="n">
        <v>3.3</v>
      </c>
      <c r="O152" s="3" t="n">
        <v>216</v>
      </c>
    </row>
    <row r="153">
      <c r="A153" s="3" t="inlineStr">
        <is>
          <t>PrimaryHubDown</t>
        </is>
      </c>
      <c r="B153" s="3" t="inlineStr">
        <is>
          <t>SIM-00140</t>
        </is>
      </c>
      <c r="C153" s="3" t="inlineStr">
        <is>
          <t>RO-02099</t>
        </is>
      </c>
      <c r="D153" s="3" t="inlineStr">
        <is>
          <t>SIFO_ALT_55</t>
        </is>
      </c>
      <c r="E153" s="3" t="inlineStr">
        <is>
          <t>OSAT_ALT_57</t>
        </is>
      </c>
      <c r="F153" s="3" t="inlineStr">
        <is>
          <t>Courier</t>
        </is>
      </c>
      <c r="G153" s="3" t="inlineStr">
        <is>
          <t>No</t>
        </is>
      </c>
      <c r="H153" s="3" t="n">
        <v>1400</v>
      </c>
      <c r="I153" s="3" t="n">
        <v>1</v>
      </c>
      <c r="J153" s="3" t="b">
        <v>0</v>
      </c>
      <c r="K153" s="3" t="n">
        <v>6</v>
      </c>
      <c r="L153" s="3" t="n">
        <v>6</v>
      </c>
      <c r="M153" s="3" t="n">
        <v>654</v>
      </c>
      <c r="N153" s="3" t="n">
        <v>3.3</v>
      </c>
      <c r="O153" s="3" t="n">
        <v>228</v>
      </c>
    </row>
    <row r="154">
      <c r="A154" s="3" t="inlineStr">
        <is>
          <t>PrimaryHubDown</t>
        </is>
      </c>
      <c r="B154" s="3" t="inlineStr">
        <is>
          <t>SIM-00144</t>
        </is>
      </c>
      <c r="C154" s="3" t="inlineStr">
        <is>
          <t>RO-02150</t>
        </is>
      </c>
      <c r="D154" s="3" t="inlineStr">
        <is>
          <t>OSAT_ALT_56</t>
        </is>
      </c>
      <c r="E154" s="3" t="inlineStr">
        <is>
          <t>BE_ALT_58</t>
        </is>
      </c>
      <c r="F154" s="3" t="inlineStr">
        <is>
          <t>Air</t>
        </is>
      </c>
      <c r="G154" s="3" t="inlineStr">
        <is>
          <t>No</t>
        </is>
      </c>
      <c r="H154" s="3" t="n">
        <v>1800</v>
      </c>
      <c r="I154" s="3" t="n">
        <v>1</v>
      </c>
      <c r="J154" s="3" t="b">
        <v>0</v>
      </c>
      <c r="K154" s="3" t="n">
        <v>6</v>
      </c>
      <c r="L154" s="3" t="n">
        <v>6</v>
      </c>
      <c r="M154" s="3" t="n">
        <v>466</v>
      </c>
      <c r="N154" s="3" t="n">
        <v>3.2</v>
      </c>
      <c r="O154" s="3" t="n">
        <v>140</v>
      </c>
    </row>
    <row r="155">
      <c r="A155" s="3" t="inlineStr">
        <is>
          <t>PrimaryHubDown</t>
        </is>
      </c>
      <c r="B155" s="3" t="inlineStr">
        <is>
          <t>SIM-00145</t>
        </is>
      </c>
      <c r="C155" s="3" t="inlineStr">
        <is>
          <t>RO-02168</t>
        </is>
      </c>
      <c r="D155" s="3" t="inlineStr">
        <is>
          <t>BE_ALT_58</t>
        </is>
      </c>
      <c r="E155" s="3" t="inlineStr">
        <is>
          <t>SIFO_ALT_60</t>
        </is>
      </c>
      <c r="F155" s="3" t="inlineStr">
        <is>
          <t>Air</t>
        </is>
      </c>
      <c r="G155" s="3" t="inlineStr">
        <is>
          <t>No</t>
        </is>
      </c>
      <c r="H155" s="3" t="n">
        <v>100</v>
      </c>
      <c r="I155" s="3" t="n">
        <v>1</v>
      </c>
      <c r="J155" s="3" t="b">
        <v>0</v>
      </c>
      <c r="K155" s="3" t="n">
        <v>4</v>
      </c>
      <c r="L155" s="3" t="n">
        <v>4</v>
      </c>
      <c r="M155" s="3" t="n">
        <v>886</v>
      </c>
      <c r="N155" s="3" t="n">
        <v>2.4</v>
      </c>
      <c r="O155" s="3" t="n">
        <v>164</v>
      </c>
    </row>
    <row r="156">
      <c r="A156" s="3" t="inlineStr">
        <is>
          <t>PrimaryHubDown</t>
        </is>
      </c>
      <c r="B156" s="3" t="inlineStr">
        <is>
          <t>SIM-00149</t>
        </is>
      </c>
      <c r="C156" s="3" t="inlineStr">
        <is>
          <t>RO-02954</t>
        </is>
      </c>
      <c r="D156" s="3" t="inlineStr">
        <is>
          <t>OSAT_ALT_22</t>
        </is>
      </c>
      <c r="E156" s="3" t="inlineStr">
        <is>
          <t>OSAT_ALT_24</t>
        </is>
      </c>
      <c r="F156" s="3" t="inlineStr">
        <is>
          <t>Road</t>
        </is>
      </c>
      <c r="G156" s="3" t="inlineStr">
        <is>
          <t>No</t>
        </is>
      </c>
      <c r="H156" s="3" t="n">
        <v>500</v>
      </c>
      <c r="I156" s="3" t="n">
        <v>1</v>
      </c>
      <c r="J156" s="3" t="b">
        <v>0</v>
      </c>
      <c r="K156" s="3" t="n">
        <v>8</v>
      </c>
      <c r="L156" s="3" t="n">
        <v>8</v>
      </c>
      <c r="M156" s="3" t="n">
        <v>394</v>
      </c>
      <c r="N156" s="3" t="n">
        <v>3.2</v>
      </c>
      <c r="O156" s="3" t="n">
        <v>136</v>
      </c>
    </row>
    <row r="157">
      <c r="A157" s="3" t="inlineStr">
        <is>
          <t>PrimaryHubDown</t>
        </is>
      </c>
      <c r="B157" s="3" t="inlineStr">
        <is>
          <t>SIM-00152</t>
        </is>
      </c>
      <c r="C157" s="3" t="inlineStr">
        <is>
          <t>RO-02267</t>
        </is>
      </c>
      <c r="D157" s="3" t="inlineStr">
        <is>
          <t>SIFO_ALT_63</t>
        </is>
      </c>
      <c r="E157" s="3" t="inlineStr">
        <is>
          <t>BE_ALT_65</t>
        </is>
      </c>
      <c r="F157" s="3" t="inlineStr">
        <is>
          <t>Courier</t>
        </is>
      </c>
      <c r="G157" s="3" t="inlineStr">
        <is>
          <t>No</t>
        </is>
      </c>
      <c r="H157" s="3" t="n">
        <v>800</v>
      </c>
      <c r="I157" s="3" t="n">
        <v>1</v>
      </c>
      <c r="J157" s="3" t="b">
        <v>0</v>
      </c>
      <c r="K157" s="3" t="n">
        <v>4</v>
      </c>
      <c r="L157" s="3" t="n">
        <v>4</v>
      </c>
      <c r="M157" s="3" t="n">
        <v>726</v>
      </c>
      <c r="N157" s="3" t="n">
        <v>3.3</v>
      </c>
      <c r="O157" s="3" t="n">
        <v>216</v>
      </c>
    </row>
    <row r="158">
      <c r="A158" s="3" t="inlineStr">
        <is>
          <t>PrimaryHubDown</t>
        </is>
      </c>
      <c r="B158" s="3" t="inlineStr">
        <is>
          <t>SIM-00154</t>
        </is>
      </c>
      <c r="C158" s="3" t="inlineStr">
        <is>
          <t>RO-00740</t>
        </is>
      </c>
      <c r="D158" s="3" t="inlineStr">
        <is>
          <t>OSAT_ALT_52</t>
        </is>
      </c>
      <c r="E158" s="3" t="inlineStr">
        <is>
          <t>BE_ALT_54</t>
        </is>
      </c>
      <c r="F158" s="3" t="inlineStr">
        <is>
          <t>Ocean</t>
        </is>
      </c>
      <c r="G158" s="3" t="inlineStr">
        <is>
          <t>No</t>
        </is>
      </c>
      <c r="H158" s="3" t="n">
        <v>1000</v>
      </c>
      <c r="I158" s="3" t="n">
        <v>2</v>
      </c>
      <c r="J158" s="3" t="b">
        <v>1</v>
      </c>
      <c r="K158" s="3" t="n">
        <v>3</v>
      </c>
      <c r="L158" s="3" t="n">
        <v>10</v>
      </c>
      <c r="M158" s="3" t="n">
        <v>814</v>
      </c>
      <c r="N158" s="3" t="n">
        <v>2.4</v>
      </c>
      <c r="O158" s="3" t="n">
        <v>174</v>
      </c>
    </row>
    <row r="159">
      <c r="A159" s="3" t="inlineStr">
        <is>
          <t>PrimaryHubDown</t>
        </is>
      </c>
      <c r="B159" s="3" t="inlineStr">
        <is>
          <t>SIM-00162</t>
        </is>
      </c>
      <c r="C159" s="3" t="inlineStr">
        <is>
          <t>RO-00497</t>
        </is>
      </c>
      <c r="D159" s="3" t="inlineStr">
        <is>
          <t>SIFO_ALT_35</t>
        </is>
      </c>
      <c r="E159" s="3" t="inlineStr">
        <is>
          <t>BE_ALT_37</t>
        </is>
      </c>
      <c r="F159" s="3" t="inlineStr">
        <is>
          <t>Road</t>
        </is>
      </c>
      <c r="G159" s="3" t="inlineStr">
        <is>
          <t>No</t>
        </is>
      </c>
      <c r="H159" s="3" t="n">
        <v>1800</v>
      </c>
      <c r="I159" s="3" t="n">
        <v>1</v>
      </c>
      <c r="J159" s="3" t="b">
        <v>0</v>
      </c>
      <c r="K159" s="3" t="n">
        <v>11</v>
      </c>
      <c r="L159" s="3" t="n">
        <v>11</v>
      </c>
      <c r="M159" s="3" t="n">
        <v>314</v>
      </c>
      <c r="N159" s="3" t="n">
        <v>4.7</v>
      </c>
      <c r="O159" s="3" t="n">
        <v>125</v>
      </c>
    </row>
    <row r="160">
      <c r="A160" s="3" t="inlineStr">
        <is>
          <t>PrimaryHubDown</t>
        </is>
      </c>
      <c r="B160" s="3" t="inlineStr">
        <is>
          <t>SIM-00165</t>
        </is>
      </c>
      <c r="C160" s="3" t="inlineStr">
        <is>
          <t>RO-02468</t>
        </is>
      </c>
      <c r="D160" s="3" t="inlineStr">
        <is>
          <t>BE_ALT_78</t>
        </is>
      </c>
      <c r="E160" s="3" t="inlineStr">
        <is>
          <t>SIFO_ALT_80</t>
        </is>
      </c>
      <c r="F160" s="3" t="inlineStr">
        <is>
          <t>Air</t>
        </is>
      </c>
      <c r="G160" s="3" t="inlineStr">
        <is>
          <t>No</t>
        </is>
      </c>
      <c r="H160" s="3" t="n">
        <v>300</v>
      </c>
      <c r="I160" s="3" t="n">
        <v>1</v>
      </c>
      <c r="J160" s="3" t="b">
        <v>0</v>
      </c>
      <c r="K160" s="3" t="n">
        <v>4</v>
      </c>
      <c r="L160" s="3" t="n">
        <v>4</v>
      </c>
      <c r="M160" s="3" t="n">
        <v>814</v>
      </c>
      <c r="N160" s="3" t="n">
        <v>2.4</v>
      </c>
      <c r="O160" s="3" t="n">
        <v>180</v>
      </c>
    </row>
    <row r="161">
      <c r="A161" s="3" t="inlineStr">
        <is>
          <t>PrimaryHubDown</t>
        </is>
      </c>
      <c r="B161" s="3" t="inlineStr">
        <is>
          <t>SIM-00166</t>
        </is>
      </c>
      <c r="C161" s="3" t="inlineStr">
        <is>
          <t>RO-02483</t>
        </is>
      </c>
      <c r="D161" s="3" t="inlineStr">
        <is>
          <t>SIFO_ALT_79</t>
        </is>
      </c>
      <c r="E161" s="3" t="inlineStr">
        <is>
          <t>FE_ALT_81</t>
        </is>
      </c>
      <c r="F161" s="3" t="inlineStr">
        <is>
          <t>Road</t>
        </is>
      </c>
      <c r="G161" s="3" t="inlineStr">
        <is>
          <t>No</t>
        </is>
      </c>
      <c r="H161" s="3" t="n">
        <v>400</v>
      </c>
      <c r="I161" s="3" t="n">
        <v>1</v>
      </c>
      <c r="J161" s="3" t="b">
        <v>0</v>
      </c>
      <c r="K161" s="3" t="n">
        <v>5</v>
      </c>
      <c r="L161" s="3" t="n">
        <v>5</v>
      </c>
      <c r="M161" s="3" t="n">
        <v>726</v>
      </c>
      <c r="N161" s="3" t="n">
        <v>3.3</v>
      </c>
      <c r="O161" s="3" t="n">
        <v>222</v>
      </c>
    </row>
    <row r="162">
      <c r="A162" s="3" t="inlineStr">
        <is>
          <t>PrimaryHubDown</t>
        </is>
      </c>
      <c r="B162" s="3" t="inlineStr">
        <is>
          <t>SIM-00168</t>
        </is>
      </c>
      <c r="C162" s="3" t="inlineStr">
        <is>
          <t>RO-02516</t>
        </is>
      </c>
      <c r="D162" s="3" t="inlineStr">
        <is>
          <t>BE_ALT_82</t>
        </is>
      </c>
      <c r="E162" s="3" t="inlineStr">
        <is>
          <t>BE_ALT_84</t>
        </is>
      </c>
      <c r="F162" s="3" t="inlineStr">
        <is>
          <t>Courier</t>
        </is>
      </c>
      <c r="G162" s="3" t="inlineStr">
        <is>
          <t>No</t>
        </is>
      </c>
      <c r="H162" s="3" t="n">
        <v>600</v>
      </c>
      <c r="I162" s="3" t="n">
        <v>1</v>
      </c>
      <c r="J162" s="3" t="b">
        <v>0</v>
      </c>
      <c r="K162" s="3" t="n">
        <v>3</v>
      </c>
      <c r="L162" s="3" t="n">
        <v>3</v>
      </c>
      <c r="M162" s="3" t="n">
        <v>850</v>
      </c>
      <c r="N162" s="3" t="n">
        <v>2.4</v>
      </c>
      <c r="O162" s="3" t="n">
        <v>174</v>
      </c>
    </row>
    <row r="163">
      <c r="A163" s="3" t="inlineStr">
        <is>
          <t>PrimaryHubDown</t>
        </is>
      </c>
      <c r="B163" s="3" t="inlineStr">
        <is>
          <t>SIM-00170</t>
        </is>
      </c>
      <c r="C163" s="3" t="inlineStr">
        <is>
          <t>RO-02549</t>
        </is>
      </c>
      <c r="D163" s="3" t="inlineStr">
        <is>
          <t>SIFO_ALT_85</t>
        </is>
      </c>
      <c r="E163" s="3" t="inlineStr">
        <is>
          <t>OSAT_ALT_87</t>
        </is>
      </c>
      <c r="F163" s="3" t="inlineStr">
        <is>
          <t>Road</t>
        </is>
      </c>
      <c r="G163" s="3" t="inlineStr">
        <is>
          <t>No</t>
        </is>
      </c>
      <c r="H163" s="3" t="n">
        <v>800</v>
      </c>
      <c r="I163" s="3" t="n">
        <v>1</v>
      </c>
      <c r="J163" s="3" t="b">
        <v>0</v>
      </c>
      <c r="K163" s="3" t="n">
        <v>12</v>
      </c>
      <c r="L163" s="3" t="n">
        <v>12</v>
      </c>
      <c r="M163" s="3" t="n">
        <v>314</v>
      </c>
      <c r="N163" s="3" t="n">
        <v>4.7</v>
      </c>
      <c r="O163" s="3" t="n">
        <v>147</v>
      </c>
    </row>
    <row r="164">
      <c r="A164" s="3" t="inlineStr">
        <is>
          <t>PrimaryHubDown</t>
        </is>
      </c>
      <c r="B164" s="3" t="inlineStr">
        <is>
          <t>SIM-00174</t>
        </is>
      </c>
      <c r="C164" s="3" t="inlineStr">
        <is>
          <t>RO-01160</t>
        </is>
      </c>
      <c r="D164" s="3" t="inlineStr">
        <is>
          <t>OSAT_ALT_80</t>
        </is>
      </c>
      <c r="E164" s="3" t="inlineStr">
        <is>
          <t>BE_ALT_82</t>
        </is>
      </c>
      <c r="F164" s="3" t="inlineStr">
        <is>
          <t>Ocean</t>
        </is>
      </c>
      <c r="G164" s="3" t="inlineStr">
        <is>
          <t>No</t>
        </is>
      </c>
      <c r="H164" s="3" t="n">
        <v>1200</v>
      </c>
      <c r="I164" s="3" t="n">
        <v>1</v>
      </c>
      <c r="J164" s="3" t="b">
        <v>0</v>
      </c>
      <c r="K164" s="3" t="n">
        <v>3</v>
      </c>
      <c r="L164" s="3" t="n">
        <v>3</v>
      </c>
      <c r="M164" s="3" t="n">
        <v>886</v>
      </c>
      <c r="N164" s="3" t="n">
        <v>2.4</v>
      </c>
      <c r="O164" s="3" t="n">
        <v>158</v>
      </c>
    </row>
    <row r="165">
      <c r="A165" s="3" t="inlineStr">
        <is>
          <t>PrimaryHubDown</t>
        </is>
      </c>
      <c r="B165" s="3" t="inlineStr">
        <is>
          <t>SIM-00176</t>
        </is>
      </c>
      <c r="C165" s="3" t="inlineStr">
        <is>
          <t>RO-00233</t>
        </is>
      </c>
      <c r="D165" s="3" t="inlineStr">
        <is>
          <t>SIFO_ALT_19</t>
        </is>
      </c>
      <c r="E165" s="3" t="inlineStr">
        <is>
          <t>FE_ALT_21</t>
        </is>
      </c>
      <c r="F165" s="3" t="inlineStr">
        <is>
          <t>Courier</t>
        </is>
      </c>
      <c r="G165" s="3" t="inlineStr">
        <is>
          <t>No</t>
        </is>
      </c>
      <c r="H165" s="3" t="n">
        <v>1400</v>
      </c>
      <c r="I165" s="3" t="n">
        <v>2</v>
      </c>
      <c r="J165" s="3" t="b">
        <v>1</v>
      </c>
      <c r="K165" s="3" t="n">
        <v>12</v>
      </c>
      <c r="L165" s="3" t="n">
        <v>19</v>
      </c>
      <c r="M165" s="3" t="n">
        <v>386</v>
      </c>
      <c r="N165" s="3" t="n">
        <v>4.7</v>
      </c>
      <c r="O165" s="3" t="n">
        <v>131</v>
      </c>
    </row>
    <row r="166">
      <c r="A166" s="3" t="inlineStr">
        <is>
          <t>PrimaryHubDown</t>
        </is>
      </c>
      <c r="B166" s="3" t="inlineStr">
        <is>
          <t>SIM-00180</t>
        </is>
      </c>
      <c r="C166" s="3" t="inlineStr">
        <is>
          <t>RO-02579</t>
        </is>
      </c>
      <c r="D166" s="3" t="inlineStr">
        <is>
          <t>SIFO_ALT_87</t>
        </is>
      </c>
      <c r="E166" s="3" t="inlineStr">
        <is>
          <t>OSAT_ALT_89</t>
        </is>
      </c>
      <c r="F166" s="3" t="inlineStr">
        <is>
          <t>Courier</t>
        </is>
      </c>
      <c r="G166" s="3" t="inlineStr">
        <is>
          <t>No</t>
        </is>
      </c>
      <c r="H166" s="3" t="n">
        <v>54000</v>
      </c>
      <c r="I166" s="3" t="n">
        <v>9</v>
      </c>
      <c r="J166" s="3" t="b">
        <v>1</v>
      </c>
      <c r="K166" s="3" t="n">
        <v>6</v>
      </c>
      <c r="L166" s="3" t="n">
        <v>62</v>
      </c>
      <c r="M166" s="3" t="n">
        <v>690</v>
      </c>
      <c r="N166" s="3" t="n">
        <v>3.3</v>
      </c>
      <c r="O166" s="3" t="n">
        <v>228</v>
      </c>
    </row>
    <row r="167">
      <c r="A167" s="3" t="inlineStr">
        <is>
          <t>PrimaryHubDown</t>
        </is>
      </c>
      <c r="B167" s="3" t="inlineStr">
        <is>
          <t>SIM-00183</t>
        </is>
      </c>
      <c r="C167" s="3" t="inlineStr">
        <is>
          <t>RO-00335</t>
        </is>
      </c>
      <c r="D167" s="3" t="inlineStr">
        <is>
          <t>BE_ALT_25</t>
        </is>
      </c>
      <c r="E167" s="3" t="inlineStr">
        <is>
          <t>OSAT_ALT_27</t>
        </is>
      </c>
      <c r="F167" s="3" t="inlineStr">
        <is>
          <t>Ocean</t>
        </is>
      </c>
      <c r="G167" s="3" t="inlineStr">
        <is>
          <t>No</t>
        </is>
      </c>
      <c r="H167" s="3" t="n">
        <v>1500</v>
      </c>
      <c r="I167" s="3" t="n">
        <v>1</v>
      </c>
      <c r="J167" s="3" t="b">
        <v>0</v>
      </c>
      <c r="K167" s="3" t="n">
        <v>4</v>
      </c>
      <c r="L167" s="3" t="n">
        <v>4</v>
      </c>
      <c r="M167" s="3" t="n">
        <v>654</v>
      </c>
      <c r="N167" s="3" t="n">
        <v>3.3</v>
      </c>
      <c r="O167" s="3" t="n">
        <v>232</v>
      </c>
    </row>
    <row r="168">
      <c r="A168" s="3" t="inlineStr">
        <is>
          <t>PrimaryHubDown</t>
        </is>
      </c>
      <c r="B168" s="3" t="inlineStr">
        <is>
          <t>SIM-00184</t>
        </is>
      </c>
      <c r="C168" s="3" t="inlineStr">
        <is>
          <t>RO-01550</t>
        </is>
      </c>
      <c r="D168" s="3" t="inlineStr">
        <is>
          <t>OSAT_ALT_16</t>
        </is>
      </c>
      <c r="E168" s="3" t="inlineStr">
        <is>
          <t>BE_ALT_18</t>
        </is>
      </c>
      <c r="F168" s="3" t="inlineStr">
        <is>
          <t>Air</t>
        </is>
      </c>
      <c r="G168" s="3" t="inlineStr">
        <is>
          <t>No</t>
        </is>
      </c>
      <c r="H168" s="3" t="n">
        <v>400</v>
      </c>
      <c r="I168" s="3" t="n">
        <v>1</v>
      </c>
      <c r="J168" s="3" t="b">
        <v>0</v>
      </c>
      <c r="K168" s="3" t="n">
        <v>6</v>
      </c>
      <c r="L168" s="3" t="n">
        <v>6</v>
      </c>
      <c r="M168" s="3" t="n">
        <v>394</v>
      </c>
      <c r="N168" s="3" t="n">
        <v>3.2</v>
      </c>
      <c r="O168" s="3" t="n">
        <v>140</v>
      </c>
    </row>
    <row r="169">
      <c r="A169" s="3" t="inlineStr">
        <is>
          <t>PrimaryHubDown</t>
        </is>
      </c>
      <c r="B169" s="3" t="inlineStr">
        <is>
          <t>SIM-00185</t>
        </is>
      </c>
      <c r="C169" s="3" t="inlineStr">
        <is>
          <t>RO-02768</t>
        </is>
      </c>
      <c r="D169" s="3" t="inlineStr">
        <is>
          <t>BE_ALT_08</t>
        </is>
      </c>
      <c r="E169" s="3" t="inlineStr">
        <is>
          <t>SIFO_ALT_10</t>
        </is>
      </c>
      <c r="F169" s="3" t="inlineStr">
        <is>
          <t>Air</t>
        </is>
      </c>
      <c r="G169" s="3" t="inlineStr">
        <is>
          <t>No</t>
        </is>
      </c>
      <c r="H169" s="3" t="n">
        <v>2500</v>
      </c>
      <c r="I169" s="3" t="n">
        <v>1</v>
      </c>
      <c r="J169" s="3" t="b">
        <v>0</v>
      </c>
      <c r="K169" s="3" t="n">
        <v>4</v>
      </c>
      <c r="L169" s="3" t="n">
        <v>4</v>
      </c>
      <c r="M169" s="3" t="n">
        <v>850</v>
      </c>
      <c r="N169" s="3" t="n">
        <v>2.4</v>
      </c>
      <c r="O169" s="3" t="n">
        <v>164</v>
      </c>
    </row>
    <row r="170">
      <c r="A170" s="3" t="inlineStr">
        <is>
          <t>PrimaryHubDown</t>
        </is>
      </c>
      <c r="B170" s="3" t="inlineStr">
        <is>
          <t>SIM-00189</t>
        </is>
      </c>
      <c r="C170" s="3" t="inlineStr">
        <is>
          <t>RO-02954</t>
        </is>
      </c>
      <c r="D170" s="3" t="inlineStr">
        <is>
          <t>OSAT_ALT_22</t>
        </is>
      </c>
      <c r="E170" s="3" t="inlineStr">
        <is>
          <t>OSAT_ALT_24</t>
        </is>
      </c>
      <c r="F170" s="3" t="inlineStr">
        <is>
          <t>Road</t>
        </is>
      </c>
      <c r="G170" s="3" t="inlineStr">
        <is>
          <t>No</t>
        </is>
      </c>
      <c r="H170" s="3" t="n">
        <v>900</v>
      </c>
      <c r="I170" s="3" t="n">
        <v>1</v>
      </c>
      <c r="J170" s="3" t="b">
        <v>0</v>
      </c>
      <c r="K170" s="3" t="n">
        <v>8</v>
      </c>
      <c r="L170" s="3" t="n">
        <v>8</v>
      </c>
      <c r="M170" s="3" t="n">
        <v>394</v>
      </c>
      <c r="N170" s="3" t="n">
        <v>3.2</v>
      </c>
      <c r="O170" s="3" t="n">
        <v>136</v>
      </c>
    </row>
    <row r="171">
      <c r="A171" s="3" t="inlineStr">
        <is>
          <t>PrimaryHubDown</t>
        </is>
      </c>
      <c r="B171" s="3" t="inlineStr">
        <is>
          <t>SIM-00192</t>
        </is>
      </c>
      <c r="C171" s="3" t="inlineStr">
        <is>
          <t>RO-00227</t>
        </is>
      </c>
      <c r="D171" s="3" t="inlineStr">
        <is>
          <t>SIFO_ALT_17</t>
        </is>
      </c>
      <c r="E171" s="3" t="inlineStr">
        <is>
          <t>BE_ALT_19</t>
        </is>
      </c>
      <c r="F171" s="3" t="inlineStr">
        <is>
          <t>Courier</t>
        </is>
      </c>
      <c r="G171" s="3" t="inlineStr">
        <is>
          <t>No</t>
        </is>
      </c>
      <c r="H171" s="3" t="n">
        <v>1200</v>
      </c>
      <c r="I171" s="3" t="n">
        <v>1</v>
      </c>
      <c r="J171" s="3" t="b">
        <v>0</v>
      </c>
      <c r="K171" s="3" t="n">
        <v>4</v>
      </c>
      <c r="L171" s="3" t="n">
        <v>4</v>
      </c>
      <c r="M171" s="3" t="n">
        <v>654</v>
      </c>
      <c r="N171" s="3" t="n">
        <v>3.3</v>
      </c>
      <c r="O171" s="3" t="n">
        <v>216</v>
      </c>
    </row>
    <row r="172">
      <c r="A172" s="3" t="inlineStr">
        <is>
          <t>PrimaryHubDown</t>
        </is>
      </c>
      <c r="B172" s="3" t="inlineStr">
        <is>
          <t>SIM-00196</t>
        </is>
      </c>
      <c r="C172" s="3" t="inlineStr">
        <is>
          <t>RO-02933</t>
        </is>
      </c>
      <c r="D172" s="3" t="inlineStr">
        <is>
          <t>SIFO_ALT_19</t>
        </is>
      </c>
      <c r="E172" s="3" t="inlineStr">
        <is>
          <t>FE_ALT_21</t>
        </is>
      </c>
      <c r="F172" s="3" t="inlineStr">
        <is>
          <t>Courier</t>
        </is>
      </c>
      <c r="G172" s="3" t="inlineStr">
        <is>
          <t>No</t>
        </is>
      </c>
      <c r="H172" s="3" t="n">
        <v>1600</v>
      </c>
      <c r="I172" s="3" t="n">
        <v>2</v>
      </c>
      <c r="J172" s="3" t="b">
        <v>1</v>
      </c>
      <c r="K172" s="3" t="n">
        <v>12</v>
      </c>
      <c r="L172" s="3" t="n">
        <v>19</v>
      </c>
      <c r="M172" s="3" t="n">
        <v>386</v>
      </c>
      <c r="N172" s="3" t="n">
        <v>4.7</v>
      </c>
      <c r="O172" s="3" t="n">
        <v>147</v>
      </c>
    </row>
    <row r="173">
      <c r="A173" s="3" t="inlineStr">
        <is>
          <t>PrimaryHubDown</t>
        </is>
      </c>
      <c r="B173" s="3" t="inlineStr">
        <is>
          <t>SIM-00200</t>
        </is>
      </c>
      <c r="C173" s="3" t="inlineStr">
        <is>
          <t>RO-02999</t>
        </is>
      </c>
      <c r="D173" s="3" t="inlineStr">
        <is>
          <t>SIFO_ALT_25</t>
        </is>
      </c>
      <c r="E173" s="3" t="inlineStr">
        <is>
          <t>OSAT_ALT_27</t>
        </is>
      </c>
      <c r="F173" s="3" t="inlineStr">
        <is>
          <t>Courier</t>
        </is>
      </c>
      <c r="G173" s="3" t="inlineStr">
        <is>
          <t>No</t>
        </is>
      </c>
      <c r="H173" s="3" t="n">
        <v>200</v>
      </c>
      <c r="I173" s="3" t="n">
        <v>1</v>
      </c>
      <c r="J173" s="3" t="b">
        <v>0</v>
      </c>
      <c r="K173" s="3" t="n">
        <v>6</v>
      </c>
      <c r="L173" s="3" t="n">
        <v>6</v>
      </c>
      <c r="M173" s="3" t="n">
        <v>654</v>
      </c>
      <c r="N173" s="3" t="n">
        <v>3.3</v>
      </c>
      <c r="O173" s="3" t="n">
        <v>244</v>
      </c>
    </row>
    <row r="174">
      <c r="A174" s="3" t="inlineStr">
        <is>
          <t>PrimaryHubDown</t>
        </is>
      </c>
      <c r="B174" s="3" t="inlineStr">
        <is>
          <t>SIM-00205</t>
        </is>
      </c>
      <c r="C174" s="3" t="inlineStr">
        <is>
          <t>RO-00668</t>
        </is>
      </c>
      <c r="D174" s="3" t="inlineStr">
        <is>
          <t>BE_ALT_48</t>
        </is>
      </c>
      <c r="E174" s="3" t="inlineStr">
        <is>
          <t>SIFO_ALT_50</t>
        </is>
      </c>
      <c r="F174" s="3" t="inlineStr">
        <is>
          <t>Air</t>
        </is>
      </c>
      <c r="G174" s="3" t="inlineStr">
        <is>
          <t>No</t>
        </is>
      </c>
      <c r="H174" s="3" t="n">
        <v>700</v>
      </c>
      <c r="I174" s="3" t="n">
        <v>1</v>
      </c>
      <c r="J174" s="3" t="b">
        <v>0</v>
      </c>
      <c r="K174" s="3" t="n">
        <v>4</v>
      </c>
      <c r="L174" s="3" t="n">
        <v>4</v>
      </c>
      <c r="M174" s="3" t="n">
        <v>814</v>
      </c>
      <c r="N174" s="3" t="n">
        <v>2.4</v>
      </c>
      <c r="O174" s="3" t="n">
        <v>180</v>
      </c>
    </row>
    <row r="175">
      <c r="A175" s="3" t="inlineStr">
        <is>
          <t>PrimaryHubDown</t>
        </is>
      </c>
      <c r="B175" s="3" t="inlineStr">
        <is>
          <t>SIM-00209</t>
        </is>
      </c>
      <c r="C175" s="3" t="inlineStr">
        <is>
          <t>RO-03134</t>
        </is>
      </c>
      <c r="D175" s="3" t="inlineStr">
        <is>
          <t>OSAT_ALT_34</t>
        </is>
      </c>
      <c r="E175" s="3" t="inlineStr">
        <is>
          <t>OSAT_ALT_36</t>
        </is>
      </c>
      <c r="F175" s="3" t="inlineStr">
        <is>
          <t>Road</t>
        </is>
      </c>
      <c r="G175" s="3" t="inlineStr">
        <is>
          <t>No</t>
        </is>
      </c>
      <c r="H175" s="3" t="n">
        <v>33000</v>
      </c>
      <c r="I175" s="3" t="n">
        <v>8</v>
      </c>
      <c r="J175" s="3" t="b">
        <v>1</v>
      </c>
      <c r="K175" s="3" t="n">
        <v>8</v>
      </c>
      <c r="L175" s="3" t="n">
        <v>57</v>
      </c>
      <c r="M175" s="3" t="n">
        <v>394</v>
      </c>
      <c r="N175" s="3" t="n">
        <v>3.2</v>
      </c>
      <c r="O175" s="3" t="n">
        <v>152</v>
      </c>
    </row>
    <row r="176">
      <c r="A176" s="3" t="inlineStr">
        <is>
          <t>PrimaryHubDown</t>
        </is>
      </c>
      <c r="B176" s="3" t="inlineStr">
        <is>
          <t>SIM-00212</t>
        </is>
      </c>
      <c r="C176" s="3" t="inlineStr">
        <is>
          <t>RO-03287</t>
        </is>
      </c>
      <c r="D176" s="3" t="inlineStr">
        <is>
          <t>SIFO_ALT_41</t>
        </is>
      </c>
      <c r="E176" s="3" t="inlineStr">
        <is>
          <t>BE_ALT_43</t>
        </is>
      </c>
      <c r="F176" s="3" t="inlineStr">
        <is>
          <t>Courier</t>
        </is>
      </c>
      <c r="G176" s="3" t="inlineStr">
        <is>
          <t>No</t>
        </is>
      </c>
      <c r="H176" s="3" t="n">
        <v>1400</v>
      </c>
      <c r="I176" s="3" t="n">
        <v>1</v>
      </c>
      <c r="J176" s="3" t="b">
        <v>0</v>
      </c>
      <c r="K176" s="3" t="n">
        <v>4</v>
      </c>
      <c r="L176" s="3" t="n">
        <v>4</v>
      </c>
      <c r="M176" s="3" t="n">
        <v>654</v>
      </c>
      <c r="N176" s="3" t="n">
        <v>3.3</v>
      </c>
      <c r="O176" s="3" t="n">
        <v>232</v>
      </c>
    </row>
    <row r="177">
      <c r="A177" s="3" t="inlineStr">
        <is>
          <t>PrimaryHubDown</t>
        </is>
      </c>
      <c r="B177" s="3" t="inlineStr">
        <is>
          <t>SIM-00217</t>
        </is>
      </c>
      <c r="C177" s="3" t="inlineStr">
        <is>
          <t>RO-03251</t>
        </is>
      </c>
      <c r="D177" s="3" t="inlineStr">
        <is>
          <t>FE_ALT_41</t>
        </is>
      </c>
      <c r="E177" s="3" t="inlineStr">
        <is>
          <t>BE_ALT_43</t>
        </is>
      </c>
      <c r="F177" s="3" t="inlineStr">
        <is>
          <t>Air</t>
        </is>
      </c>
      <c r="G177" s="3" t="inlineStr">
        <is>
          <t>No</t>
        </is>
      </c>
      <c r="H177" s="3" t="n">
        <v>100</v>
      </c>
      <c r="I177" s="3" t="n">
        <v>1</v>
      </c>
      <c r="J177" s="3" t="b">
        <v>0</v>
      </c>
      <c r="K177" s="3" t="n">
        <v>4</v>
      </c>
      <c r="L177" s="3" t="n">
        <v>4</v>
      </c>
      <c r="M177" s="3" t="n">
        <v>654</v>
      </c>
      <c r="N177" s="3" t="n">
        <v>3.3</v>
      </c>
      <c r="O177" s="3" t="n">
        <v>216</v>
      </c>
    </row>
    <row r="178">
      <c r="A178" s="3" t="inlineStr">
        <is>
          <t>PrimaryHubDown</t>
        </is>
      </c>
      <c r="B178" s="3" t="inlineStr">
        <is>
          <t>SIM-00218</t>
        </is>
      </c>
      <c r="C178" s="3" t="inlineStr">
        <is>
          <t>RO-01586</t>
        </is>
      </c>
      <c r="D178" s="3" t="inlineStr">
        <is>
          <t>BE_ALT_20</t>
        </is>
      </c>
      <c r="E178" s="3" t="inlineStr">
        <is>
          <t>BE_ALT_22</t>
        </is>
      </c>
      <c r="F178" s="3" t="inlineStr">
        <is>
          <t>Road</t>
        </is>
      </c>
      <c r="G178" s="3" t="inlineStr">
        <is>
          <t>No</t>
        </is>
      </c>
      <c r="H178" s="3" t="n">
        <v>200</v>
      </c>
      <c r="I178" s="3" t="n">
        <v>1</v>
      </c>
      <c r="J178" s="3" t="b">
        <v>0</v>
      </c>
      <c r="K178" s="3" t="n">
        <v>6</v>
      </c>
      <c r="L178" s="3" t="n">
        <v>6</v>
      </c>
      <c r="M178" s="3" t="n">
        <v>394</v>
      </c>
      <c r="N178" s="3" t="n">
        <v>3.2</v>
      </c>
      <c r="O178" s="3" t="n">
        <v>124</v>
      </c>
    </row>
    <row r="179">
      <c r="A179" s="3" t="inlineStr">
        <is>
          <t>PrimaryHubDown</t>
        </is>
      </c>
      <c r="B179" s="3" t="inlineStr">
        <is>
          <t>SIM-00219</t>
        </is>
      </c>
      <c r="C179" s="3" t="inlineStr">
        <is>
          <t>RO-01244</t>
        </is>
      </c>
      <c r="D179" s="3" t="inlineStr">
        <is>
          <t>OSAT_ALT_88</t>
        </is>
      </c>
      <c r="E179" s="3" t="inlineStr">
        <is>
          <t>OSAT_ALT_90</t>
        </is>
      </c>
      <c r="F179" s="3" t="inlineStr">
        <is>
          <t>Courier</t>
        </is>
      </c>
      <c r="G179" s="3" t="inlineStr">
        <is>
          <t>No</t>
        </is>
      </c>
      <c r="H179" s="3" t="n">
        <v>30000</v>
      </c>
      <c r="I179" s="3" t="n">
        <v>7</v>
      </c>
      <c r="J179" s="3" t="b">
        <v>1</v>
      </c>
      <c r="K179" s="3" t="n">
        <v>5</v>
      </c>
      <c r="L179" s="3" t="n">
        <v>47</v>
      </c>
      <c r="M179" s="3" t="n">
        <v>814</v>
      </c>
      <c r="N179" s="3" t="n">
        <v>2.4</v>
      </c>
      <c r="O179" s="3" t="n">
        <v>186</v>
      </c>
    </row>
    <row r="180">
      <c r="A180" s="3" t="inlineStr">
        <is>
          <t>PrimaryHubDown</t>
        </is>
      </c>
      <c r="B180" s="3" t="inlineStr">
        <is>
          <t>SIM-00222</t>
        </is>
      </c>
      <c r="C180" s="3" t="inlineStr">
        <is>
          <t>RO-03317</t>
        </is>
      </c>
      <c r="D180" s="3" t="inlineStr">
        <is>
          <t>SIFO_ALT_43</t>
        </is>
      </c>
      <c r="E180" s="3" t="inlineStr">
        <is>
          <t>BE_ALT_45</t>
        </is>
      </c>
      <c r="F180" s="3" t="inlineStr">
        <is>
          <t>Road</t>
        </is>
      </c>
      <c r="G180" s="3" t="inlineStr">
        <is>
          <t>No</t>
        </is>
      </c>
      <c r="H180" s="3" t="n">
        <v>600</v>
      </c>
      <c r="I180" s="3" t="n">
        <v>1</v>
      </c>
      <c r="J180" s="3" t="b">
        <v>0</v>
      </c>
      <c r="K180" s="3" t="n">
        <v>11</v>
      </c>
      <c r="L180" s="3" t="n">
        <v>11</v>
      </c>
      <c r="M180" s="3" t="n">
        <v>350</v>
      </c>
      <c r="N180" s="3" t="n">
        <v>4.7</v>
      </c>
      <c r="O180" s="3" t="n">
        <v>141</v>
      </c>
    </row>
    <row r="181">
      <c r="A181" s="3" t="inlineStr">
        <is>
          <t>PrimaryHubDown</t>
        </is>
      </c>
      <c r="B181" s="3" t="inlineStr">
        <is>
          <t>SIM-00223</t>
        </is>
      </c>
      <c r="C181" s="3" t="inlineStr">
        <is>
          <t>RO-03215</t>
        </is>
      </c>
      <c r="D181" s="3" t="inlineStr">
        <is>
          <t>BE_ALT_37</t>
        </is>
      </c>
      <c r="E181" s="3" t="inlineStr">
        <is>
          <t>OSAT_ALT_39</t>
        </is>
      </c>
      <c r="F181" s="3" t="inlineStr">
        <is>
          <t>Ocean</t>
        </is>
      </c>
      <c r="G181" s="3" t="inlineStr">
        <is>
          <t>No</t>
        </is>
      </c>
      <c r="H181" s="3" t="n">
        <v>70000</v>
      </c>
      <c r="I181" s="3" t="n">
        <v>12</v>
      </c>
      <c r="J181" s="3" t="b">
        <v>1</v>
      </c>
      <c r="K181" s="3" t="n">
        <v>4</v>
      </c>
      <c r="L181" s="3" t="n">
        <v>81</v>
      </c>
      <c r="M181" s="3" t="n">
        <v>654</v>
      </c>
      <c r="N181" s="3" t="n">
        <v>3.3</v>
      </c>
      <c r="O181" s="3" t="n">
        <v>232</v>
      </c>
    </row>
    <row r="182">
      <c r="A182" s="3" t="inlineStr">
        <is>
          <t>PrimaryHubDown</t>
        </is>
      </c>
      <c r="B182" s="3" t="inlineStr">
        <is>
          <t>SIM-00230</t>
        </is>
      </c>
      <c r="C182" s="3" t="inlineStr">
        <is>
          <t>RO-03449</t>
        </is>
      </c>
      <c r="D182" s="3" t="inlineStr">
        <is>
          <t>SIFO_ALT_55</t>
        </is>
      </c>
      <c r="E182" s="3" t="inlineStr">
        <is>
          <t>OSAT_ALT_57</t>
        </is>
      </c>
      <c r="F182" s="3" t="inlineStr">
        <is>
          <t>Road</t>
        </is>
      </c>
      <c r="G182" s="3" t="inlineStr">
        <is>
          <t>No</t>
        </is>
      </c>
      <c r="H182" s="3" t="n">
        <v>1400</v>
      </c>
      <c r="I182" s="3" t="n">
        <v>1</v>
      </c>
      <c r="J182" s="3" t="b">
        <v>0</v>
      </c>
      <c r="K182" s="3" t="n">
        <v>12</v>
      </c>
      <c r="L182" s="3" t="n">
        <v>12</v>
      </c>
      <c r="M182" s="3" t="n">
        <v>314</v>
      </c>
      <c r="N182" s="3" t="n">
        <v>4.7</v>
      </c>
      <c r="O182" s="3" t="n">
        <v>131</v>
      </c>
    </row>
    <row r="183">
      <c r="A183" s="3" t="inlineStr">
        <is>
          <t>PrimaryHubDown</t>
        </is>
      </c>
      <c r="B183" s="3" t="inlineStr">
        <is>
          <t>SIM-00232</t>
        </is>
      </c>
      <c r="C183" s="3" t="inlineStr">
        <is>
          <t>RO-03467</t>
        </is>
      </c>
      <c r="D183" s="3" t="inlineStr">
        <is>
          <t>SIFO_ALT_53</t>
        </is>
      </c>
      <c r="E183" s="3" t="inlineStr">
        <is>
          <t>BE_ALT_55</t>
        </is>
      </c>
      <c r="F183" s="3" t="inlineStr">
        <is>
          <t>Courier</t>
        </is>
      </c>
      <c r="G183" s="3" t="inlineStr">
        <is>
          <t>No</t>
        </is>
      </c>
      <c r="H183" s="3" t="n">
        <v>1600</v>
      </c>
      <c r="I183" s="3" t="n">
        <v>1</v>
      </c>
      <c r="J183" s="3" t="b">
        <v>0</v>
      </c>
      <c r="K183" s="3" t="n">
        <v>4</v>
      </c>
      <c r="L183" s="3" t="n">
        <v>4</v>
      </c>
      <c r="M183" s="3" t="n">
        <v>654</v>
      </c>
      <c r="N183" s="3" t="n">
        <v>3.3</v>
      </c>
      <c r="O183" s="3" t="n">
        <v>216</v>
      </c>
    </row>
    <row r="184">
      <c r="A184" s="3" t="inlineStr">
        <is>
          <t>PrimaryHubDown</t>
        </is>
      </c>
      <c r="B184" s="3" t="inlineStr">
        <is>
          <t>SIM-00233</t>
        </is>
      </c>
      <c r="C184" s="3" t="inlineStr">
        <is>
          <t>RO-03485</t>
        </is>
      </c>
      <c r="D184" s="3" t="inlineStr">
        <is>
          <t>BE_ALT_55</t>
        </is>
      </c>
      <c r="E184" s="3" t="inlineStr">
        <is>
          <t>OSAT_ALT_57</t>
        </is>
      </c>
      <c r="F184" s="3" t="inlineStr">
        <is>
          <t>Air</t>
        </is>
      </c>
      <c r="G184" s="3" t="inlineStr">
        <is>
          <t>No</t>
        </is>
      </c>
      <c r="H184" s="3" t="n">
        <v>1700</v>
      </c>
      <c r="I184" s="3" t="n">
        <v>1</v>
      </c>
      <c r="J184" s="3" t="b">
        <v>0</v>
      </c>
      <c r="K184" s="3" t="n">
        <v>11</v>
      </c>
      <c r="L184" s="3" t="n">
        <v>11</v>
      </c>
      <c r="M184" s="3" t="n">
        <v>314</v>
      </c>
      <c r="N184" s="3" t="n">
        <v>4.7</v>
      </c>
      <c r="O184" s="3" t="n">
        <v>141</v>
      </c>
    </row>
    <row r="185">
      <c r="A185" s="3" t="inlineStr">
        <is>
          <t>PrimaryHubDown</t>
        </is>
      </c>
      <c r="B185" s="3" t="inlineStr">
        <is>
          <t>SIM-00237</t>
        </is>
      </c>
      <c r="C185" s="3" t="inlineStr">
        <is>
          <t>RO-01391</t>
        </is>
      </c>
      <c r="D185" s="3" t="inlineStr">
        <is>
          <t>FE_ALT_07</t>
        </is>
      </c>
      <c r="E185" s="3" t="inlineStr">
        <is>
          <t>BE_ALT_09</t>
        </is>
      </c>
      <c r="F185" s="3" t="inlineStr">
        <is>
          <t>Air</t>
        </is>
      </c>
      <c r="G185" s="3" t="inlineStr">
        <is>
          <t>No</t>
        </is>
      </c>
      <c r="H185" s="3" t="n">
        <v>300</v>
      </c>
      <c r="I185" s="3" t="n">
        <v>1</v>
      </c>
      <c r="J185" s="3" t="b">
        <v>0</v>
      </c>
      <c r="K185" s="3" t="n">
        <v>4</v>
      </c>
      <c r="L185" s="3" t="n">
        <v>4</v>
      </c>
      <c r="M185" s="3" t="n">
        <v>690</v>
      </c>
      <c r="N185" s="3" t="n">
        <v>3.3</v>
      </c>
      <c r="O185" s="3" t="n">
        <v>232</v>
      </c>
    </row>
    <row r="186">
      <c r="A186" s="3" t="inlineStr">
        <is>
          <t>PrimaryHubDown</t>
        </is>
      </c>
      <c r="B186" s="3" t="inlineStr">
        <is>
          <t>SIM-00238</t>
        </is>
      </c>
      <c r="C186" s="3" t="inlineStr">
        <is>
          <t>RO-03566</t>
        </is>
      </c>
      <c r="D186" s="3" t="inlineStr">
        <is>
          <t>BE_ALT_62</t>
        </is>
      </c>
      <c r="E186" s="3" t="inlineStr">
        <is>
          <t>BE_ALT_64</t>
        </is>
      </c>
      <c r="F186" s="3" t="inlineStr">
        <is>
          <t>Road</t>
        </is>
      </c>
      <c r="G186" s="3" t="inlineStr">
        <is>
          <t>No</t>
        </is>
      </c>
      <c r="H186" s="3" t="n">
        <v>40000</v>
      </c>
      <c r="I186" s="3" t="n">
        <v>11</v>
      </c>
      <c r="J186" s="3" t="b">
        <v>1</v>
      </c>
      <c r="K186" s="3" t="n">
        <v>6</v>
      </c>
      <c r="L186" s="3" t="n">
        <v>76</v>
      </c>
      <c r="M186" s="3" t="n">
        <v>394</v>
      </c>
      <c r="N186" s="3" t="n">
        <v>3.2</v>
      </c>
      <c r="O186" s="3" t="n">
        <v>140</v>
      </c>
    </row>
    <row r="187">
      <c r="A187" s="3" t="inlineStr">
        <is>
          <t>PrimaryHubDown</t>
        </is>
      </c>
      <c r="B187" s="3" t="inlineStr">
        <is>
          <t>SIM-00240</t>
        </is>
      </c>
      <c r="C187" s="3" t="inlineStr">
        <is>
          <t>RO-03359</t>
        </is>
      </c>
      <c r="D187" s="3" t="inlineStr">
        <is>
          <t>SIFO_ALT_49</t>
        </is>
      </c>
      <c r="E187" s="3" t="inlineStr">
        <is>
          <t>OSAT_ALT_51</t>
        </is>
      </c>
      <c r="F187" s="3" t="inlineStr">
        <is>
          <t>Courier</t>
        </is>
      </c>
      <c r="G187" s="3" t="inlineStr">
        <is>
          <t>No</t>
        </is>
      </c>
      <c r="H187" s="3" t="n">
        <v>600</v>
      </c>
      <c r="I187" s="3" t="n">
        <v>1</v>
      </c>
      <c r="J187" s="3" t="b">
        <v>0</v>
      </c>
      <c r="K187" s="3" t="n">
        <v>6</v>
      </c>
      <c r="L187" s="3" t="n">
        <v>6</v>
      </c>
      <c r="M187" s="3" t="n">
        <v>654</v>
      </c>
      <c r="N187" s="3" t="n">
        <v>3.3</v>
      </c>
      <c r="O187" s="3" t="n">
        <v>244</v>
      </c>
    </row>
    <row r="188">
      <c r="A188" s="3" t="inlineStr">
        <is>
          <t>AirCapacityReduced</t>
        </is>
      </c>
      <c r="B188" s="3" t="inlineStr">
        <is>
          <t>SIM-00001</t>
        </is>
      </c>
      <c r="C188" s="3" t="inlineStr">
        <is>
          <t>RO-00003</t>
        </is>
      </c>
      <c r="D188" s="3" t="inlineStr">
        <is>
          <t>FE_ALT_03</t>
        </is>
      </c>
      <c r="E188" s="3" t="inlineStr">
        <is>
          <t>SIFO_ALT_07</t>
        </is>
      </c>
      <c r="F188" s="3" t="inlineStr">
        <is>
          <t>Air</t>
        </is>
      </c>
      <c r="G188" s="3" t="inlineStr">
        <is>
          <t>No</t>
        </is>
      </c>
      <c r="H188" s="3" t="n">
        <v>850</v>
      </c>
      <c r="I188" s="3" t="n">
        <v>1</v>
      </c>
      <c r="J188" s="3" t="b">
        <v>0</v>
      </c>
      <c r="K188" s="3" t="n">
        <v>11</v>
      </c>
      <c r="L188" s="3" t="n">
        <v>11</v>
      </c>
      <c r="M188" s="3" t="n">
        <v>306</v>
      </c>
      <c r="N188" s="3" t="n">
        <v>3.9</v>
      </c>
      <c r="O188" s="3" t="n">
        <v>133</v>
      </c>
    </row>
    <row r="189">
      <c r="A189" s="3" t="inlineStr">
        <is>
          <t>AirCapacityReduced</t>
        </is>
      </c>
      <c r="B189" s="3" t="inlineStr">
        <is>
          <t>SIM-00002</t>
        </is>
      </c>
      <c r="C189" s="3" t="inlineStr">
        <is>
          <t>RO-00018</t>
        </is>
      </c>
      <c r="D189" s="3" t="inlineStr">
        <is>
          <t>SIFO_ALT_04</t>
        </is>
      </c>
      <c r="E189" s="3" t="inlineStr">
        <is>
          <t>BE_ALT_08</t>
        </is>
      </c>
      <c r="F189" s="3" t="inlineStr">
        <is>
          <t>Road</t>
        </is>
      </c>
      <c r="G189" s="3" t="inlineStr">
        <is>
          <t>No</t>
        </is>
      </c>
      <c r="H189" s="3" t="n">
        <v>200</v>
      </c>
      <c r="I189" s="3" t="n">
        <v>1</v>
      </c>
      <c r="J189" s="3" t="b">
        <v>0</v>
      </c>
      <c r="K189" s="3" t="n">
        <v>3</v>
      </c>
      <c r="L189" s="3" t="n">
        <v>3</v>
      </c>
      <c r="M189" s="3" t="n">
        <v>770</v>
      </c>
      <c r="N189" s="3" t="n">
        <v>1.7</v>
      </c>
      <c r="O189" s="3" t="n">
        <v>166</v>
      </c>
    </row>
    <row r="190">
      <c r="A190" s="3" t="inlineStr">
        <is>
          <t>AirCapacityReduced</t>
        </is>
      </c>
      <c r="B190" s="3" t="inlineStr">
        <is>
          <t>SIM-00003</t>
        </is>
      </c>
      <c r="C190" s="3" t="inlineStr">
        <is>
          <t>RO-00036</t>
        </is>
      </c>
      <c r="D190" s="3" t="inlineStr">
        <is>
          <t>BE_ALT_06</t>
        </is>
      </c>
      <c r="E190" s="3" t="inlineStr">
        <is>
          <t>OSAT_ALT_10</t>
        </is>
      </c>
      <c r="F190" s="3" t="inlineStr">
        <is>
          <t>Ocean</t>
        </is>
      </c>
      <c r="G190" s="3" t="inlineStr">
        <is>
          <t>No</t>
        </is>
      </c>
      <c r="H190" s="3" t="n">
        <v>300</v>
      </c>
      <c r="I190" s="3" t="n">
        <v>1</v>
      </c>
      <c r="J190" s="3" t="b">
        <v>0</v>
      </c>
      <c r="K190" s="3" t="n">
        <v>5</v>
      </c>
      <c r="L190" s="3" t="n">
        <v>5</v>
      </c>
      <c r="M190" s="3" t="n">
        <v>350</v>
      </c>
      <c r="N190" s="3" t="n">
        <v>2.5</v>
      </c>
      <c r="O190" s="3" t="n">
        <v>126</v>
      </c>
    </row>
    <row r="191">
      <c r="A191" s="3" t="inlineStr">
        <is>
          <t>AirCapacityReduced</t>
        </is>
      </c>
      <c r="B191" s="3" t="inlineStr">
        <is>
          <t>SIM-00004</t>
        </is>
      </c>
      <c r="C191" s="3" t="inlineStr">
        <is>
          <t>RO-00051</t>
        </is>
      </c>
      <c r="D191" s="3" t="inlineStr">
        <is>
          <t>OSAT_ALT_07</t>
        </is>
      </c>
      <c r="E191" s="3" t="inlineStr">
        <is>
          <t>BE_ALT_11</t>
        </is>
      </c>
      <c r="F191" s="3" t="inlineStr">
        <is>
          <t>Air</t>
        </is>
      </c>
      <c r="G191" s="3" t="inlineStr">
        <is>
          <t>No</t>
        </is>
      </c>
      <c r="H191" s="3" t="n">
        <v>3400</v>
      </c>
      <c r="I191" s="3" t="n">
        <v>1</v>
      </c>
      <c r="J191" s="3" t="b">
        <v>0</v>
      </c>
      <c r="K191" s="3" t="n">
        <v>10</v>
      </c>
      <c r="L191" s="3" t="n">
        <v>10</v>
      </c>
      <c r="M191" s="3" t="n">
        <v>342</v>
      </c>
      <c r="N191" s="3" t="n">
        <v>3.9</v>
      </c>
      <c r="O191" s="3" t="n">
        <v>127</v>
      </c>
    </row>
    <row r="192">
      <c r="A192" s="3" t="inlineStr">
        <is>
          <t>AirCapacityReduced</t>
        </is>
      </c>
      <c r="B192" s="3" t="inlineStr">
        <is>
          <t>SIM-00005</t>
        </is>
      </c>
      <c r="C192" s="3" t="inlineStr">
        <is>
          <t>RO-00069</t>
        </is>
      </c>
      <c r="D192" s="3" t="inlineStr">
        <is>
          <t>BE_ALT_09</t>
        </is>
      </c>
      <c r="E192" s="3" t="inlineStr">
        <is>
          <t>SIFO_ALT_13</t>
        </is>
      </c>
      <c r="F192" s="3" t="inlineStr">
        <is>
          <t>Air</t>
        </is>
      </c>
      <c r="G192" s="3" t="inlineStr">
        <is>
          <t>No</t>
        </is>
      </c>
      <c r="H192" s="3" t="n">
        <v>500</v>
      </c>
      <c r="I192" s="3" t="n">
        <v>1</v>
      </c>
      <c r="J192" s="3" t="b">
        <v>0</v>
      </c>
      <c r="K192" s="3" t="n">
        <v>5</v>
      </c>
      <c r="L192" s="3" t="n">
        <v>5</v>
      </c>
      <c r="M192" s="3" t="n">
        <v>682</v>
      </c>
      <c r="N192" s="3" t="n">
        <v>2.6</v>
      </c>
      <c r="O192" s="3" t="n">
        <v>230</v>
      </c>
    </row>
    <row r="193">
      <c r="A193" s="3" t="inlineStr">
        <is>
          <t>AirCapacityReduced</t>
        </is>
      </c>
      <c r="B193" s="3" t="inlineStr">
        <is>
          <t>SIM-00010</t>
        </is>
      </c>
      <c r="C193" s="3" t="inlineStr">
        <is>
          <t>RO-01110</t>
        </is>
      </c>
      <c r="D193" s="3" t="inlineStr">
        <is>
          <t>SIFO_ALT_80</t>
        </is>
      </c>
      <c r="E193" s="3" t="inlineStr">
        <is>
          <t>OSAT_ALT_84</t>
        </is>
      </c>
      <c r="F193" s="3" t="inlineStr">
        <is>
          <t>Road</t>
        </is>
      </c>
      <c r="G193" s="3" t="inlineStr">
        <is>
          <t>No</t>
        </is>
      </c>
      <c r="H193" s="3" t="n">
        <v>30000</v>
      </c>
      <c r="I193" s="3" t="n">
        <v>8</v>
      </c>
      <c r="J193" s="3" t="b">
        <v>1</v>
      </c>
      <c r="K193" s="3" t="n">
        <v>2</v>
      </c>
      <c r="L193" s="3" t="n">
        <v>51</v>
      </c>
      <c r="M193" s="3" t="n">
        <v>806</v>
      </c>
      <c r="N193" s="3" t="n">
        <v>1.7</v>
      </c>
      <c r="O193" s="3" t="n">
        <v>176</v>
      </c>
    </row>
    <row r="194">
      <c r="A194" s="3" t="inlineStr">
        <is>
          <t>AirCapacityReduced</t>
        </is>
      </c>
      <c r="B194" s="3" t="inlineStr">
        <is>
          <t>SIM-00012</t>
        </is>
      </c>
      <c r="C194" s="3" t="inlineStr">
        <is>
          <t>RO-01488</t>
        </is>
      </c>
      <c r="D194" s="3" t="inlineStr">
        <is>
          <t>SIFO_ALT_12</t>
        </is>
      </c>
      <c r="E194" s="3" t="inlineStr">
        <is>
          <t>BE_ALT_16</t>
        </is>
      </c>
      <c r="F194" s="3" t="inlineStr">
        <is>
          <t>Courier</t>
        </is>
      </c>
      <c r="G194" s="3" t="inlineStr">
        <is>
          <t>No</t>
        </is>
      </c>
      <c r="H194" s="3" t="n">
        <v>36000</v>
      </c>
      <c r="I194" s="3" t="n">
        <v>9</v>
      </c>
      <c r="J194" s="3" t="b">
        <v>1</v>
      </c>
      <c r="K194" s="3" t="n">
        <v>6</v>
      </c>
      <c r="L194" s="3" t="n">
        <v>62</v>
      </c>
      <c r="M194" s="3" t="n">
        <v>386</v>
      </c>
      <c r="N194" s="3" t="n">
        <v>2.5</v>
      </c>
      <c r="O194" s="3" t="n">
        <v>116</v>
      </c>
    </row>
    <row r="195">
      <c r="A195" s="3" t="inlineStr">
        <is>
          <t>AirCapacityReduced</t>
        </is>
      </c>
      <c r="B195" s="3" t="inlineStr">
        <is>
          <t>SIM-00016</t>
        </is>
      </c>
      <c r="C195" s="3" t="inlineStr">
        <is>
          <t>RO-02874</t>
        </is>
      </c>
      <c r="D195" s="3" t="inlineStr">
        <is>
          <t>SIFO_ALT_16</t>
        </is>
      </c>
      <c r="E195" s="3" t="inlineStr">
        <is>
          <t>FE_ALT_20</t>
        </is>
      </c>
      <c r="F195" s="3" t="inlineStr">
        <is>
          <t>Courier</t>
        </is>
      </c>
      <c r="G195" s="3" t="inlineStr">
        <is>
          <t>No</t>
        </is>
      </c>
      <c r="H195" s="3" t="n">
        <v>1600</v>
      </c>
      <c r="I195" s="3" t="n">
        <v>1</v>
      </c>
      <c r="J195" s="3" t="b">
        <v>0</v>
      </c>
      <c r="K195" s="3" t="n">
        <v>4</v>
      </c>
      <c r="L195" s="3" t="n">
        <v>4</v>
      </c>
      <c r="M195" s="3" t="n">
        <v>806</v>
      </c>
      <c r="N195" s="3" t="n">
        <v>1.7</v>
      </c>
      <c r="O195" s="3" t="n">
        <v>172</v>
      </c>
    </row>
    <row r="196">
      <c r="A196" s="3" t="inlineStr">
        <is>
          <t>AirCapacityReduced</t>
        </is>
      </c>
      <c r="B196" s="3" t="inlineStr">
        <is>
          <t>SIM-00018</t>
        </is>
      </c>
      <c r="C196" s="3" t="inlineStr">
        <is>
          <t>RO-02187</t>
        </is>
      </c>
      <c r="D196" s="3" t="inlineStr">
        <is>
          <t>BE_ALT_61</t>
        </is>
      </c>
      <c r="E196" s="3" t="inlineStr">
        <is>
          <t>BE_ALT_65</t>
        </is>
      </c>
      <c r="F196" s="3" t="inlineStr">
        <is>
          <t>Road</t>
        </is>
      </c>
      <c r="G196" s="3" t="inlineStr">
        <is>
          <t>No</t>
        </is>
      </c>
      <c r="H196" s="3" t="n">
        <v>9000</v>
      </c>
      <c r="I196" s="3" t="n">
        <v>2</v>
      </c>
      <c r="J196" s="3" t="b">
        <v>1</v>
      </c>
      <c r="K196" s="3" t="n">
        <v>10</v>
      </c>
      <c r="L196" s="3" t="n">
        <v>17</v>
      </c>
      <c r="M196" s="3" t="n">
        <v>270</v>
      </c>
      <c r="N196" s="3" t="n">
        <v>3.9</v>
      </c>
      <c r="O196" s="3" t="n">
        <v>127</v>
      </c>
    </row>
    <row r="197">
      <c r="A197" s="3" t="inlineStr">
        <is>
          <t>AirCapacityReduced</t>
        </is>
      </c>
      <c r="B197" s="3" t="inlineStr">
        <is>
          <t>SIM-00019</t>
        </is>
      </c>
      <c r="C197" s="3" t="inlineStr">
        <is>
          <t>RO-00405</t>
        </is>
      </c>
      <c r="D197" s="3" t="inlineStr">
        <is>
          <t>OSAT_ALT_33</t>
        </is>
      </c>
      <c r="E197" s="3" t="inlineStr">
        <is>
          <t>OSAT_ALT_37</t>
        </is>
      </c>
      <c r="F197" s="3" t="inlineStr">
        <is>
          <t>Courier</t>
        </is>
      </c>
      <c r="G197" s="3" t="inlineStr">
        <is>
          <t>No</t>
        </is>
      </c>
      <c r="H197" s="3" t="n">
        <v>450</v>
      </c>
      <c r="I197" s="3" t="n">
        <v>1</v>
      </c>
      <c r="J197" s="3" t="b">
        <v>0</v>
      </c>
      <c r="K197" s="3" t="n">
        <v>3</v>
      </c>
      <c r="L197" s="3" t="n">
        <v>3</v>
      </c>
      <c r="M197" s="3" t="n">
        <v>610</v>
      </c>
      <c r="N197" s="3" t="n">
        <v>2.6</v>
      </c>
      <c r="O197" s="3" t="n">
        <v>218</v>
      </c>
    </row>
    <row r="198">
      <c r="A198" s="3" t="inlineStr">
        <is>
          <t>AirCapacityReduced</t>
        </is>
      </c>
      <c r="B198" s="3" t="inlineStr">
        <is>
          <t>SIM-00021</t>
        </is>
      </c>
      <c r="C198" s="3" t="inlineStr">
        <is>
          <t>RO-00543</t>
        </is>
      </c>
      <c r="D198" s="3" t="inlineStr">
        <is>
          <t>FE_ALT_39</t>
        </is>
      </c>
      <c r="E198" s="3" t="inlineStr">
        <is>
          <t>SIFO_ALT_43</t>
        </is>
      </c>
      <c r="F198" s="3" t="inlineStr">
        <is>
          <t>Air</t>
        </is>
      </c>
      <c r="G198" s="3" t="inlineStr">
        <is>
          <t>No</t>
        </is>
      </c>
      <c r="H198" s="3" t="n">
        <v>300</v>
      </c>
      <c r="I198" s="3" t="n">
        <v>1</v>
      </c>
      <c r="J198" s="3" t="b">
        <v>0</v>
      </c>
      <c r="K198" s="3" t="n">
        <v>11</v>
      </c>
      <c r="L198" s="3" t="n">
        <v>11</v>
      </c>
      <c r="M198" s="3" t="n">
        <v>306</v>
      </c>
      <c r="N198" s="3" t="n">
        <v>3.9</v>
      </c>
      <c r="O198" s="3" t="n">
        <v>149</v>
      </c>
    </row>
    <row r="199">
      <c r="A199" s="3" t="inlineStr">
        <is>
          <t>AirCapacityReduced</t>
        </is>
      </c>
      <c r="B199" s="3" t="inlineStr">
        <is>
          <t>SIM-00022</t>
        </is>
      </c>
      <c r="C199" s="3" t="inlineStr">
        <is>
          <t>RO-02358</t>
        </is>
      </c>
      <c r="D199" s="3" t="inlineStr">
        <is>
          <t>SIFO_ALT_70</t>
        </is>
      </c>
      <c r="E199" s="3" t="inlineStr">
        <is>
          <t>BE_ALT_74</t>
        </is>
      </c>
      <c r="F199" s="3" t="inlineStr">
        <is>
          <t>Road</t>
        </is>
      </c>
      <c r="G199" s="3" t="inlineStr">
        <is>
          <t>No</t>
        </is>
      </c>
      <c r="H199" s="3" t="n">
        <v>400</v>
      </c>
      <c r="I199" s="3" t="n">
        <v>1</v>
      </c>
      <c r="J199" s="3" t="b">
        <v>0</v>
      </c>
      <c r="K199" s="3" t="n">
        <v>3</v>
      </c>
      <c r="L199" s="3" t="n">
        <v>3</v>
      </c>
      <c r="M199" s="3" t="n">
        <v>770</v>
      </c>
      <c r="N199" s="3" t="n">
        <v>1.7</v>
      </c>
      <c r="O199" s="3" t="n">
        <v>182</v>
      </c>
    </row>
    <row r="200">
      <c r="A200" s="3" t="inlineStr">
        <is>
          <t>AirCapacityReduced</t>
        </is>
      </c>
      <c r="B200" s="3" t="inlineStr">
        <is>
          <t>SIM-00023</t>
        </is>
      </c>
      <c r="C200" s="3" t="inlineStr">
        <is>
          <t>RO-02736</t>
        </is>
      </c>
      <c r="D200" s="3" t="inlineStr">
        <is>
          <t>BE_ALT_06</t>
        </is>
      </c>
      <c r="E200" s="3" t="inlineStr">
        <is>
          <t>OSAT_ALT_10</t>
        </is>
      </c>
      <c r="F200" s="3" t="inlineStr">
        <is>
          <t>Ocean</t>
        </is>
      </c>
      <c r="G200" s="3" t="inlineStr">
        <is>
          <t>No</t>
        </is>
      </c>
      <c r="H200" s="3" t="n">
        <v>500</v>
      </c>
      <c r="I200" s="3" t="n">
        <v>1</v>
      </c>
      <c r="J200" s="3" t="b">
        <v>0</v>
      </c>
      <c r="K200" s="3" t="n">
        <v>5</v>
      </c>
      <c r="L200" s="3" t="n">
        <v>5</v>
      </c>
      <c r="M200" s="3" t="n">
        <v>350</v>
      </c>
      <c r="N200" s="3" t="n">
        <v>2.5</v>
      </c>
      <c r="O200" s="3" t="n">
        <v>110</v>
      </c>
    </row>
    <row r="201">
      <c r="A201" s="3" t="inlineStr">
        <is>
          <t>AirCapacityReduced</t>
        </is>
      </c>
      <c r="B201" s="3" t="inlineStr">
        <is>
          <t>SIM-00024</t>
        </is>
      </c>
      <c r="C201" s="3" t="inlineStr">
        <is>
          <t>RO-01671</t>
        </is>
      </c>
      <c r="D201" s="3" t="inlineStr">
        <is>
          <t>OSAT_ALT_25</t>
        </is>
      </c>
      <c r="E201" s="3" t="inlineStr">
        <is>
          <t>BE_ALT_29</t>
        </is>
      </c>
      <c r="F201" s="3" t="inlineStr">
        <is>
          <t>Air</t>
        </is>
      </c>
      <c r="G201" s="3" t="inlineStr">
        <is>
          <t>No</t>
        </is>
      </c>
      <c r="H201" s="3" t="n">
        <v>72000</v>
      </c>
      <c r="I201" s="3" t="n">
        <v>12</v>
      </c>
      <c r="J201" s="3" t="b">
        <v>1</v>
      </c>
      <c r="K201" s="3" t="n">
        <v>10</v>
      </c>
      <c r="L201" s="3" t="n">
        <v>87</v>
      </c>
      <c r="M201" s="3" t="n">
        <v>342</v>
      </c>
      <c r="N201" s="3" t="n">
        <v>3.9</v>
      </c>
      <c r="O201" s="3" t="n">
        <v>143</v>
      </c>
    </row>
    <row r="202">
      <c r="A202" s="3" t="inlineStr">
        <is>
          <t>AirCapacityReduced</t>
        </is>
      </c>
      <c r="B202" s="3" t="inlineStr">
        <is>
          <t>SIM-00025</t>
        </is>
      </c>
      <c r="C202" s="3" t="inlineStr">
        <is>
          <t>RO-00369</t>
        </is>
      </c>
      <c r="D202" s="3" t="inlineStr">
        <is>
          <t>BE_ALT_29</t>
        </is>
      </c>
      <c r="E202" s="3" t="inlineStr">
        <is>
          <t>SIFO_ALT_33</t>
        </is>
      </c>
      <c r="F202" s="3" t="inlineStr">
        <is>
          <t>Air</t>
        </is>
      </c>
      <c r="G202" s="3" t="inlineStr">
        <is>
          <t>No</t>
        </is>
      </c>
      <c r="H202" s="3" t="n">
        <v>700</v>
      </c>
      <c r="I202" s="3" t="n">
        <v>1</v>
      </c>
      <c r="J202" s="3" t="b">
        <v>0</v>
      </c>
      <c r="K202" s="3" t="n">
        <v>5</v>
      </c>
      <c r="L202" s="3" t="n">
        <v>5</v>
      </c>
      <c r="M202" s="3" t="n">
        <v>610</v>
      </c>
      <c r="N202" s="3" t="n">
        <v>2.6</v>
      </c>
      <c r="O202" s="3" t="n">
        <v>214</v>
      </c>
    </row>
    <row r="203">
      <c r="A203" s="3" t="inlineStr">
        <is>
          <t>AirCapacityReduced</t>
        </is>
      </c>
      <c r="B203" s="3" t="inlineStr">
        <is>
          <t>SIM-00028</t>
        </is>
      </c>
      <c r="C203" s="3" t="inlineStr">
        <is>
          <t>RO-00417</t>
        </is>
      </c>
      <c r="D203" s="3" t="inlineStr">
        <is>
          <t>BE_ALT_33</t>
        </is>
      </c>
      <c r="E203" s="3" t="inlineStr">
        <is>
          <t>BE_ALT_37</t>
        </is>
      </c>
      <c r="F203" s="3" t="inlineStr">
        <is>
          <t>Courier</t>
        </is>
      </c>
      <c r="G203" s="3" t="inlineStr">
        <is>
          <t>No</t>
        </is>
      </c>
      <c r="H203" s="3" t="n">
        <v>5000</v>
      </c>
      <c r="I203" s="3" t="n">
        <v>1</v>
      </c>
      <c r="J203" s="3" t="b">
        <v>0</v>
      </c>
      <c r="K203" s="3" t="n">
        <v>3</v>
      </c>
      <c r="L203" s="3" t="n">
        <v>3</v>
      </c>
      <c r="M203" s="3" t="n">
        <v>646</v>
      </c>
      <c r="N203" s="3" t="n">
        <v>2.6</v>
      </c>
      <c r="O203" s="3" t="n">
        <v>202</v>
      </c>
    </row>
    <row r="204">
      <c r="A204" s="3" t="inlineStr">
        <is>
          <t>AirCapacityReduced</t>
        </is>
      </c>
      <c r="B204" s="3" t="inlineStr">
        <is>
          <t>SIM-00029</t>
        </is>
      </c>
      <c r="C204" s="3" t="inlineStr">
        <is>
          <t>RO-00435</t>
        </is>
      </c>
      <c r="D204" s="3" t="inlineStr">
        <is>
          <t>OSAT_ALT_35</t>
        </is>
      </c>
      <c r="E204" s="3" t="inlineStr">
        <is>
          <t>OSAT_ALT_39</t>
        </is>
      </c>
      <c r="F204" s="3" t="inlineStr">
        <is>
          <t>Road</t>
        </is>
      </c>
      <c r="G204" s="3" t="inlineStr">
        <is>
          <t>No</t>
        </is>
      </c>
      <c r="H204" s="3" t="n">
        <v>33000</v>
      </c>
      <c r="I204" s="3" t="n">
        <v>7</v>
      </c>
      <c r="J204" s="3" t="b">
        <v>1</v>
      </c>
      <c r="K204" s="3" t="n">
        <v>10</v>
      </c>
      <c r="L204" s="3" t="n">
        <v>52</v>
      </c>
      <c r="M204" s="3" t="n">
        <v>306</v>
      </c>
      <c r="N204" s="3" t="n">
        <v>3.9</v>
      </c>
      <c r="O204" s="3" t="n">
        <v>127</v>
      </c>
    </row>
    <row r="205">
      <c r="A205" s="3" t="inlineStr">
        <is>
          <t>AirCapacityReduced</t>
        </is>
      </c>
      <c r="B205" s="3" t="inlineStr">
        <is>
          <t>SIM-00032</t>
        </is>
      </c>
      <c r="C205" s="3" t="inlineStr">
        <is>
          <t>RO-00468</t>
        </is>
      </c>
      <c r="D205" s="3" t="inlineStr">
        <is>
          <t>SIFO_ALT_34</t>
        </is>
      </c>
      <c r="E205" s="3" t="inlineStr">
        <is>
          <t>BE_ALT_38</t>
        </is>
      </c>
      <c r="F205" s="3" t="inlineStr">
        <is>
          <t>Courier</t>
        </is>
      </c>
      <c r="G205" s="3" t="inlineStr">
        <is>
          <t>No</t>
        </is>
      </c>
      <c r="H205" s="3" t="n">
        <v>1400</v>
      </c>
      <c r="I205" s="3" t="n">
        <v>1</v>
      </c>
      <c r="J205" s="3" t="b">
        <v>0</v>
      </c>
      <c r="K205" s="3" t="n">
        <v>6</v>
      </c>
      <c r="L205" s="3" t="n">
        <v>6</v>
      </c>
      <c r="M205" s="3" t="n">
        <v>350</v>
      </c>
      <c r="N205" s="3" t="n">
        <v>2.5</v>
      </c>
      <c r="O205" s="3" t="n">
        <v>132</v>
      </c>
    </row>
    <row r="206">
      <c r="A206" s="3" t="inlineStr">
        <is>
          <t>AirCapacityReduced</t>
        </is>
      </c>
      <c r="B206" s="3" t="inlineStr">
        <is>
          <t>SIM-00034</t>
        </is>
      </c>
      <c r="C206" s="3" t="inlineStr">
        <is>
          <t>RO-01341</t>
        </is>
      </c>
      <c r="D206" s="3" t="inlineStr">
        <is>
          <t>OSAT_ALT_03</t>
        </is>
      </c>
      <c r="E206" s="3" t="inlineStr">
        <is>
          <t>BE_ALT_07</t>
        </is>
      </c>
      <c r="F206" s="3" t="inlineStr">
        <is>
          <t>Ocean</t>
        </is>
      </c>
      <c r="G206" s="3" t="inlineStr">
        <is>
          <t>No</t>
        </is>
      </c>
      <c r="H206" s="3" t="n">
        <v>1600</v>
      </c>
      <c r="I206" s="3" t="n">
        <v>1</v>
      </c>
      <c r="J206" s="3" t="b">
        <v>0</v>
      </c>
      <c r="K206" s="3" t="n">
        <v>3</v>
      </c>
      <c r="L206" s="3" t="n">
        <v>3</v>
      </c>
      <c r="M206" s="3" t="n">
        <v>610</v>
      </c>
      <c r="N206" s="3" t="n">
        <v>2.6</v>
      </c>
      <c r="O206" s="3" t="n">
        <v>218</v>
      </c>
    </row>
    <row r="207">
      <c r="A207" s="3" t="inlineStr">
        <is>
          <t>AirCapacityReduced</t>
        </is>
      </c>
      <c r="B207" s="3" t="inlineStr">
        <is>
          <t>SIM-00036</t>
        </is>
      </c>
      <c r="C207" s="3" t="inlineStr">
        <is>
          <t>RO-02334</t>
        </is>
      </c>
      <c r="D207" s="3" t="inlineStr">
        <is>
          <t>SIFO_ALT_70</t>
        </is>
      </c>
      <c r="E207" s="3" t="inlineStr">
        <is>
          <t>FE_ALT_74</t>
        </is>
      </c>
      <c r="F207" s="3" t="inlineStr">
        <is>
          <t>Courier</t>
        </is>
      </c>
      <c r="G207" s="3" t="inlineStr">
        <is>
          <t>No</t>
        </is>
      </c>
      <c r="H207" s="3" t="n">
        <v>4320</v>
      </c>
      <c r="I207" s="3" t="n">
        <v>2</v>
      </c>
      <c r="J207" s="3" t="b">
        <v>1</v>
      </c>
      <c r="K207" s="3" t="n">
        <v>4</v>
      </c>
      <c r="L207" s="3" t="n">
        <v>11</v>
      </c>
      <c r="M207" s="3" t="n">
        <v>806</v>
      </c>
      <c r="N207" s="3" t="n">
        <v>1.7</v>
      </c>
      <c r="O207" s="3" t="n">
        <v>188</v>
      </c>
    </row>
    <row r="208">
      <c r="A208" s="3" t="inlineStr">
        <is>
          <t>AirCapacityReduced</t>
        </is>
      </c>
      <c r="B208" s="3" t="inlineStr">
        <is>
          <t>SIM-00037</t>
        </is>
      </c>
      <c r="C208" s="3" t="inlineStr">
        <is>
          <t>RO-00552</t>
        </is>
      </c>
      <c r="D208" s="3" t="inlineStr">
        <is>
          <t>FE_ALT_42</t>
        </is>
      </c>
      <c r="E208" s="3" t="inlineStr">
        <is>
          <t>BE_ALT_46</t>
        </is>
      </c>
      <c r="F208" s="3" t="inlineStr">
        <is>
          <t>Air</t>
        </is>
      </c>
      <c r="G208" s="3" t="inlineStr">
        <is>
          <t>No</t>
        </is>
      </c>
      <c r="H208" s="3" t="n">
        <v>2000</v>
      </c>
      <c r="I208" s="3" t="n">
        <v>1</v>
      </c>
      <c r="J208" s="3" t="b">
        <v>0</v>
      </c>
      <c r="K208" s="3" t="n">
        <v>5</v>
      </c>
      <c r="L208" s="3" t="n">
        <v>5</v>
      </c>
      <c r="M208" s="3" t="n">
        <v>386</v>
      </c>
      <c r="N208" s="3" t="n">
        <v>2.5</v>
      </c>
      <c r="O208" s="3" t="n">
        <v>110</v>
      </c>
    </row>
    <row r="209">
      <c r="A209" s="3" t="inlineStr">
        <is>
          <t>AirCapacityReduced</t>
        </is>
      </c>
      <c r="B209" s="3" t="inlineStr">
        <is>
          <t>SIM-00039</t>
        </is>
      </c>
      <c r="C209" s="3" t="inlineStr">
        <is>
          <t>RO-00585</t>
        </is>
      </c>
      <c r="D209" s="3" t="inlineStr">
        <is>
          <t>OSAT_ALT_45</t>
        </is>
      </c>
      <c r="E209" s="3" t="inlineStr">
        <is>
          <t>OSAT_ALT_49</t>
        </is>
      </c>
      <c r="F209" s="3" t="inlineStr">
        <is>
          <t>Courier</t>
        </is>
      </c>
      <c r="G209" s="3" t="inlineStr">
        <is>
          <t>No</t>
        </is>
      </c>
      <c r="H209" s="3" t="n">
        <v>45000</v>
      </c>
      <c r="I209" s="3" t="n">
        <v>7</v>
      </c>
      <c r="J209" s="3" t="b">
        <v>1</v>
      </c>
      <c r="K209" s="3" t="n">
        <v>3</v>
      </c>
      <c r="L209" s="3" t="n">
        <v>45</v>
      </c>
      <c r="M209" s="3" t="n">
        <v>610</v>
      </c>
      <c r="N209" s="3" t="n">
        <v>2.6</v>
      </c>
      <c r="O209" s="3" t="n">
        <v>202</v>
      </c>
    </row>
    <row r="210">
      <c r="A210" s="3" t="inlineStr">
        <is>
          <t>AirCapacityReduced</t>
        </is>
      </c>
      <c r="B210" s="3" t="inlineStr">
        <is>
          <t>SIM-00040</t>
        </is>
      </c>
      <c r="C210" s="3" t="inlineStr">
        <is>
          <t>RO-01800</t>
        </is>
      </c>
      <c r="D210" s="3" t="inlineStr">
        <is>
          <t>SIFO_ALT_36</t>
        </is>
      </c>
      <c r="E210" s="3" t="inlineStr">
        <is>
          <t>OSAT_ALT_40</t>
        </is>
      </c>
      <c r="F210" s="3" t="inlineStr">
        <is>
          <t>Courier</t>
        </is>
      </c>
      <c r="G210" s="3" t="inlineStr">
        <is>
          <t>No</t>
        </is>
      </c>
      <c r="H210" s="3" t="n">
        <v>400</v>
      </c>
      <c r="I210" s="3" t="n">
        <v>1</v>
      </c>
      <c r="J210" s="3" t="b">
        <v>0</v>
      </c>
      <c r="K210" s="3" t="n">
        <v>5</v>
      </c>
      <c r="L210" s="3" t="n">
        <v>5</v>
      </c>
      <c r="M210" s="3" t="n">
        <v>350</v>
      </c>
      <c r="N210" s="3" t="n">
        <v>2.5</v>
      </c>
      <c r="O210" s="3" t="n">
        <v>110</v>
      </c>
    </row>
    <row r="211">
      <c r="A211" s="3" t="inlineStr">
        <is>
          <t>AirCapacityReduced</t>
        </is>
      </c>
      <c r="B211" s="3" t="inlineStr">
        <is>
          <t>SIM-00044</t>
        </is>
      </c>
      <c r="C211" s="3" t="inlineStr">
        <is>
          <t>RO-00891</t>
        </is>
      </c>
      <c r="D211" s="3" t="inlineStr">
        <is>
          <t>OSAT_ALT_63</t>
        </is>
      </c>
      <c r="E211" s="3" t="inlineStr">
        <is>
          <t>BE_ALT_67</t>
        </is>
      </c>
      <c r="F211" s="3" t="inlineStr">
        <is>
          <t>Air</t>
        </is>
      </c>
      <c r="G211" s="3" t="inlineStr">
        <is>
          <t>No</t>
        </is>
      </c>
      <c r="H211" s="3" t="n">
        <v>800</v>
      </c>
      <c r="I211" s="3" t="n">
        <v>1</v>
      </c>
      <c r="J211" s="3" t="b">
        <v>0</v>
      </c>
      <c r="K211" s="3" t="n">
        <v>10</v>
      </c>
      <c r="L211" s="3" t="n">
        <v>10</v>
      </c>
      <c r="M211" s="3" t="n">
        <v>270</v>
      </c>
      <c r="N211" s="3" t="n">
        <v>3.9</v>
      </c>
      <c r="O211" s="3" t="n">
        <v>127</v>
      </c>
    </row>
    <row r="212">
      <c r="A212" s="3" t="inlineStr">
        <is>
          <t>AirCapacityReduced</t>
        </is>
      </c>
      <c r="B212" s="3" t="inlineStr">
        <is>
          <t>SIM-00045</t>
        </is>
      </c>
      <c r="C212" s="3" t="inlineStr">
        <is>
          <t>RO-03069</t>
        </is>
      </c>
      <c r="D212" s="3" t="inlineStr">
        <is>
          <t>BE_ALT_29</t>
        </is>
      </c>
      <c r="E212" s="3" t="inlineStr">
        <is>
          <t>SIFO_ALT_33</t>
        </is>
      </c>
      <c r="F212" s="3" t="inlineStr">
        <is>
          <t>Air</t>
        </is>
      </c>
      <c r="G212" s="3" t="inlineStr">
        <is>
          <t>No</t>
        </is>
      </c>
      <c r="H212" s="3" t="n">
        <v>900</v>
      </c>
      <c r="I212" s="3" t="n">
        <v>1</v>
      </c>
      <c r="J212" s="3" t="b">
        <v>0</v>
      </c>
      <c r="K212" s="3" t="n">
        <v>5</v>
      </c>
      <c r="L212" s="3" t="n">
        <v>5</v>
      </c>
      <c r="M212" s="3" t="n">
        <v>610</v>
      </c>
      <c r="N212" s="3" t="n">
        <v>2.6</v>
      </c>
      <c r="O212" s="3" t="n">
        <v>230</v>
      </c>
    </row>
    <row r="213">
      <c r="A213" s="3" t="inlineStr">
        <is>
          <t>AirCapacityReduced</t>
        </is>
      </c>
      <c r="B213" s="3" t="inlineStr">
        <is>
          <t>SIM-00049</t>
        </is>
      </c>
      <c r="C213" s="3" t="inlineStr">
        <is>
          <t>RO-02655</t>
        </is>
      </c>
      <c r="D213" s="3" t="inlineStr">
        <is>
          <t>OSAT_ALT_03</t>
        </is>
      </c>
      <c r="E213" s="3" t="inlineStr">
        <is>
          <t>OSAT_ALT_07</t>
        </is>
      </c>
      <c r="F213" s="3" t="inlineStr">
        <is>
          <t>Road</t>
        </is>
      </c>
      <c r="G213" s="3" t="inlineStr">
        <is>
          <t>No</t>
        </is>
      </c>
      <c r="H213" s="3" t="n">
        <v>3120</v>
      </c>
      <c r="I213" s="3" t="n">
        <v>2</v>
      </c>
      <c r="J213" s="3" t="b">
        <v>1</v>
      </c>
      <c r="K213" s="3" t="n">
        <v>10</v>
      </c>
      <c r="L213" s="3" t="n">
        <v>17</v>
      </c>
      <c r="M213" s="3" t="n">
        <v>270</v>
      </c>
      <c r="N213" s="3" t="n">
        <v>3.9</v>
      </c>
      <c r="O213" s="3" t="n">
        <v>143</v>
      </c>
    </row>
    <row r="214">
      <c r="A214" s="3" t="inlineStr">
        <is>
          <t>AirCapacityReduced</t>
        </is>
      </c>
      <c r="B214" s="3" t="inlineStr">
        <is>
          <t>SIM-00052</t>
        </is>
      </c>
      <c r="C214" s="3" t="inlineStr">
        <is>
          <t>RO-00768</t>
        </is>
      </c>
      <c r="D214" s="3" t="inlineStr">
        <is>
          <t>SIFO_ALT_54</t>
        </is>
      </c>
      <c r="E214" s="3" t="inlineStr">
        <is>
          <t>BE_ALT_58</t>
        </is>
      </c>
      <c r="F214" s="3" t="inlineStr">
        <is>
          <t>Courier</t>
        </is>
      </c>
      <c r="G214" s="3" t="inlineStr">
        <is>
          <t>No</t>
        </is>
      </c>
      <c r="H214" s="3" t="n">
        <v>8000</v>
      </c>
      <c r="I214" s="3" t="n">
        <v>2</v>
      </c>
      <c r="J214" s="3" t="b">
        <v>1</v>
      </c>
      <c r="K214" s="3" t="n">
        <v>6</v>
      </c>
      <c r="L214" s="3" t="n">
        <v>13</v>
      </c>
      <c r="M214" s="3" t="n">
        <v>386</v>
      </c>
      <c r="N214" s="3" t="n">
        <v>2.5</v>
      </c>
      <c r="O214" s="3" t="n">
        <v>116</v>
      </c>
    </row>
    <row r="215">
      <c r="A215" s="3" t="inlineStr">
        <is>
          <t>AirCapacityReduced</t>
        </is>
      </c>
      <c r="B215" s="3" t="inlineStr">
        <is>
          <t>SIM-00054</t>
        </is>
      </c>
      <c r="C215" s="3" t="inlineStr">
        <is>
          <t>RO-00801</t>
        </is>
      </c>
      <c r="D215" s="3" t="inlineStr">
        <is>
          <t>OSAT_ALT_57</t>
        </is>
      </c>
      <c r="E215" s="3" t="inlineStr">
        <is>
          <t>BE_ALT_61</t>
        </is>
      </c>
      <c r="F215" s="3" t="inlineStr">
        <is>
          <t>Ocean</t>
        </is>
      </c>
      <c r="G215" s="3" t="inlineStr">
        <is>
          <t>No</t>
        </is>
      </c>
      <c r="H215" s="3" t="n">
        <v>1800</v>
      </c>
      <c r="I215" s="3" t="n">
        <v>1</v>
      </c>
      <c r="J215" s="3" t="b">
        <v>0</v>
      </c>
      <c r="K215" s="3" t="n">
        <v>3</v>
      </c>
      <c r="L215" s="3" t="n">
        <v>3</v>
      </c>
      <c r="M215" s="3" t="n">
        <v>610</v>
      </c>
      <c r="N215" s="3" t="n">
        <v>2.6</v>
      </c>
      <c r="O215" s="3" t="n">
        <v>202</v>
      </c>
    </row>
    <row r="216">
      <c r="A216" s="3" t="inlineStr">
        <is>
          <t>AirCapacityReduced</t>
        </is>
      </c>
      <c r="B216" s="3" t="inlineStr">
        <is>
          <t>SIM-00057</t>
        </is>
      </c>
      <c r="C216" s="3" t="inlineStr">
        <is>
          <t>RO-00012</t>
        </is>
      </c>
      <c r="D216" s="3" t="inlineStr">
        <is>
          <t>FE_ALT_06</t>
        </is>
      </c>
      <c r="E216" s="3" t="inlineStr">
        <is>
          <t>BE_ALT_10</t>
        </is>
      </c>
      <c r="F216" s="3" t="inlineStr">
        <is>
          <t>Air</t>
        </is>
      </c>
      <c r="G216" s="3" t="inlineStr">
        <is>
          <t>No</t>
        </is>
      </c>
      <c r="H216" s="3" t="n">
        <v>300</v>
      </c>
      <c r="I216" s="3" t="n">
        <v>1</v>
      </c>
      <c r="J216" s="3" t="b">
        <v>0</v>
      </c>
      <c r="K216" s="3" t="n">
        <v>5</v>
      </c>
      <c r="L216" s="3" t="n">
        <v>5</v>
      </c>
      <c r="M216" s="3" t="n">
        <v>386</v>
      </c>
      <c r="N216" s="3" t="n">
        <v>2.5</v>
      </c>
      <c r="O216" s="3" t="n">
        <v>126</v>
      </c>
    </row>
    <row r="217">
      <c r="A217" s="3" t="inlineStr">
        <is>
          <t>AirCapacityReduced</t>
        </is>
      </c>
      <c r="B217" s="3" t="inlineStr">
        <is>
          <t>SIM-00059</t>
        </is>
      </c>
      <c r="C217" s="3" t="inlineStr">
        <is>
          <t>RO-02565</t>
        </is>
      </c>
      <c r="D217" s="3" t="inlineStr">
        <is>
          <t>OSAT_ALT_87</t>
        </is>
      </c>
      <c r="E217" s="3" t="inlineStr">
        <is>
          <t>OSAT_ALT_01</t>
        </is>
      </c>
      <c r="F217" s="3" t="inlineStr">
        <is>
          <t>Courier</t>
        </is>
      </c>
      <c r="G217" s="3" t="inlineStr">
        <is>
          <t>No</t>
        </is>
      </c>
      <c r="H217" s="3" t="n">
        <v>15000</v>
      </c>
      <c r="I217" s="3" t="n">
        <v>4</v>
      </c>
      <c r="J217" s="3" t="b">
        <v>1</v>
      </c>
      <c r="K217" s="3" t="n">
        <v>3</v>
      </c>
      <c r="L217" s="3" t="n">
        <v>24</v>
      </c>
      <c r="M217" s="3" t="n">
        <v>610</v>
      </c>
      <c r="N217" s="3" t="n">
        <v>2.6</v>
      </c>
      <c r="O217" s="3" t="n">
        <v>218</v>
      </c>
    </row>
    <row r="218">
      <c r="A218" s="3" t="inlineStr">
        <is>
          <t>AirCapacityReduced</t>
        </is>
      </c>
      <c r="B218" s="3" t="inlineStr">
        <is>
          <t>SIM-00061</t>
        </is>
      </c>
      <c r="C218" s="3" t="inlineStr">
        <is>
          <t>RO-00903</t>
        </is>
      </c>
      <c r="D218" s="3" t="inlineStr">
        <is>
          <t>FE_ALT_63</t>
        </is>
      </c>
      <c r="E218" s="3" t="inlineStr">
        <is>
          <t>SIFO_ALT_67</t>
        </is>
      </c>
      <c r="F218" s="3" t="inlineStr">
        <is>
          <t>Air</t>
        </is>
      </c>
      <c r="G218" s="3" t="inlineStr">
        <is>
          <t>No</t>
        </is>
      </c>
      <c r="H218" s="3" t="n">
        <v>7000</v>
      </c>
      <c r="I218" s="3" t="n">
        <v>1</v>
      </c>
      <c r="J218" s="3" t="b">
        <v>0</v>
      </c>
      <c r="K218" s="3" t="n">
        <v>11</v>
      </c>
      <c r="L218" s="3" t="n">
        <v>11</v>
      </c>
      <c r="M218" s="3" t="n">
        <v>306</v>
      </c>
      <c r="N218" s="3" t="n">
        <v>3.9</v>
      </c>
      <c r="O218" s="3" t="n">
        <v>149</v>
      </c>
    </row>
    <row r="219">
      <c r="A219" s="3" t="inlineStr">
        <is>
          <t>AirCapacityReduced</t>
        </is>
      </c>
      <c r="B219" s="3" t="inlineStr">
        <is>
          <t>SIM-00062</t>
        </is>
      </c>
      <c r="C219" s="3" t="inlineStr">
        <is>
          <t>RO-00918</t>
        </is>
      </c>
      <c r="D219" s="3" t="inlineStr">
        <is>
          <t>SIFO_ALT_64</t>
        </is>
      </c>
      <c r="E219" s="3" t="inlineStr">
        <is>
          <t>BE_ALT_68</t>
        </is>
      </c>
      <c r="F219" s="3" t="inlineStr">
        <is>
          <t>Road</t>
        </is>
      </c>
      <c r="G219" s="3" t="inlineStr">
        <is>
          <t>No</t>
        </is>
      </c>
      <c r="H219" s="3" t="n">
        <v>800</v>
      </c>
      <c r="I219" s="3" t="n">
        <v>1</v>
      </c>
      <c r="J219" s="3" t="b">
        <v>0</v>
      </c>
      <c r="K219" s="3" t="n">
        <v>3</v>
      </c>
      <c r="L219" s="3" t="n">
        <v>3</v>
      </c>
      <c r="M219" s="3" t="n">
        <v>770</v>
      </c>
      <c r="N219" s="3" t="n">
        <v>1.7</v>
      </c>
      <c r="O219" s="3" t="n">
        <v>182</v>
      </c>
    </row>
    <row r="220">
      <c r="A220" s="3" t="inlineStr">
        <is>
          <t>AirCapacityReduced</t>
        </is>
      </c>
      <c r="B220" s="3" t="inlineStr">
        <is>
          <t>SIM-00063</t>
        </is>
      </c>
      <c r="C220" s="3" t="inlineStr">
        <is>
          <t>RO-00936</t>
        </is>
      </c>
      <c r="D220" s="3" t="inlineStr">
        <is>
          <t>BE_ALT_66</t>
        </is>
      </c>
      <c r="E220" s="3" t="inlineStr">
        <is>
          <t>OSAT_ALT_70</t>
        </is>
      </c>
      <c r="F220" s="3" t="inlineStr">
        <is>
          <t>Ocean</t>
        </is>
      </c>
      <c r="G220" s="3" t="inlineStr">
        <is>
          <t>No</t>
        </is>
      </c>
      <c r="H220" s="3" t="n">
        <v>900</v>
      </c>
      <c r="I220" s="3" t="n">
        <v>1</v>
      </c>
      <c r="J220" s="3" t="b">
        <v>0</v>
      </c>
      <c r="K220" s="3" t="n">
        <v>5</v>
      </c>
      <c r="L220" s="3" t="n">
        <v>5</v>
      </c>
      <c r="M220" s="3" t="n">
        <v>350</v>
      </c>
      <c r="N220" s="3" t="n">
        <v>2.5</v>
      </c>
      <c r="O220" s="3" t="n">
        <v>110</v>
      </c>
    </row>
    <row r="221">
      <c r="A221" s="3" t="inlineStr">
        <is>
          <t>AirCapacityReduced</t>
        </is>
      </c>
      <c r="B221" s="3" t="inlineStr">
        <is>
          <t>SIM-00066</t>
        </is>
      </c>
      <c r="C221" s="3" t="inlineStr">
        <is>
          <t>RO-00984</t>
        </is>
      </c>
      <c r="D221" s="3" t="inlineStr">
        <is>
          <t>SIFO_ALT_70</t>
        </is>
      </c>
      <c r="E221" s="3" t="inlineStr">
        <is>
          <t>FE_ALT_74</t>
        </is>
      </c>
      <c r="F221" s="3" t="inlineStr">
        <is>
          <t>Road</t>
        </is>
      </c>
      <c r="G221" s="3" t="inlineStr">
        <is>
          <t>No</t>
        </is>
      </c>
      <c r="H221" s="3" t="n">
        <v>1200</v>
      </c>
      <c r="I221" s="3" t="n">
        <v>1</v>
      </c>
      <c r="J221" s="3" t="b">
        <v>0</v>
      </c>
      <c r="K221" s="3" t="n">
        <v>7</v>
      </c>
      <c r="L221" s="3" t="n">
        <v>7</v>
      </c>
      <c r="M221" s="3" t="n">
        <v>386</v>
      </c>
      <c r="N221" s="3" t="n">
        <v>2.5</v>
      </c>
      <c r="O221" s="3" t="n">
        <v>122</v>
      </c>
    </row>
    <row r="222">
      <c r="A222" s="3" t="inlineStr">
        <is>
          <t>AirCapacityReduced</t>
        </is>
      </c>
      <c r="B222" s="3" t="inlineStr">
        <is>
          <t>SIM-00074</t>
        </is>
      </c>
      <c r="C222" s="3" t="inlineStr">
        <is>
          <t>RO-00621</t>
        </is>
      </c>
      <c r="D222" s="3" t="inlineStr">
        <is>
          <t>OSAT_ALT_45</t>
        </is>
      </c>
      <c r="E222" s="3" t="inlineStr">
        <is>
          <t>BE_ALT_49</t>
        </is>
      </c>
      <c r="F222" s="3" t="inlineStr">
        <is>
          <t>Ocean</t>
        </is>
      </c>
      <c r="G222" s="3" t="inlineStr">
        <is>
          <t>No</t>
        </is>
      </c>
      <c r="H222" s="3" t="n">
        <v>36000</v>
      </c>
      <c r="I222" s="3" t="n">
        <v>6</v>
      </c>
      <c r="J222" s="3" t="b">
        <v>1</v>
      </c>
      <c r="K222" s="3" t="n">
        <v>3</v>
      </c>
      <c r="L222" s="3" t="n">
        <v>38</v>
      </c>
      <c r="M222" s="3" t="n">
        <v>610</v>
      </c>
      <c r="N222" s="3" t="n">
        <v>2.6</v>
      </c>
      <c r="O222" s="3" t="n">
        <v>218</v>
      </c>
    </row>
    <row r="223">
      <c r="A223" s="3" t="inlineStr">
        <is>
          <t>AirCapacityReduced</t>
        </is>
      </c>
      <c r="B223" s="3" t="inlineStr">
        <is>
          <t>SIM-00076</t>
        </is>
      </c>
      <c r="C223" s="3" t="inlineStr">
        <is>
          <t>RO-00894</t>
        </is>
      </c>
      <c r="D223" s="3" t="inlineStr">
        <is>
          <t>SIFO_ALT_64</t>
        </is>
      </c>
      <c r="E223" s="3" t="inlineStr">
        <is>
          <t>FE_ALT_68</t>
        </is>
      </c>
      <c r="F223" s="3" t="inlineStr">
        <is>
          <t>Courier</t>
        </is>
      </c>
      <c r="G223" s="3" t="inlineStr">
        <is>
          <t>No</t>
        </is>
      </c>
      <c r="H223" s="3" t="n">
        <v>400</v>
      </c>
      <c r="I223" s="3" t="n">
        <v>1</v>
      </c>
      <c r="J223" s="3" t="b">
        <v>0</v>
      </c>
      <c r="K223" s="3" t="n">
        <v>4</v>
      </c>
      <c r="L223" s="3" t="n">
        <v>4</v>
      </c>
      <c r="M223" s="3" t="n">
        <v>806</v>
      </c>
      <c r="N223" s="3" t="n">
        <v>1.7</v>
      </c>
      <c r="O223" s="3" t="n">
        <v>188</v>
      </c>
    </row>
    <row r="224">
      <c r="A224" s="3" t="inlineStr">
        <is>
          <t>AirCapacityReduced</t>
        </is>
      </c>
      <c r="B224" s="3" t="inlineStr">
        <is>
          <t>SIM-00077</t>
        </is>
      </c>
      <c r="C224" s="3" t="inlineStr">
        <is>
          <t>RO-01152</t>
        </is>
      </c>
      <c r="D224" s="3" t="inlineStr">
        <is>
          <t>FE_ALT_82</t>
        </is>
      </c>
      <c r="E224" s="3" t="inlineStr">
        <is>
          <t>BE_ALT_86</t>
        </is>
      </c>
      <c r="F224" s="3" t="inlineStr">
        <is>
          <t>Air</t>
        </is>
      </c>
      <c r="G224" s="3" t="inlineStr">
        <is>
          <t>No</t>
        </is>
      </c>
      <c r="H224" s="3" t="n">
        <v>45000</v>
      </c>
      <c r="I224" s="3" t="n">
        <v>9</v>
      </c>
      <c r="J224" s="3" t="b">
        <v>1</v>
      </c>
      <c r="K224" s="3" t="n">
        <v>5</v>
      </c>
      <c r="L224" s="3" t="n">
        <v>61</v>
      </c>
      <c r="M224" s="3" t="n">
        <v>350</v>
      </c>
      <c r="N224" s="3" t="n">
        <v>2.5</v>
      </c>
      <c r="O224" s="3" t="n">
        <v>110</v>
      </c>
    </row>
    <row r="225">
      <c r="A225" s="3" t="inlineStr">
        <is>
          <t>AirCapacityReduced</t>
        </is>
      </c>
      <c r="B225" s="3" t="inlineStr">
        <is>
          <t>SIM-00080</t>
        </is>
      </c>
      <c r="C225" s="3" t="inlineStr">
        <is>
          <t>RO-01200</t>
        </is>
      </c>
      <c r="D225" s="3" t="inlineStr">
        <is>
          <t>SIFO_ALT_86</t>
        </is>
      </c>
      <c r="E225" s="3" t="inlineStr">
        <is>
          <t>OSAT_ALT_90</t>
        </is>
      </c>
      <c r="F225" s="3" t="inlineStr">
        <is>
          <t>Courier</t>
        </is>
      </c>
      <c r="G225" s="3" t="inlineStr">
        <is>
          <t>No</t>
        </is>
      </c>
      <c r="H225" s="3" t="n">
        <v>800</v>
      </c>
      <c r="I225" s="3" t="n">
        <v>1</v>
      </c>
      <c r="J225" s="3" t="b">
        <v>0</v>
      </c>
      <c r="K225" s="3" t="n">
        <v>5</v>
      </c>
      <c r="L225" s="3" t="n">
        <v>5</v>
      </c>
      <c r="M225" s="3" t="n">
        <v>386</v>
      </c>
      <c r="N225" s="3" t="n">
        <v>2.5</v>
      </c>
      <c r="O225" s="3" t="n">
        <v>110</v>
      </c>
    </row>
    <row r="226">
      <c r="A226" s="3" t="inlineStr">
        <is>
          <t>AirCapacityReduced</t>
        </is>
      </c>
      <c r="B226" s="3" t="inlineStr">
        <is>
          <t>SIM-00084</t>
        </is>
      </c>
      <c r="C226" s="3" t="inlineStr">
        <is>
          <t>RO-01251</t>
        </is>
      </c>
      <c r="D226" s="3" t="inlineStr">
        <is>
          <t>OSAT_ALT_87</t>
        </is>
      </c>
      <c r="E226" s="3" t="inlineStr">
        <is>
          <t>BE_ALT_01</t>
        </is>
      </c>
      <c r="F226" s="3" t="inlineStr">
        <is>
          <t>Air</t>
        </is>
      </c>
      <c r="G226" s="3" t="inlineStr">
        <is>
          <t>No</t>
        </is>
      </c>
      <c r="H226" s="3" t="n">
        <v>36000</v>
      </c>
      <c r="I226" s="3" t="n">
        <v>10</v>
      </c>
      <c r="J226" s="3" t="b">
        <v>1</v>
      </c>
      <c r="K226" s="3" t="n">
        <v>10</v>
      </c>
      <c r="L226" s="3" t="n">
        <v>73</v>
      </c>
      <c r="M226" s="3" t="n">
        <v>270</v>
      </c>
      <c r="N226" s="3" t="n">
        <v>3.9</v>
      </c>
      <c r="O226" s="3" t="n">
        <v>127</v>
      </c>
    </row>
    <row r="227">
      <c r="A227" s="3" t="inlineStr">
        <is>
          <t>AirCapacityReduced</t>
        </is>
      </c>
      <c r="B227" s="3" t="inlineStr">
        <is>
          <t>SIM-00088</t>
        </is>
      </c>
      <c r="C227" s="3" t="inlineStr">
        <is>
          <t>RO-00117</t>
        </is>
      </c>
      <c r="D227" s="3" t="inlineStr">
        <is>
          <t>BE_ALT_13</t>
        </is>
      </c>
      <c r="E227" s="3" t="inlineStr">
        <is>
          <t>BE_ALT_17</t>
        </is>
      </c>
      <c r="F227" s="3" t="inlineStr">
        <is>
          <t>Courier</t>
        </is>
      </c>
      <c r="G227" s="3" t="inlineStr">
        <is>
          <t>No</t>
        </is>
      </c>
      <c r="H227" s="3" t="n">
        <v>4000</v>
      </c>
      <c r="I227" s="3" t="n">
        <v>1</v>
      </c>
      <c r="J227" s="3" t="b">
        <v>0</v>
      </c>
      <c r="K227" s="3" t="n">
        <v>3</v>
      </c>
      <c r="L227" s="3" t="n">
        <v>3</v>
      </c>
      <c r="M227" s="3" t="n">
        <v>610</v>
      </c>
      <c r="N227" s="3" t="n">
        <v>2.6</v>
      </c>
      <c r="O227" s="3" t="n">
        <v>218</v>
      </c>
    </row>
    <row r="228">
      <c r="A228" s="3" t="inlineStr">
        <is>
          <t>AirCapacityReduced</t>
        </is>
      </c>
      <c r="B228" s="3" t="inlineStr">
        <is>
          <t>SIM-00097</t>
        </is>
      </c>
      <c r="C228" s="3" t="inlineStr">
        <is>
          <t>RO-01452</t>
        </is>
      </c>
      <c r="D228" s="3" t="inlineStr">
        <is>
          <t>FE_ALT_12</t>
        </is>
      </c>
      <c r="E228" s="3" t="inlineStr">
        <is>
          <t>BE_ALT_16</t>
        </is>
      </c>
      <c r="F228" s="3" t="inlineStr">
        <is>
          <t>Air</t>
        </is>
      </c>
      <c r="G228" s="3" t="inlineStr">
        <is>
          <t>No</t>
        </is>
      </c>
      <c r="H228" s="3" t="n">
        <v>700</v>
      </c>
      <c r="I228" s="3" t="n">
        <v>1</v>
      </c>
      <c r="J228" s="3" t="b">
        <v>0</v>
      </c>
      <c r="K228" s="3" t="n">
        <v>5</v>
      </c>
      <c r="L228" s="3" t="n">
        <v>5</v>
      </c>
      <c r="M228" s="3" t="n">
        <v>386</v>
      </c>
      <c r="N228" s="3" t="n">
        <v>2.5</v>
      </c>
      <c r="O228" s="3" t="n">
        <v>126</v>
      </c>
    </row>
    <row r="229">
      <c r="A229" s="3" t="inlineStr">
        <is>
          <t>AirCapacityReduced</t>
        </is>
      </c>
      <c r="B229" s="3" t="inlineStr">
        <is>
          <t>SIM-00098</t>
        </is>
      </c>
      <c r="C229" s="3" t="inlineStr">
        <is>
          <t>RO-01467</t>
        </is>
      </c>
      <c r="D229" s="3" t="inlineStr">
        <is>
          <t>BE_ALT_13</t>
        </is>
      </c>
      <c r="E229" s="3" t="inlineStr">
        <is>
          <t>BE_ALT_17</t>
        </is>
      </c>
      <c r="F229" s="3" t="inlineStr">
        <is>
          <t>Road</t>
        </is>
      </c>
      <c r="G229" s="3" t="inlineStr">
        <is>
          <t>No</t>
        </is>
      </c>
      <c r="H229" s="3" t="n">
        <v>800</v>
      </c>
      <c r="I229" s="3" t="n">
        <v>1</v>
      </c>
      <c r="J229" s="3" t="b">
        <v>0</v>
      </c>
      <c r="K229" s="3" t="n">
        <v>10</v>
      </c>
      <c r="L229" s="3" t="n">
        <v>10</v>
      </c>
      <c r="M229" s="3" t="n">
        <v>270</v>
      </c>
      <c r="N229" s="3" t="n">
        <v>3.9</v>
      </c>
      <c r="O229" s="3" t="n">
        <v>127</v>
      </c>
    </row>
    <row r="230">
      <c r="A230" s="3" t="inlineStr">
        <is>
          <t>AirCapacityReduced</t>
        </is>
      </c>
      <c r="B230" s="3" t="inlineStr">
        <is>
          <t>SIM-00100</t>
        </is>
      </c>
      <c r="C230" s="3" t="inlineStr">
        <is>
          <t>RO-00180</t>
        </is>
      </c>
      <c r="D230" s="3" t="inlineStr">
        <is>
          <t>SIFO_ALT_18</t>
        </is>
      </c>
      <c r="E230" s="3" t="inlineStr">
        <is>
          <t>OSAT_ALT_22</t>
        </is>
      </c>
      <c r="F230" s="3" t="inlineStr">
        <is>
          <t>Courier</t>
        </is>
      </c>
      <c r="G230" s="3" t="inlineStr">
        <is>
          <t>No</t>
        </is>
      </c>
      <c r="H230" s="3" t="n">
        <v>30000</v>
      </c>
      <c r="I230" s="3" t="n">
        <v>7</v>
      </c>
      <c r="J230" s="3" t="b">
        <v>1</v>
      </c>
      <c r="K230" s="3" t="n">
        <v>5</v>
      </c>
      <c r="L230" s="3" t="n">
        <v>47</v>
      </c>
      <c r="M230" s="3" t="n">
        <v>350</v>
      </c>
      <c r="N230" s="3" t="n">
        <v>2.5</v>
      </c>
      <c r="O230" s="3" t="n">
        <v>126</v>
      </c>
    </row>
    <row r="231">
      <c r="A231" s="3" t="inlineStr">
        <is>
          <t>AirCapacityReduced</t>
        </is>
      </c>
      <c r="B231" s="3" t="inlineStr">
        <is>
          <t>SIM-00102</t>
        </is>
      </c>
      <c r="C231" s="3" t="inlineStr">
        <is>
          <t>RO-01758</t>
        </is>
      </c>
      <c r="D231" s="3" t="inlineStr">
        <is>
          <t>SIFO_ALT_30</t>
        </is>
      </c>
      <c r="E231" s="3" t="inlineStr">
        <is>
          <t>BE_ALT_34</t>
        </is>
      </c>
      <c r="F231" s="3" t="inlineStr">
        <is>
          <t>Road</t>
        </is>
      </c>
      <c r="G231" s="3" t="inlineStr">
        <is>
          <t>No</t>
        </is>
      </c>
      <c r="H231" s="3" t="n">
        <v>36000</v>
      </c>
      <c r="I231" s="3" t="n">
        <v>12</v>
      </c>
      <c r="J231" s="3" t="b">
        <v>1</v>
      </c>
      <c r="K231" s="3" t="n">
        <v>3</v>
      </c>
      <c r="L231" s="3" t="n">
        <v>80</v>
      </c>
      <c r="M231" s="3" t="n">
        <v>806</v>
      </c>
      <c r="N231" s="3" t="n">
        <v>1.7</v>
      </c>
      <c r="O231" s="3" t="n">
        <v>182</v>
      </c>
    </row>
    <row r="232">
      <c r="A232" s="3" t="inlineStr">
        <is>
          <t>AirCapacityReduced</t>
        </is>
      </c>
      <c r="B232" s="3" t="inlineStr">
        <is>
          <t>SIM-00104</t>
        </is>
      </c>
      <c r="C232" s="3" t="inlineStr">
        <is>
          <t>RO-01071</t>
        </is>
      </c>
      <c r="D232" s="3" t="inlineStr">
        <is>
          <t>OSAT_ALT_75</t>
        </is>
      </c>
      <c r="E232" s="3" t="inlineStr">
        <is>
          <t>BE_ALT_79</t>
        </is>
      </c>
      <c r="F232" s="3" t="inlineStr">
        <is>
          <t>Air</t>
        </is>
      </c>
      <c r="G232" s="3" t="inlineStr">
        <is>
          <t>No</t>
        </is>
      </c>
      <c r="H232" s="3" t="n">
        <v>1400</v>
      </c>
      <c r="I232" s="3" t="n">
        <v>1</v>
      </c>
      <c r="J232" s="3" t="b">
        <v>0</v>
      </c>
      <c r="K232" s="3" t="n">
        <v>10</v>
      </c>
      <c r="L232" s="3" t="n">
        <v>10</v>
      </c>
      <c r="M232" s="3" t="n">
        <v>270</v>
      </c>
      <c r="N232" s="3" t="n">
        <v>3.9</v>
      </c>
      <c r="O232" s="3" t="n">
        <v>143</v>
      </c>
    </row>
    <row r="233">
      <c r="A233" s="3" t="inlineStr">
        <is>
          <t>AirCapacityReduced</t>
        </is>
      </c>
      <c r="B233" s="3" t="inlineStr">
        <is>
          <t>SIM-00105</t>
        </is>
      </c>
      <c r="C233" s="3" t="inlineStr">
        <is>
          <t>RO-03369</t>
        </is>
      </c>
      <c r="D233" s="3" t="inlineStr">
        <is>
          <t>BE_ALT_49</t>
        </is>
      </c>
      <c r="E233" s="3" t="inlineStr">
        <is>
          <t>SIFO_ALT_53</t>
        </is>
      </c>
      <c r="F233" s="3" t="inlineStr">
        <is>
          <t>Air</t>
        </is>
      </c>
      <c r="G233" s="3" t="inlineStr">
        <is>
          <t>No</t>
        </is>
      </c>
      <c r="H233" s="3" t="n">
        <v>1500</v>
      </c>
      <c r="I233" s="3" t="n">
        <v>1</v>
      </c>
      <c r="J233" s="3" t="b">
        <v>0</v>
      </c>
      <c r="K233" s="3" t="n">
        <v>5</v>
      </c>
      <c r="L233" s="3" t="n">
        <v>5</v>
      </c>
      <c r="M233" s="3" t="n">
        <v>646</v>
      </c>
      <c r="N233" s="3" t="n">
        <v>2.6</v>
      </c>
      <c r="O233" s="3" t="n">
        <v>214</v>
      </c>
    </row>
    <row r="234">
      <c r="A234" s="3" t="inlineStr">
        <is>
          <t>AirCapacityReduced</t>
        </is>
      </c>
      <c r="B234" s="3" t="inlineStr">
        <is>
          <t>SIM-00109</t>
        </is>
      </c>
      <c r="C234" s="3" t="inlineStr">
        <is>
          <t>RO-01635</t>
        </is>
      </c>
      <c r="D234" s="3" t="inlineStr">
        <is>
          <t>OSAT_ALT_25</t>
        </is>
      </c>
      <c r="E234" s="3" t="inlineStr">
        <is>
          <t>OSAT_ALT_29</t>
        </is>
      </c>
      <c r="F234" s="3" t="inlineStr">
        <is>
          <t>Road</t>
        </is>
      </c>
      <c r="G234" s="3" t="inlineStr">
        <is>
          <t>No</t>
        </is>
      </c>
      <c r="H234" s="3" t="n">
        <v>100</v>
      </c>
      <c r="I234" s="3" t="n">
        <v>1</v>
      </c>
      <c r="J234" s="3" t="b">
        <v>0</v>
      </c>
      <c r="K234" s="3" t="n">
        <v>10</v>
      </c>
      <c r="L234" s="3" t="n">
        <v>10</v>
      </c>
      <c r="M234" s="3" t="n">
        <v>342</v>
      </c>
      <c r="N234" s="3" t="n">
        <v>3.9</v>
      </c>
      <c r="O234" s="3" t="n">
        <v>127</v>
      </c>
    </row>
    <row r="235">
      <c r="A235" s="3" t="inlineStr">
        <is>
          <t>AirCapacityReduced</t>
        </is>
      </c>
      <c r="B235" s="3" t="inlineStr">
        <is>
          <t>SIM-00112</t>
        </is>
      </c>
      <c r="C235" s="3" t="inlineStr">
        <is>
          <t>RO-00828</t>
        </is>
      </c>
      <c r="D235" s="3" t="inlineStr">
        <is>
          <t>SIFO_ALT_58</t>
        </is>
      </c>
      <c r="E235" s="3" t="inlineStr">
        <is>
          <t>BE_ALT_62</t>
        </is>
      </c>
      <c r="F235" s="3" t="inlineStr">
        <is>
          <t>Courier</t>
        </is>
      </c>
      <c r="G235" s="3" t="inlineStr">
        <is>
          <t>No</t>
        </is>
      </c>
      <c r="H235" s="3" t="n">
        <v>40000</v>
      </c>
      <c r="I235" s="3" t="n">
        <v>9</v>
      </c>
      <c r="J235" s="3" t="b">
        <v>1</v>
      </c>
      <c r="K235" s="3" t="n">
        <v>6</v>
      </c>
      <c r="L235" s="3" t="n">
        <v>62</v>
      </c>
      <c r="M235" s="3" t="n">
        <v>350</v>
      </c>
      <c r="N235" s="3" t="n">
        <v>2.5</v>
      </c>
      <c r="O235" s="3" t="n">
        <v>132</v>
      </c>
    </row>
    <row r="236">
      <c r="A236" s="3" t="inlineStr">
        <is>
          <t>AirCapacityReduced</t>
        </is>
      </c>
      <c r="B236" s="3" t="inlineStr">
        <is>
          <t>SIM-00114</t>
        </is>
      </c>
      <c r="C236" s="3" t="inlineStr">
        <is>
          <t>RO-01701</t>
        </is>
      </c>
      <c r="D236" s="3" t="inlineStr">
        <is>
          <t>OSAT_ALT_27</t>
        </is>
      </c>
      <c r="E236" s="3" t="inlineStr">
        <is>
          <t>BE_ALT_31</t>
        </is>
      </c>
      <c r="F236" s="3" t="inlineStr">
        <is>
          <t>Ocean</t>
        </is>
      </c>
      <c r="G236" s="3" t="inlineStr">
        <is>
          <t>No</t>
        </is>
      </c>
      <c r="H236" s="3" t="n">
        <v>600</v>
      </c>
      <c r="I236" s="3" t="n">
        <v>1</v>
      </c>
      <c r="J236" s="3" t="b">
        <v>0</v>
      </c>
      <c r="K236" s="3" t="n">
        <v>3</v>
      </c>
      <c r="L236" s="3" t="n">
        <v>3</v>
      </c>
      <c r="M236" s="3" t="n">
        <v>610</v>
      </c>
      <c r="N236" s="3" t="n">
        <v>2.6</v>
      </c>
      <c r="O236" s="3" t="n">
        <v>218</v>
      </c>
    </row>
    <row r="237">
      <c r="A237" s="3" t="inlineStr">
        <is>
          <t>AirCapacityReduced</t>
        </is>
      </c>
      <c r="B237" s="3" t="inlineStr">
        <is>
          <t>SIM-00120</t>
        </is>
      </c>
      <c r="C237" s="3" t="inlineStr">
        <is>
          <t>RO-01800</t>
        </is>
      </c>
      <c r="D237" s="3" t="inlineStr">
        <is>
          <t>SIFO_ALT_36</t>
        </is>
      </c>
      <c r="E237" s="3" t="inlineStr">
        <is>
          <t>OSAT_ALT_40</t>
        </is>
      </c>
      <c r="F237" s="3" t="inlineStr">
        <is>
          <t>Courier</t>
        </is>
      </c>
      <c r="G237" s="3" t="inlineStr">
        <is>
          <t>No</t>
        </is>
      </c>
      <c r="H237" s="3" t="n">
        <v>1200</v>
      </c>
      <c r="I237" s="3" t="n">
        <v>1</v>
      </c>
      <c r="J237" s="3" t="b">
        <v>0</v>
      </c>
      <c r="K237" s="3" t="n">
        <v>5</v>
      </c>
      <c r="L237" s="3" t="n">
        <v>5</v>
      </c>
      <c r="M237" s="3" t="n">
        <v>350</v>
      </c>
      <c r="N237" s="3" t="n">
        <v>2.5</v>
      </c>
      <c r="O237" s="3" t="n">
        <v>110</v>
      </c>
    </row>
    <row r="238">
      <c r="A238" s="3" t="inlineStr">
        <is>
          <t>AirCapacityReduced</t>
        </is>
      </c>
      <c r="B238" s="3" t="inlineStr">
        <is>
          <t>SIM-00121</t>
        </is>
      </c>
      <c r="C238" s="3" t="inlineStr">
        <is>
          <t>RO-01803</t>
        </is>
      </c>
      <c r="D238" s="3" t="inlineStr">
        <is>
          <t>FE_ALT_33</t>
        </is>
      </c>
      <c r="E238" s="3" t="inlineStr">
        <is>
          <t>SIFO_ALT_37</t>
        </is>
      </c>
      <c r="F238" s="3" t="inlineStr">
        <is>
          <t>Air</t>
        </is>
      </c>
      <c r="G238" s="3" t="inlineStr">
        <is>
          <t>No</t>
        </is>
      </c>
      <c r="H238" s="3" t="n">
        <v>1300</v>
      </c>
      <c r="I238" s="3" t="n">
        <v>1</v>
      </c>
      <c r="J238" s="3" t="b">
        <v>0</v>
      </c>
      <c r="K238" s="3" t="n">
        <v>11</v>
      </c>
      <c r="L238" s="3" t="n">
        <v>11</v>
      </c>
      <c r="M238" s="3" t="n">
        <v>306</v>
      </c>
      <c r="N238" s="3" t="n">
        <v>3.9</v>
      </c>
      <c r="O238" s="3" t="n">
        <v>133</v>
      </c>
    </row>
    <row r="239">
      <c r="A239" s="3" t="inlineStr">
        <is>
          <t>AirCapacityReduced</t>
        </is>
      </c>
      <c r="B239" s="3" t="inlineStr">
        <is>
          <t>SIM-00123</t>
        </is>
      </c>
      <c r="C239" s="3" t="inlineStr">
        <is>
          <t>RO-01836</t>
        </is>
      </c>
      <c r="D239" s="3" t="inlineStr">
        <is>
          <t>BE_ALT_36</t>
        </is>
      </c>
      <c r="E239" s="3" t="inlineStr">
        <is>
          <t>OSAT_ALT_40</t>
        </is>
      </c>
      <c r="F239" s="3" t="inlineStr">
        <is>
          <t>Ocean</t>
        </is>
      </c>
      <c r="G239" s="3" t="inlineStr">
        <is>
          <t>No</t>
        </is>
      </c>
      <c r="H239" s="3" t="n">
        <v>1500</v>
      </c>
      <c r="I239" s="3" t="n">
        <v>1</v>
      </c>
      <c r="J239" s="3" t="b">
        <v>0</v>
      </c>
      <c r="K239" s="3" t="n">
        <v>5</v>
      </c>
      <c r="L239" s="3" t="n">
        <v>5</v>
      </c>
      <c r="M239" s="3" t="n">
        <v>350</v>
      </c>
      <c r="N239" s="3" t="n">
        <v>2.5</v>
      </c>
      <c r="O239" s="3" t="n">
        <v>126</v>
      </c>
    </row>
    <row r="240">
      <c r="A240" s="3" t="inlineStr">
        <is>
          <t>AirCapacityReduced</t>
        </is>
      </c>
      <c r="B240" s="3" t="inlineStr">
        <is>
          <t>SIM-00124</t>
        </is>
      </c>
      <c r="C240" s="3" t="inlineStr">
        <is>
          <t>RO-02691</t>
        </is>
      </c>
      <c r="D240" s="3" t="inlineStr">
        <is>
          <t>OSAT_ALT_03</t>
        </is>
      </c>
      <c r="E240" s="3" t="inlineStr">
        <is>
          <t>BE_ALT_07</t>
        </is>
      </c>
      <c r="F240" s="3" t="inlineStr">
        <is>
          <t>Air</t>
        </is>
      </c>
      <c r="G240" s="3" t="inlineStr">
        <is>
          <t>No</t>
        </is>
      </c>
      <c r="H240" s="3" t="n">
        <v>16000</v>
      </c>
      <c r="I240" s="3" t="n">
        <v>7</v>
      </c>
      <c r="J240" s="3" t="b">
        <v>1</v>
      </c>
      <c r="K240" s="3" t="n">
        <v>10</v>
      </c>
      <c r="L240" s="3" t="n">
        <v>52</v>
      </c>
      <c r="M240" s="3" t="n">
        <v>270</v>
      </c>
      <c r="N240" s="3" t="n">
        <v>3.9</v>
      </c>
      <c r="O240" s="3" t="n">
        <v>127</v>
      </c>
    </row>
    <row r="241">
      <c r="A241" s="3" t="inlineStr">
        <is>
          <t>AirCapacityReduced</t>
        </is>
      </c>
      <c r="B241" s="3" t="inlineStr">
        <is>
          <t>SIM-00125</t>
        </is>
      </c>
      <c r="C241" s="3" t="inlineStr">
        <is>
          <t>RO-02469</t>
        </is>
      </c>
      <c r="D241" s="3" t="inlineStr">
        <is>
          <t>BE_ALT_79</t>
        </is>
      </c>
      <c r="E241" s="3" t="inlineStr">
        <is>
          <t>SIFO_ALT_83</t>
        </is>
      </c>
      <c r="F241" s="3" t="inlineStr">
        <is>
          <t>Air</t>
        </is>
      </c>
      <c r="G241" s="3" t="inlineStr">
        <is>
          <t>No</t>
        </is>
      </c>
      <c r="H241" s="3" t="n">
        <v>1700</v>
      </c>
      <c r="I241" s="3" t="n">
        <v>1</v>
      </c>
      <c r="J241" s="3" t="b">
        <v>0</v>
      </c>
      <c r="K241" s="3" t="n">
        <v>5</v>
      </c>
      <c r="L241" s="3" t="n">
        <v>5</v>
      </c>
      <c r="M241" s="3" t="n">
        <v>646</v>
      </c>
      <c r="N241" s="3" t="n">
        <v>2.6</v>
      </c>
      <c r="O241" s="3" t="n">
        <v>230</v>
      </c>
    </row>
    <row r="242">
      <c r="A242" s="3" t="inlineStr">
        <is>
          <t>AirCapacityReduced</t>
        </is>
      </c>
      <c r="B242" s="3" t="inlineStr">
        <is>
          <t>SIM-00126</t>
        </is>
      </c>
      <c r="C242" s="3" t="inlineStr">
        <is>
          <t>RO-01884</t>
        </is>
      </c>
      <c r="D242" s="3" t="inlineStr">
        <is>
          <t>SIFO_ALT_40</t>
        </is>
      </c>
      <c r="E242" s="3" t="inlineStr">
        <is>
          <t>FE_ALT_44</t>
        </is>
      </c>
      <c r="F242" s="3" t="inlineStr">
        <is>
          <t>Road</t>
        </is>
      </c>
      <c r="G242" s="3" t="inlineStr">
        <is>
          <t>No</t>
        </is>
      </c>
      <c r="H242" s="3" t="n">
        <v>1800</v>
      </c>
      <c r="I242" s="3" t="n">
        <v>1</v>
      </c>
      <c r="J242" s="3" t="b">
        <v>0</v>
      </c>
      <c r="K242" s="3" t="n">
        <v>7</v>
      </c>
      <c r="L242" s="3" t="n">
        <v>7</v>
      </c>
      <c r="M242" s="3" t="n">
        <v>386</v>
      </c>
      <c r="N242" s="3" t="n">
        <v>2.5</v>
      </c>
      <c r="O242" s="3" t="n">
        <v>138</v>
      </c>
    </row>
    <row r="243">
      <c r="A243" s="3" t="inlineStr">
        <is>
          <t>AirCapacityReduced</t>
        </is>
      </c>
      <c r="B243" s="3" t="inlineStr">
        <is>
          <t>SIM-00128</t>
        </is>
      </c>
      <c r="C243" s="3" t="inlineStr">
        <is>
          <t>RO-02637</t>
        </is>
      </c>
      <c r="D243" s="3" t="inlineStr">
        <is>
          <t>BE_ALT_01</t>
        </is>
      </c>
      <c r="E243" s="3" t="inlineStr">
        <is>
          <t>BE_ALT_05</t>
        </is>
      </c>
      <c r="F243" s="3" t="inlineStr">
        <is>
          <t>Courier</t>
        </is>
      </c>
      <c r="G243" s="3" t="inlineStr">
        <is>
          <t>No</t>
        </is>
      </c>
      <c r="H243" s="3" t="n">
        <v>200</v>
      </c>
      <c r="I243" s="3" t="n">
        <v>1</v>
      </c>
      <c r="J243" s="3" t="b">
        <v>0</v>
      </c>
      <c r="K243" s="3" t="n">
        <v>3</v>
      </c>
      <c r="L243" s="3" t="n">
        <v>3</v>
      </c>
      <c r="M243" s="3" t="n">
        <v>610</v>
      </c>
      <c r="N243" s="3" t="n">
        <v>2.6</v>
      </c>
      <c r="O243" s="3" t="n">
        <v>218</v>
      </c>
    </row>
    <row r="244">
      <c r="A244" s="3" t="inlineStr">
        <is>
          <t>AirCapacityReduced</t>
        </is>
      </c>
      <c r="B244" s="3" t="inlineStr">
        <is>
          <t>SIM-00130</t>
        </is>
      </c>
      <c r="C244" s="3" t="inlineStr">
        <is>
          <t>RO-01950</t>
        </is>
      </c>
      <c r="D244" s="3" t="inlineStr">
        <is>
          <t>SIFO_ALT_46</t>
        </is>
      </c>
      <c r="E244" s="3" t="inlineStr">
        <is>
          <t>OSAT_ALT_50</t>
        </is>
      </c>
      <c r="F244" s="3" t="inlineStr">
        <is>
          <t>Road</t>
        </is>
      </c>
      <c r="G244" s="3" t="inlineStr">
        <is>
          <t>No</t>
        </is>
      </c>
      <c r="H244" s="3" t="n">
        <v>400</v>
      </c>
      <c r="I244" s="3" t="n">
        <v>1</v>
      </c>
      <c r="J244" s="3" t="b">
        <v>0</v>
      </c>
      <c r="K244" s="3" t="n">
        <v>2</v>
      </c>
      <c r="L244" s="3" t="n">
        <v>2</v>
      </c>
      <c r="M244" s="3" t="n">
        <v>842</v>
      </c>
      <c r="N244" s="3" t="n">
        <v>1.7</v>
      </c>
      <c r="O244" s="3" t="n">
        <v>176</v>
      </c>
    </row>
    <row r="245">
      <c r="A245" s="3" t="inlineStr">
        <is>
          <t>AirCapacityReduced</t>
        </is>
      </c>
      <c r="B245" s="3" t="inlineStr">
        <is>
          <t>SIM-00137</t>
        </is>
      </c>
      <c r="C245" s="3" t="inlineStr">
        <is>
          <t>RO-02052</t>
        </is>
      </c>
      <c r="D245" s="3" t="inlineStr">
        <is>
          <t>FE_ALT_52</t>
        </is>
      </c>
      <c r="E245" s="3" t="inlineStr">
        <is>
          <t>BE_ALT_56</t>
        </is>
      </c>
      <c r="F245" s="3" t="inlineStr">
        <is>
          <t>Air</t>
        </is>
      </c>
      <c r="G245" s="3" t="inlineStr">
        <is>
          <t>No</t>
        </is>
      </c>
      <c r="H245" s="3" t="n">
        <v>1100</v>
      </c>
      <c r="I245" s="3" t="n">
        <v>2</v>
      </c>
      <c r="J245" s="3" t="b">
        <v>1</v>
      </c>
      <c r="K245" s="3" t="n">
        <v>5</v>
      </c>
      <c r="L245" s="3" t="n">
        <v>12</v>
      </c>
      <c r="M245" s="3" t="n">
        <v>350</v>
      </c>
      <c r="N245" s="3" t="n">
        <v>2.5</v>
      </c>
      <c r="O245" s="3" t="n">
        <v>126</v>
      </c>
    </row>
    <row r="246">
      <c r="A246" s="3" t="inlineStr">
        <is>
          <t>AirCapacityReduced</t>
        </is>
      </c>
      <c r="B246" s="3" t="inlineStr">
        <is>
          <t>SIM-00140</t>
        </is>
      </c>
      <c r="C246" s="3" t="inlineStr">
        <is>
          <t>RO-02100</t>
        </is>
      </c>
      <c r="D246" s="3" t="inlineStr">
        <is>
          <t>SIFO_ALT_56</t>
        </is>
      </c>
      <c r="E246" s="3" t="inlineStr">
        <is>
          <t>OSAT_ALT_60</t>
        </is>
      </c>
      <c r="F246" s="3" t="inlineStr">
        <is>
          <t>Courier</t>
        </is>
      </c>
      <c r="G246" s="3" t="inlineStr">
        <is>
          <t>No</t>
        </is>
      </c>
      <c r="H246" s="3" t="n">
        <v>1400</v>
      </c>
      <c r="I246" s="3" t="n">
        <v>1</v>
      </c>
      <c r="J246" s="3" t="b">
        <v>0</v>
      </c>
      <c r="K246" s="3" t="n">
        <v>5</v>
      </c>
      <c r="L246" s="3" t="n">
        <v>5</v>
      </c>
      <c r="M246" s="3" t="n">
        <v>386</v>
      </c>
      <c r="N246" s="3" t="n">
        <v>2.5</v>
      </c>
      <c r="O246" s="3" t="n">
        <v>126</v>
      </c>
    </row>
    <row r="247">
      <c r="A247" s="3" t="inlineStr">
        <is>
          <t>AirCapacityReduced</t>
        </is>
      </c>
      <c r="B247" s="3" t="inlineStr">
        <is>
          <t>SIM-00144</t>
        </is>
      </c>
      <c r="C247" s="3" t="inlineStr">
        <is>
          <t>RO-02151</t>
        </is>
      </c>
      <c r="D247" s="3" t="inlineStr">
        <is>
          <t>OSAT_ALT_57</t>
        </is>
      </c>
      <c r="E247" s="3" t="inlineStr">
        <is>
          <t>BE_ALT_61</t>
        </is>
      </c>
      <c r="F247" s="3" t="inlineStr">
        <is>
          <t>Air</t>
        </is>
      </c>
      <c r="G247" s="3" t="inlineStr">
        <is>
          <t>No</t>
        </is>
      </c>
      <c r="H247" s="3" t="n">
        <v>1800</v>
      </c>
      <c r="I247" s="3" t="n">
        <v>1</v>
      </c>
      <c r="J247" s="3" t="b">
        <v>0</v>
      </c>
      <c r="K247" s="3" t="n">
        <v>10</v>
      </c>
      <c r="L247" s="3" t="n">
        <v>10</v>
      </c>
      <c r="M247" s="3" t="n">
        <v>270</v>
      </c>
      <c r="N247" s="3" t="n">
        <v>3.9</v>
      </c>
      <c r="O247" s="3" t="n">
        <v>143</v>
      </c>
    </row>
    <row r="248">
      <c r="A248" s="3" t="inlineStr">
        <is>
          <t>AirCapacityReduced</t>
        </is>
      </c>
      <c r="B248" s="3" t="inlineStr">
        <is>
          <t>SIM-00145</t>
        </is>
      </c>
      <c r="C248" s="3" t="inlineStr">
        <is>
          <t>RO-02169</t>
        </is>
      </c>
      <c r="D248" s="3" t="inlineStr">
        <is>
          <t>BE_ALT_59</t>
        </is>
      </c>
      <c r="E248" s="3" t="inlineStr">
        <is>
          <t>SIFO_ALT_63</t>
        </is>
      </c>
      <c r="F248" s="3" t="inlineStr">
        <is>
          <t>Air</t>
        </is>
      </c>
      <c r="G248" s="3" t="inlineStr">
        <is>
          <t>No</t>
        </is>
      </c>
      <c r="H248" s="3" t="n">
        <v>100</v>
      </c>
      <c r="I248" s="3" t="n">
        <v>1</v>
      </c>
      <c r="J248" s="3" t="b">
        <v>0</v>
      </c>
      <c r="K248" s="3" t="n">
        <v>5</v>
      </c>
      <c r="L248" s="3" t="n">
        <v>5</v>
      </c>
      <c r="M248" s="3" t="n">
        <v>610</v>
      </c>
      <c r="N248" s="3" t="n">
        <v>2.6</v>
      </c>
      <c r="O248" s="3" t="n">
        <v>214</v>
      </c>
    </row>
    <row r="249">
      <c r="A249" s="3" t="inlineStr">
        <is>
          <t>AirCapacityReduced</t>
        </is>
      </c>
      <c r="B249" s="3" t="inlineStr">
        <is>
          <t>SIM-00149</t>
        </is>
      </c>
      <c r="C249" s="3" t="inlineStr">
        <is>
          <t>RO-02835</t>
        </is>
      </c>
      <c r="D249" s="3" t="inlineStr">
        <is>
          <t>OSAT_ALT_15</t>
        </is>
      </c>
      <c r="E249" s="3" t="inlineStr">
        <is>
          <t>OSAT_ALT_19</t>
        </is>
      </c>
      <c r="F249" s="3" t="inlineStr">
        <is>
          <t>Road</t>
        </is>
      </c>
      <c r="G249" s="3" t="inlineStr">
        <is>
          <t>No</t>
        </is>
      </c>
      <c r="H249" s="3" t="n">
        <v>500</v>
      </c>
      <c r="I249" s="3" t="n">
        <v>1</v>
      </c>
      <c r="J249" s="3" t="b">
        <v>0</v>
      </c>
      <c r="K249" s="3" t="n">
        <v>10</v>
      </c>
      <c r="L249" s="3" t="n">
        <v>10</v>
      </c>
      <c r="M249" s="3" t="n">
        <v>270</v>
      </c>
      <c r="N249" s="3" t="n">
        <v>3.9</v>
      </c>
      <c r="O249" s="3" t="n">
        <v>127</v>
      </c>
    </row>
    <row r="250">
      <c r="A250" s="3" t="inlineStr">
        <is>
          <t>AirCapacityReduced</t>
        </is>
      </c>
      <c r="B250" s="3" t="inlineStr">
        <is>
          <t>SIM-00152</t>
        </is>
      </c>
      <c r="C250" s="3" t="inlineStr">
        <is>
          <t>RO-02268</t>
        </is>
      </c>
      <c r="D250" s="3" t="inlineStr">
        <is>
          <t>SIFO_ALT_64</t>
        </is>
      </c>
      <c r="E250" s="3" t="inlineStr">
        <is>
          <t>BE_ALT_68</t>
        </is>
      </c>
      <c r="F250" s="3" t="inlineStr">
        <is>
          <t>Courier</t>
        </is>
      </c>
      <c r="G250" s="3" t="inlineStr">
        <is>
          <t>No</t>
        </is>
      </c>
      <c r="H250" s="3" t="n">
        <v>800</v>
      </c>
      <c r="I250" s="3" t="n">
        <v>1</v>
      </c>
      <c r="J250" s="3" t="b">
        <v>0</v>
      </c>
      <c r="K250" s="3" t="n">
        <v>6</v>
      </c>
      <c r="L250" s="3" t="n">
        <v>6</v>
      </c>
      <c r="M250" s="3" t="n">
        <v>350</v>
      </c>
      <c r="N250" s="3" t="n">
        <v>2.5</v>
      </c>
      <c r="O250" s="3" t="n">
        <v>132</v>
      </c>
    </row>
    <row r="251">
      <c r="A251" s="3" t="inlineStr">
        <is>
          <t>AirCapacityReduced</t>
        </is>
      </c>
      <c r="B251" s="3" t="inlineStr">
        <is>
          <t>SIM-00154</t>
        </is>
      </c>
      <c r="C251" s="3" t="inlineStr">
        <is>
          <t>RO-02421</t>
        </is>
      </c>
      <c r="D251" s="3" t="inlineStr">
        <is>
          <t>OSAT_ALT_75</t>
        </is>
      </c>
      <c r="E251" s="3" t="inlineStr">
        <is>
          <t>BE_ALT_79</t>
        </is>
      </c>
      <c r="F251" s="3" t="inlineStr">
        <is>
          <t>Ocean</t>
        </is>
      </c>
      <c r="G251" s="3" t="inlineStr">
        <is>
          <t>No</t>
        </is>
      </c>
      <c r="H251" s="3" t="n">
        <v>1000</v>
      </c>
      <c r="I251" s="3" t="n">
        <v>1</v>
      </c>
      <c r="J251" s="3" t="b">
        <v>0</v>
      </c>
      <c r="K251" s="3" t="n">
        <v>3</v>
      </c>
      <c r="L251" s="3" t="n">
        <v>3</v>
      </c>
      <c r="M251" s="3" t="n">
        <v>610</v>
      </c>
      <c r="N251" s="3" t="n">
        <v>2.6</v>
      </c>
      <c r="O251" s="3" t="n">
        <v>218</v>
      </c>
    </row>
    <row r="252">
      <c r="A252" s="3" t="inlineStr">
        <is>
          <t>AirCapacityReduced</t>
        </is>
      </c>
      <c r="B252" s="3" t="inlineStr">
        <is>
          <t>SIM-00162</t>
        </is>
      </c>
      <c r="C252" s="3" t="inlineStr">
        <is>
          <t>RO-02898</t>
        </is>
      </c>
      <c r="D252" s="3" t="inlineStr">
        <is>
          <t>SIFO_ALT_16</t>
        </is>
      </c>
      <c r="E252" s="3" t="inlineStr">
        <is>
          <t>BE_ALT_20</t>
        </is>
      </c>
      <c r="F252" s="3" t="inlineStr">
        <is>
          <t>Road</t>
        </is>
      </c>
      <c r="G252" s="3" t="inlineStr">
        <is>
          <t>No</t>
        </is>
      </c>
      <c r="H252" s="3" t="n">
        <v>1800</v>
      </c>
      <c r="I252" s="3" t="n">
        <v>1</v>
      </c>
      <c r="J252" s="3" t="b">
        <v>0</v>
      </c>
      <c r="K252" s="3" t="n">
        <v>3</v>
      </c>
      <c r="L252" s="3" t="n">
        <v>3</v>
      </c>
      <c r="M252" s="3" t="n">
        <v>770</v>
      </c>
      <c r="N252" s="3" t="n">
        <v>1.7</v>
      </c>
      <c r="O252" s="3" t="n">
        <v>166</v>
      </c>
    </row>
    <row r="253">
      <c r="A253" s="3" t="inlineStr">
        <is>
          <t>AirCapacityReduced</t>
        </is>
      </c>
      <c r="B253" s="3" t="inlineStr">
        <is>
          <t>SIM-00165</t>
        </is>
      </c>
      <c r="C253" s="3" t="inlineStr">
        <is>
          <t>RO-02469</t>
        </is>
      </c>
      <c r="D253" s="3" t="inlineStr">
        <is>
          <t>BE_ALT_79</t>
        </is>
      </c>
      <c r="E253" s="3" t="inlineStr">
        <is>
          <t>SIFO_ALT_83</t>
        </is>
      </c>
      <c r="F253" s="3" t="inlineStr">
        <is>
          <t>Air</t>
        </is>
      </c>
      <c r="G253" s="3" t="inlineStr">
        <is>
          <t>No</t>
        </is>
      </c>
      <c r="H253" s="3" t="n">
        <v>300</v>
      </c>
      <c r="I253" s="3" t="n">
        <v>1</v>
      </c>
      <c r="J253" s="3" t="b">
        <v>0</v>
      </c>
      <c r="K253" s="3" t="n">
        <v>5</v>
      </c>
      <c r="L253" s="3" t="n">
        <v>5</v>
      </c>
      <c r="M253" s="3" t="n">
        <v>646</v>
      </c>
      <c r="N253" s="3" t="n">
        <v>2.6</v>
      </c>
      <c r="O253" s="3" t="n">
        <v>230</v>
      </c>
    </row>
    <row r="254">
      <c r="A254" s="3" t="inlineStr">
        <is>
          <t>AirCapacityReduced</t>
        </is>
      </c>
      <c r="B254" s="3" t="inlineStr">
        <is>
          <t>SIM-00166</t>
        </is>
      </c>
      <c r="C254" s="3" t="inlineStr">
        <is>
          <t>RO-02964</t>
        </is>
      </c>
      <c r="D254" s="3" t="inlineStr">
        <is>
          <t>SIFO_ALT_22</t>
        </is>
      </c>
      <c r="E254" s="3" t="inlineStr">
        <is>
          <t>FE_ALT_26</t>
        </is>
      </c>
      <c r="F254" s="3" t="inlineStr">
        <is>
          <t>Road</t>
        </is>
      </c>
      <c r="G254" s="3" t="inlineStr">
        <is>
          <t>No</t>
        </is>
      </c>
      <c r="H254" s="3" t="n">
        <v>400</v>
      </c>
      <c r="I254" s="3" t="n">
        <v>1</v>
      </c>
      <c r="J254" s="3" t="b">
        <v>0</v>
      </c>
      <c r="K254" s="3" t="n">
        <v>7</v>
      </c>
      <c r="L254" s="3" t="n">
        <v>7</v>
      </c>
      <c r="M254" s="3" t="n">
        <v>386</v>
      </c>
      <c r="N254" s="3" t="n">
        <v>2.5</v>
      </c>
      <c r="O254" s="3" t="n">
        <v>138</v>
      </c>
    </row>
    <row r="255">
      <c r="A255" s="3" t="inlineStr">
        <is>
          <t>AirCapacityReduced</t>
        </is>
      </c>
      <c r="B255" s="3" t="inlineStr">
        <is>
          <t>SIM-00168</t>
        </is>
      </c>
      <c r="C255" s="3" t="inlineStr">
        <is>
          <t>RO-02517</t>
        </is>
      </c>
      <c r="D255" s="3" t="inlineStr">
        <is>
          <t>BE_ALT_83</t>
        </is>
      </c>
      <c r="E255" s="3" t="inlineStr">
        <is>
          <t>BE_ALT_87</t>
        </is>
      </c>
      <c r="F255" s="3" t="inlineStr">
        <is>
          <t>Courier</t>
        </is>
      </c>
      <c r="G255" s="3" t="inlineStr">
        <is>
          <t>No</t>
        </is>
      </c>
      <c r="H255" s="3" t="n">
        <v>600</v>
      </c>
      <c r="I255" s="3" t="n">
        <v>1</v>
      </c>
      <c r="J255" s="3" t="b">
        <v>0</v>
      </c>
      <c r="K255" s="3" t="n">
        <v>3</v>
      </c>
      <c r="L255" s="3" t="n">
        <v>3</v>
      </c>
      <c r="M255" s="3" t="n">
        <v>682</v>
      </c>
      <c r="N255" s="3" t="n">
        <v>2.6</v>
      </c>
      <c r="O255" s="3" t="n">
        <v>218</v>
      </c>
    </row>
    <row r="256">
      <c r="A256" s="3" t="inlineStr">
        <is>
          <t>AirCapacityReduced</t>
        </is>
      </c>
      <c r="B256" s="3" t="inlineStr">
        <is>
          <t>SIM-00170</t>
        </is>
      </c>
      <c r="C256" s="3" t="inlineStr">
        <is>
          <t>RO-01710</t>
        </is>
      </c>
      <c r="D256" s="3" t="inlineStr">
        <is>
          <t>SIFO_ALT_30</t>
        </is>
      </c>
      <c r="E256" s="3" t="inlineStr">
        <is>
          <t>OSAT_ALT_34</t>
        </is>
      </c>
      <c r="F256" s="3" t="inlineStr">
        <is>
          <t>Road</t>
        </is>
      </c>
      <c r="G256" s="3" t="inlineStr">
        <is>
          <t>No</t>
        </is>
      </c>
      <c r="H256" s="3" t="n">
        <v>800</v>
      </c>
      <c r="I256" s="3" t="n">
        <v>1</v>
      </c>
      <c r="J256" s="3" t="b">
        <v>0</v>
      </c>
      <c r="K256" s="3" t="n">
        <v>2</v>
      </c>
      <c r="L256" s="3" t="n">
        <v>2</v>
      </c>
      <c r="M256" s="3" t="n">
        <v>770</v>
      </c>
      <c r="N256" s="3" t="n">
        <v>1.7</v>
      </c>
      <c r="O256" s="3" t="n">
        <v>176</v>
      </c>
    </row>
    <row r="257">
      <c r="A257" s="3" t="inlineStr">
        <is>
          <t>AirCapacityReduced</t>
        </is>
      </c>
      <c r="B257" s="3" t="inlineStr">
        <is>
          <t>SIM-00173</t>
        </is>
      </c>
      <c r="C257" s="3" t="inlineStr">
        <is>
          <t>RO-02586</t>
        </is>
      </c>
      <c r="D257" s="3" t="inlineStr">
        <is>
          <t>BE_ALT_86</t>
        </is>
      </c>
      <c r="E257" s="3" t="inlineStr">
        <is>
          <t>OSAT_ALT_90</t>
        </is>
      </c>
      <c r="F257" s="3" t="inlineStr">
        <is>
          <t>Air</t>
        </is>
      </c>
      <c r="G257" s="3" t="inlineStr">
        <is>
          <t>No</t>
        </is>
      </c>
      <c r="H257" s="3" t="n">
        <v>1100</v>
      </c>
      <c r="I257" s="3" t="n">
        <v>1</v>
      </c>
      <c r="J257" s="3" t="b">
        <v>0</v>
      </c>
      <c r="K257" s="3" t="n">
        <v>2</v>
      </c>
      <c r="L257" s="3" t="n">
        <v>2</v>
      </c>
      <c r="M257" s="3" t="n">
        <v>806</v>
      </c>
      <c r="N257" s="3" t="n">
        <v>1.7</v>
      </c>
      <c r="O257" s="3" t="n">
        <v>160</v>
      </c>
    </row>
    <row r="258">
      <c r="A258" s="3" t="inlineStr">
        <is>
          <t>AirCapacityReduced</t>
        </is>
      </c>
      <c r="B258" s="3" t="inlineStr">
        <is>
          <t>SIM-00174</t>
        </is>
      </c>
      <c r="C258" s="3" t="inlineStr">
        <is>
          <t>RO-02601</t>
        </is>
      </c>
      <c r="D258" s="3" t="inlineStr">
        <is>
          <t>OSAT_ALT_87</t>
        </is>
      </c>
      <c r="E258" s="3" t="inlineStr">
        <is>
          <t>BE_ALT_01</t>
        </is>
      </c>
      <c r="F258" s="3" t="inlineStr">
        <is>
          <t>Ocean</t>
        </is>
      </c>
      <c r="G258" s="3" t="inlineStr">
        <is>
          <t>No</t>
        </is>
      </c>
      <c r="H258" s="3" t="n">
        <v>1200</v>
      </c>
      <c r="I258" s="3" t="n">
        <v>1</v>
      </c>
      <c r="J258" s="3" t="b">
        <v>0</v>
      </c>
      <c r="K258" s="3" t="n">
        <v>3</v>
      </c>
      <c r="L258" s="3" t="n">
        <v>3</v>
      </c>
      <c r="M258" s="3" t="n">
        <v>610</v>
      </c>
      <c r="N258" s="3" t="n">
        <v>2.6</v>
      </c>
      <c r="O258" s="3" t="n">
        <v>202</v>
      </c>
    </row>
    <row r="259">
      <c r="A259" s="3" t="inlineStr">
        <is>
          <t>AirCapacityReduced</t>
        </is>
      </c>
      <c r="B259" s="3" t="inlineStr">
        <is>
          <t>SIM-00176</t>
        </is>
      </c>
      <c r="C259" s="3" t="inlineStr">
        <is>
          <t>RO-02874</t>
        </is>
      </c>
      <c r="D259" s="3" t="inlineStr">
        <is>
          <t>SIFO_ALT_16</t>
        </is>
      </c>
      <c r="E259" s="3" t="inlineStr">
        <is>
          <t>FE_ALT_20</t>
        </is>
      </c>
      <c r="F259" s="3" t="inlineStr">
        <is>
          <t>Courier</t>
        </is>
      </c>
      <c r="G259" s="3" t="inlineStr">
        <is>
          <t>No</t>
        </is>
      </c>
      <c r="H259" s="3" t="n">
        <v>1400</v>
      </c>
      <c r="I259" s="3" t="n">
        <v>1</v>
      </c>
      <c r="J259" s="3" t="b">
        <v>0</v>
      </c>
      <c r="K259" s="3" t="n">
        <v>4</v>
      </c>
      <c r="L259" s="3" t="n">
        <v>4</v>
      </c>
      <c r="M259" s="3" t="n">
        <v>806</v>
      </c>
      <c r="N259" s="3" t="n">
        <v>1.7</v>
      </c>
      <c r="O259" s="3" t="n">
        <v>172</v>
      </c>
    </row>
    <row r="260">
      <c r="A260" s="3" t="inlineStr">
        <is>
          <t>AirCapacityReduced</t>
        </is>
      </c>
      <c r="B260" s="3" t="inlineStr">
        <is>
          <t>SIM-00180</t>
        </is>
      </c>
      <c r="C260" s="3" t="inlineStr">
        <is>
          <t>RO-02580</t>
        </is>
      </c>
      <c r="D260" s="3" t="inlineStr">
        <is>
          <t>SIFO_ALT_88</t>
        </is>
      </c>
      <c r="E260" s="3" t="inlineStr">
        <is>
          <t>OSAT_ALT_02</t>
        </is>
      </c>
      <c r="F260" s="3" t="inlineStr">
        <is>
          <t>Courier</t>
        </is>
      </c>
      <c r="G260" s="3" t="inlineStr">
        <is>
          <t>No</t>
        </is>
      </c>
      <c r="H260" s="3" t="n">
        <v>54000</v>
      </c>
      <c r="I260" s="3" t="n">
        <v>12</v>
      </c>
      <c r="J260" s="3" t="b">
        <v>1</v>
      </c>
      <c r="K260" s="3" t="n">
        <v>5</v>
      </c>
      <c r="L260" s="3" t="n">
        <v>82</v>
      </c>
      <c r="M260" s="3" t="n">
        <v>422</v>
      </c>
      <c r="N260" s="3" t="n">
        <v>2.5</v>
      </c>
      <c r="O260" s="3" t="n">
        <v>126</v>
      </c>
    </row>
    <row r="261">
      <c r="A261" s="3" t="inlineStr">
        <is>
          <t>AirCapacityReduced</t>
        </is>
      </c>
      <c r="B261" s="3" t="inlineStr">
        <is>
          <t>SIM-00183</t>
        </is>
      </c>
      <c r="C261" s="3" t="inlineStr">
        <is>
          <t>RO-02736</t>
        </is>
      </c>
      <c r="D261" s="3" t="inlineStr">
        <is>
          <t>BE_ALT_06</t>
        </is>
      </c>
      <c r="E261" s="3" t="inlineStr">
        <is>
          <t>OSAT_ALT_10</t>
        </is>
      </c>
      <c r="F261" s="3" t="inlineStr">
        <is>
          <t>Ocean</t>
        </is>
      </c>
      <c r="G261" s="3" t="inlineStr">
        <is>
          <t>No</t>
        </is>
      </c>
      <c r="H261" s="3" t="n">
        <v>1500</v>
      </c>
      <c r="I261" s="3" t="n">
        <v>1</v>
      </c>
      <c r="J261" s="3" t="b">
        <v>0</v>
      </c>
      <c r="K261" s="3" t="n">
        <v>5</v>
      </c>
      <c r="L261" s="3" t="n">
        <v>5</v>
      </c>
      <c r="M261" s="3" t="n">
        <v>350</v>
      </c>
      <c r="N261" s="3" t="n">
        <v>2.5</v>
      </c>
      <c r="O261" s="3" t="n">
        <v>110</v>
      </c>
    </row>
    <row r="262">
      <c r="A262" s="3" t="inlineStr">
        <is>
          <t>AirCapacityReduced</t>
        </is>
      </c>
      <c r="B262" s="3" t="inlineStr">
        <is>
          <t>SIM-00184</t>
        </is>
      </c>
      <c r="C262" s="3" t="inlineStr">
        <is>
          <t>RO-01071</t>
        </is>
      </c>
      <c r="D262" s="3" t="inlineStr">
        <is>
          <t>OSAT_ALT_75</t>
        </is>
      </c>
      <c r="E262" s="3" t="inlineStr">
        <is>
          <t>BE_ALT_79</t>
        </is>
      </c>
      <c r="F262" s="3" t="inlineStr">
        <is>
          <t>Air</t>
        </is>
      </c>
      <c r="G262" s="3" t="inlineStr">
        <is>
          <t>No</t>
        </is>
      </c>
      <c r="H262" s="3" t="n">
        <v>400</v>
      </c>
      <c r="I262" s="3" t="n">
        <v>1</v>
      </c>
      <c r="J262" s="3" t="b">
        <v>0</v>
      </c>
      <c r="K262" s="3" t="n">
        <v>10</v>
      </c>
      <c r="L262" s="3" t="n">
        <v>10</v>
      </c>
      <c r="M262" s="3" t="n">
        <v>270</v>
      </c>
      <c r="N262" s="3" t="n">
        <v>3.9</v>
      </c>
      <c r="O262" s="3" t="n">
        <v>143</v>
      </c>
    </row>
    <row r="263">
      <c r="A263" s="3" t="inlineStr">
        <is>
          <t>AirCapacityReduced</t>
        </is>
      </c>
      <c r="B263" s="3" t="inlineStr">
        <is>
          <t>SIM-00185</t>
        </is>
      </c>
      <c r="C263" s="3" t="inlineStr">
        <is>
          <t>RO-02769</t>
        </is>
      </c>
      <c r="D263" s="3" t="inlineStr">
        <is>
          <t>BE_ALT_09</t>
        </is>
      </c>
      <c r="E263" s="3" t="inlineStr">
        <is>
          <t>SIFO_ALT_13</t>
        </is>
      </c>
      <c r="F263" s="3" t="inlineStr">
        <is>
          <t>Air</t>
        </is>
      </c>
      <c r="G263" s="3" t="inlineStr">
        <is>
          <t>No</t>
        </is>
      </c>
      <c r="H263" s="3" t="n">
        <v>2500</v>
      </c>
      <c r="I263" s="3" t="n">
        <v>1</v>
      </c>
      <c r="J263" s="3" t="b">
        <v>0</v>
      </c>
      <c r="K263" s="3" t="n">
        <v>5</v>
      </c>
      <c r="L263" s="3" t="n">
        <v>5</v>
      </c>
      <c r="M263" s="3" t="n">
        <v>682</v>
      </c>
      <c r="N263" s="3" t="n">
        <v>2.6</v>
      </c>
      <c r="O263" s="3" t="n">
        <v>214</v>
      </c>
    </row>
    <row r="264">
      <c r="A264" s="3" t="inlineStr">
        <is>
          <t>AirCapacityReduced</t>
        </is>
      </c>
      <c r="B264" s="3" t="inlineStr">
        <is>
          <t>SIM-00189</t>
        </is>
      </c>
      <c r="C264" s="3" t="inlineStr">
        <is>
          <t>RO-02835</t>
        </is>
      </c>
      <c r="D264" s="3" t="inlineStr">
        <is>
          <t>OSAT_ALT_15</t>
        </is>
      </c>
      <c r="E264" s="3" t="inlineStr">
        <is>
          <t>OSAT_ALT_19</t>
        </is>
      </c>
      <c r="F264" s="3" t="inlineStr">
        <is>
          <t>Road</t>
        </is>
      </c>
      <c r="G264" s="3" t="inlineStr">
        <is>
          <t>No</t>
        </is>
      </c>
      <c r="H264" s="3" t="n">
        <v>900</v>
      </c>
      <c r="I264" s="3" t="n">
        <v>1</v>
      </c>
      <c r="J264" s="3" t="b">
        <v>0</v>
      </c>
      <c r="K264" s="3" t="n">
        <v>10</v>
      </c>
      <c r="L264" s="3" t="n">
        <v>10</v>
      </c>
      <c r="M264" s="3" t="n">
        <v>270</v>
      </c>
      <c r="N264" s="3" t="n">
        <v>3.9</v>
      </c>
      <c r="O264" s="3" t="n">
        <v>127</v>
      </c>
    </row>
    <row r="265">
      <c r="A265" s="3" t="inlineStr">
        <is>
          <t>AirCapacityReduced</t>
        </is>
      </c>
      <c r="B265" s="3" t="inlineStr">
        <is>
          <t>SIM-00192</t>
        </is>
      </c>
      <c r="C265" s="3" t="inlineStr">
        <is>
          <t>RO-02628</t>
        </is>
      </c>
      <c r="D265" s="3" t="inlineStr">
        <is>
          <t>SIFO_ALT_88</t>
        </is>
      </c>
      <c r="E265" s="3" t="inlineStr">
        <is>
          <t>BE_ALT_02</t>
        </is>
      </c>
      <c r="F265" s="3" t="inlineStr">
        <is>
          <t>Courier</t>
        </is>
      </c>
      <c r="G265" s="3" t="inlineStr">
        <is>
          <t>No</t>
        </is>
      </c>
      <c r="H265" s="3" t="n">
        <v>1200</v>
      </c>
      <c r="I265" s="3" t="n">
        <v>1</v>
      </c>
      <c r="J265" s="3" t="b">
        <v>0</v>
      </c>
      <c r="K265" s="3" t="n">
        <v>6</v>
      </c>
      <c r="L265" s="3" t="n">
        <v>6</v>
      </c>
      <c r="M265" s="3" t="n">
        <v>350</v>
      </c>
      <c r="N265" s="3" t="n">
        <v>2.5</v>
      </c>
      <c r="O265" s="3" t="n">
        <v>132</v>
      </c>
    </row>
    <row r="266">
      <c r="A266" s="3" t="inlineStr">
        <is>
          <t>AirCapacityReduced</t>
        </is>
      </c>
      <c r="B266" s="3" t="inlineStr">
        <is>
          <t>SIM-00196</t>
        </is>
      </c>
      <c r="C266" s="3" t="inlineStr">
        <is>
          <t>RO-01614</t>
        </is>
      </c>
      <c r="D266" s="3" t="inlineStr">
        <is>
          <t>SIFO_ALT_22</t>
        </is>
      </c>
      <c r="E266" s="3" t="inlineStr">
        <is>
          <t>FE_ALT_26</t>
        </is>
      </c>
      <c r="F266" s="3" t="inlineStr">
        <is>
          <t>Courier</t>
        </is>
      </c>
      <c r="G266" s="3" t="inlineStr">
        <is>
          <t>No</t>
        </is>
      </c>
      <c r="H266" s="3" t="n">
        <v>1600</v>
      </c>
      <c r="I266" s="3" t="n">
        <v>1</v>
      </c>
      <c r="J266" s="3" t="b">
        <v>0</v>
      </c>
      <c r="K266" s="3" t="n">
        <v>4</v>
      </c>
      <c r="L266" s="3" t="n">
        <v>4</v>
      </c>
      <c r="M266" s="3" t="n">
        <v>806</v>
      </c>
      <c r="N266" s="3" t="n">
        <v>1.7</v>
      </c>
      <c r="O266" s="3" t="n">
        <v>188</v>
      </c>
    </row>
    <row r="267">
      <c r="A267" s="3" t="inlineStr">
        <is>
          <t>AirCapacityReduced</t>
        </is>
      </c>
      <c r="B267" s="3" t="inlineStr">
        <is>
          <t>SIM-00200</t>
        </is>
      </c>
      <c r="C267" s="3" t="inlineStr">
        <is>
          <t>RO-03000</t>
        </is>
      </c>
      <c r="D267" s="3" t="inlineStr">
        <is>
          <t>SIFO_ALT_26</t>
        </is>
      </c>
      <c r="E267" s="3" t="inlineStr">
        <is>
          <t>OSAT_ALT_30</t>
        </is>
      </c>
      <c r="F267" s="3" t="inlineStr">
        <is>
          <t>Courier</t>
        </is>
      </c>
      <c r="G267" s="3" t="inlineStr">
        <is>
          <t>No</t>
        </is>
      </c>
      <c r="H267" s="3" t="n">
        <v>200</v>
      </c>
      <c r="I267" s="3" t="n">
        <v>1</v>
      </c>
      <c r="J267" s="3" t="b">
        <v>0</v>
      </c>
      <c r="K267" s="3" t="n">
        <v>5</v>
      </c>
      <c r="L267" s="3" t="n">
        <v>5</v>
      </c>
      <c r="M267" s="3" t="n">
        <v>386</v>
      </c>
      <c r="N267" s="3" t="n">
        <v>2.5</v>
      </c>
      <c r="O267" s="3" t="n">
        <v>110</v>
      </c>
    </row>
    <row r="268">
      <c r="A268" s="3" t="inlineStr">
        <is>
          <t>AirCapacityReduced</t>
        </is>
      </c>
      <c r="B268" s="3" t="inlineStr">
        <is>
          <t>SIM-00205</t>
        </is>
      </c>
      <c r="C268" s="3" t="inlineStr">
        <is>
          <t>RO-03069</t>
        </is>
      </c>
      <c r="D268" s="3" t="inlineStr">
        <is>
          <t>BE_ALT_29</t>
        </is>
      </c>
      <c r="E268" s="3" t="inlineStr">
        <is>
          <t>SIFO_ALT_33</t>
        </is>
      </c>
      <c r="F268" s="3" t="inlineStr">
        <is>
          <t>Air</t>
        </is>
      </c>
      <c r="G268" s="3" t="inlineStr">
        <is>
          <t>No</t>
        </is>
      </c>
      <c r="H268" s="3" t="n">
        <v>700</v>
      </c>
      <c r="I268" s="3" t="n">
        <v>1</v>
      </c>
      <c r="J268" s="3" t="b">
        <v>0</v>
      </c>
      <c r="K268" s="3" t="n">
        <v>5</v>
      </c>
      <c r="L268" s="3" t="n">
        <v>5</v>
      </c>
      <c r="M268" s="3" t="n">
        <v>610</v>
      </c>
      <c r="N268" s="3" t="n">
        <v>2.6</v>
      </c>
      <c r="O268" s="3" t="n">
        <v>230</v>
      </c>
    </row>
    <row r="269">
      <c r="A269" s="3" t="inlineStr">
        <is>
          <t>AirCapacityReduced</t>
        </is>
      </c>
      <c r="B269" s="3" t="inlineStr">
        <is>
          <t>SIM-00209</t>
        </is>
      </c>
      <c r="C269" s="3" t="inlineStr">
        <is>
          <t>RO-01935</t>
        </is>
      </c>
      <c r="D269" s="3" t="inlineStr">
        <is>
          <t>OSAT_ALT_45</t>
        </is>
      </c>
      <c r="E269" s="3" t="inlineStr">
        <is>
          <t>OSAT_ALT_49</t>
        </is>
      </c>
      <c r="F269" s="3" t="inlineStr">
        <is>
          <t>Road</t>
        </is>
      </c>
      <c r="G269" s="3" t="inlineStr">
        <is>
          <t>No</t>
        </is>
      </c>
      <c r="H269" s="3" t="n">
        <v>33000</v>
      </c>
      <c r="I269" s="3" t="n">
        <v>5</v>
      </c>
      <c r="J269" s="3" t="b">
        <v>1</v>
      </c>
      <c r="K269" s="3" t="n">
        <v>10</v>
      </c>
      <c r="L269" s="3" t="n">
        <v>38</v>
      </c>
      <c r="M269" s="3" t="n">
        <v>270</v>
      </c>
      <c r="N269" s="3" t="n">
        <v>3.9</v>
      </c>
      <c r="O269" s="3" t="n">
        <v>143</v>
      </c>
    </row>
    <row r="270">
      <c r="A270" s="3" t="inlineStr">
        <is>
          <t>AirCapacityReduced</t>
        </is>
      </c>
      <c r="B270" s="3" t="inlineStr">
        <is>
          <t>SIM-00212</t>
        </is>
      </c>
      <c r="C270" s="3" t="inlineStr">
        <is>
          <t>RO-03528</t>
        </is>
      </c>
      <c r="D270" s="3" t="inlineStr">
        <is>
          <t>SIFO_ALT_58</t>
        </is>
      </c>
      <c r="E270" s="3" t="inlineStr">
        <is>
          <t>BE_ALT_62</t>
        </is>
      </c>
      <c r="F270" s="3" t="inlineStr">
        <is>
          <t>Courier</t>
        </is>
      </c>
      <c r="G270" s="3" t="inlineStr">
        <is>
          <t>No</t>
        </is>
      </c>
      <c r="H270" s="3" t="n">
        <v>1400</v>
      </c>
      <c r="I270" s="3" t="n">
        <v>1</v>
      </c>
      <c r="J270" s="3" t="b">
        <v>0</v>
      </c>
      <c r="K270" s="3" t="n">
        <v>6</v>
      </c>
      <c r="L270" s="3" t="n">
        <v>6</v>
      </c>
      <c r="M270" s="3" t="n">
        <v>350</v>
      </c>
      <c r="N270" s="3" t="n">
        <v>2.5</v>
      </c>
      <c r="O270" s="3" t="n">
        <v>116</v>
      </c>
    </row>
    <row r="271">
      <c r="A271" s="3" t="inlineStr">
        <is>
          <t>AirCapacityReduced</t>
        </is>
      </c>
      <c r="B271" s="3" t="inlineStr">
        <is>
          <t>SIM-00217</t>
        </is>
      </c>
      <c r="C271" s="3" t="inlineStr">
        <is>
          <t>RO-03252</t>
        </is>
      </c>
      <c r="D271" s="3" t="inlineStr">
        <is>
          <t>FE_ALT_42</t>
        </is>
      </c>
      <c r="E271" s="3" t="inlineStr">
        <is>
          <t>BE_ALT_46</t>
        </is>
      </c>
      <c r="F271" s="3" t="inlineStr">
        <is>
          <t>Air</t>
        </is>
      </c>
      <c r="G271" s="3" t="inlineStr">
        <is>
          <t>No</t>
        </is>
      </c>
      <c r="H271" s="3" t="n">
        <v>100</v>
      </c>
      <c r="I271" s="3" t="n">
        <v>1</v>
      </c>
      <c r="J271" s="3" t="b">
        <v>0</v>
      </c>
      <c r="K271" s="3" t="n">
        <v>5</v>
      </c>
      <c r="L271" s="3" t="n">
        <v>5</v>
      </c>
      <c r="M271" s="3" t="n">
        <v>386</v>
      </c>
      <c r="N271" s="3" t="n">
        <v>2.5</v>
      </c>
      <c r="O271" s="3" t="n">
        <v>126</v>
      </c>
    </row>
    <row r="272">
      <c r="A272" s="3" t="inlineStr">
        <is>
          <t>AirCapacityReduced</t>
        </is>
      </c>
      <c r="B272" s="3" t="inlineStr">
        <is>
          <t>SIM-00218</t>
        </is>
      </c>
      <c r="C272" s="3" t="inlineStr">
        <is>
          <t>RO-03267</t>
        </is>
      </c>
      <c r="D272" s="3" t="inlineStr">
        <is>
          <t>BE_ALT_43</t>
        </is>
      </c>
      <c r="E272" s="3" t="inlineStr">
        <is>
          <t>BE_ALT_47</t>
        </is>
      </c>
      <c r="F272" s="3" t="inlineStr">
        <is>
          <t>Road</t>
        </is>
      </c>
      <c r="G272" s="3" t="inlineStr">
        <is>
          <t>No</t>
        </is>
      </c>
      <c r="H272" s="3" t="n">
        <v>200</v>
      </c>
      <c r="I272" s="3" t="n">
        <v>1</v>
      </c>
      <c r="J272" s="3" t="b">
        <v>0</v>
      </c>
      <c r="K272" s="3" t="n">
        <v>10</v>
      </c>
      <c r="L272" s="3" t="n">
        <v>10</v>
      </c>
      <c r="M272" s="3" t="n">
        <v>270</v>
      </c>
      <c r="N272" s="3" t="n">
        <v>3.9</v>
      </c>
      <c r="O272" s="3" t="n">
        <v>127</v>
      </c>
    </row>
    <row r="273">
      <c r="A273" s="3" t="inlineStr">
        <is>
          <t>AirCapacityReduced</t>
        </is>
      </c>
      <c r="B273" s="3" t="inlineStr">
        <is>
          <t>SIM-00219</t>
        </is>
      </c>
      <c r="C273" s="3" t="inlineStr">
        <is>
          <t>RO-03285</t>
        </is>
      </c>
      <c r="D273" s="3" t="inlineStr">
        <is>
          <t>OSAT_ALT_45</t>
        </is>
      </c>
      <c r="E273" s="3" t="inlineStr">
        <is>
          <t>OSAT_ALT_49</t>
        </is>
      </c>
      <c r="F273" s="3" t="inlineStr">
        <is>
          <t>Courier</t>
        </is>
      </c>
      <c r="G273" s="3" t="inlineStr">
        <is>
          <t>No</t>
        </is>
      </c>
      <c r="H273" s="3" t="n">
        <v>30000</v>
      </c>
      <c r="I273" s="3" t="n">
        <v>6</v>
      </c>
      <c r="J273" s="3" t="b">
        <v>1</v>
      </c>
      <c r="K273" s="3" t="n">
        <v>3</v>
      </c>
      <c r="L273" s="3" t="n">
        <v>38</v>
      </c>
      <c r="M273" s="3" t="n">
        <v>610</v>
      </c>
      <c r="N273" s="3" t="n">
        <v>2.6</v>
      </c>
      <c r="O273" s="3" t="n">
        <v>218</v>
      </c>
    </row>
    <row r="274">
      <c r="A274" s="3" t="inlineStr">
        <is>
          <t>AirCapacityReduced</t>
        </is>
      </c>
      <c r="B274" s="3" t="inlineStr">
        <is>
          <t>SIM-00222</t>
        </is>
      </c>
      <c r="C274" s="3" t="inlineStr">
        <is>
          <t>RO-03438</t>
        </is>
      </c>
      <c r="D274" s="3" t="inlineStr">
        <is>
          <t>SIFO_ALT_52</t>
        </is>
      </c>
      <c r="E274" s="3" t="inlineStr">
        <is>
          <t>BE_ALT_56</t>
        </is>
      </c>
      <c r="F274" s="3" t="inlineStr">
        <is>
          <t>Road</t>
        </is>
      </c>
      <c r="G274" s="3" t="inlineStr">
        <is>
          <t>No</t>
        </is>
      </c>
      <c r="H274" s="3" t="n">
        <v>600</v>
      </c>
      <c r="I274" s="3" t="n">
        <v>1</v>
      </c>
      <c r="J274" s="3" t="b">
        <v>0</v>
      </c>
      <c r="K274" s="3" t="n">
        <v>3</v>
      </c>
      <c r="L274" s="3" t="n">
        <v>3</v>
      </c>
      <c r="M274" s="3" t="n">
        <v>770</v>
      </c>
      <c r="N274" s="3" t="n">
        <v>1.7</v>
      </c>
      <c r="O274" s="3" t="n">
        <v>182</v>
      </c>
    </row>
    <row r="275">
      <c r="A275" s="3" t="inlineStr">
        <is>
          <t>AirCapacityReduced</t>
        </is>
      </c>
      <c r="B275" s="3" t="inlineStr">
        <is>
          <t>SIM-00230</t>
        </is>
      </c>
      <c r="C275" s="3" t="inlineStr">
        <is>
          <t>RO-03330</t>
        </is>
      </c>
      <c r="D275" s="3" t="inlineStr">
        <is>
          <t>SIFO_ALT_48</t>
        </is>
      </c>
      <c r="E275" s="3" t="inlineStr">
        <is>
          <t>OSAT_ALT_52</t>
        </is>
      </c>
      <c r="F275" s="3" t="inlineStr">
        <is>
          <t>Road</t>
        </is>
      </c>
      <c r="G275" s="3" t="inlineStr">
        <is>
          <t>No</t>
        </is>
      </c>
      <c r="H275" s="3" t="n">
        <v>1400</v>
      </c>
      <c r="I275" s="3" t="n">
        <v>3</v>
      </c>
      <c r="J275" s="3" t="b">
        <v>1</v>
      </c>
      <c r="K275" s="3" t="n">
        <v>2</v>
      </c>
      <c r="L275" s="3" t="n">
        <v>16</v>
      </c>
      <c r="M275" s="3" t="n">
        <v>770</v>
      </c>
      <c r="N275" s="3" t="n">
        <v>1.7</v>
      </c>
      <c r="O275" s="3" t="n">
        <v>160</v>
      </c>
    </row>
    <row r="276">
      <c r="A276" s="3" t="inlineStr">
        <is>
          <t>AirCapacityReduced</t>
        </is>
      </c>
      <c r="B276" s="3" t="inlineStr">
        <is>
          <t>SIM-00232</t>
        </is>
      </c>
      <c r="C276" s="3" t="inlineStr">
        <is>
          <t>RO-03468</t>
        </is>
      </c>
      <c r="D276" s="3" t="inlineStr">
        <is>
          <t>SIFO_ALT_54</t>
        </is>
      </c>
      <c r="E276" s="3" t="inlineStr">
        <is>
          <t>BE_ALT_58</t>
        </is>
      </c>
      <c r="F276" s="3" t="inlineStr">
        <is>
          <t>Courier</t>
        </is>
      </c>
      <c r="G276" s="3" t="inlineStr">
        <is>
          <t>No</t>
        </is>
      </c>
      <c r="H276" s="3" t="n">
        <v>1600</v>
      </c>
      <c r="I276" s="3" t="n">
        <v>1</v>
      </c>
      <c r="J276" s="3" t="b">
        <v>0</v>
      </c>
      <c r="K276" s="3" t="n">
        <v>6</v>
      </c>
      <c r="L276" s="3" t="n">
        <v>6</v>
      </c>
      <c r="M276" s="3" t="n">
        <v>386</v>
      </c>
      <c r="N276" s="3" t="n">
        <v>2.5</v>
      </c>
      <c r="O276" s="3" t="n">
        <v>132</v>
      </c>
    </row>
    <row r="277">
      <c r="A277" s="3" t="inlineStr">
        <is>
          <t>AirCapacityReduced</t>
        </is>
      </c>
      <c r="B277" s="3" t="inlineStr">
        <is>
          <t>SIM-00233</t>
        </is>
      </c>
      <c r="C277" s="3" t="inlineStr">
        <is>
          <t>RO-03366</t>
        </is>
      </c>
      <c r="D277" s="3" t="inlineStr">
        <is>
          <t>BE_ALT_48</t>
        </is>
      </c>
      <c r="E277" s="3" t="inlineStr">
        <is>
          <t>OSAT_ALT_52</t>
        </is>
      </c>
      <c r="F277" s="3" t="inlineStr">
        <is>
          <t>Air</t>
        </is>
      </c>
      <c r="G277" s="3" t="inlineStr">
        <is>
          <t>No</t>
        </is>
      </c>
      <c r="H277" s="3" t="n">
        <v>1700</v>
      </c>
      <c r="I277" s="3" t="n">
        <v>3</v>
      </c>
      <c r="J277" s="3" t="b">
        <v>1</v>
      </c>
      <c r="K277" s="3" t="n">
        <v>2</v>
      </c>
      <c r="L277" s="3" t="n">
        <v>16</v>
      </c>
      <c r="M277" s="3" t="n">
        <v>770</v>
      </c>
      <c r="N277" s="3" t="n">
        <v>1.7</v>
      </c>
      <c r="O277" s="3" t="n">
        <v>176</v>
      </c>
    </row>
    <row r="278">
      <c r="A278" s="3" t="inlineStr">
        <is>
          <t>AirCapacityReduced</t>
        </is>
      </c>
      <c r="B278" s="3" t="inlineStr">
        <is>
          <t>SIM-00237</t>
        </is>
      </c>
      <c r="C278" s="3" t="inlineStr">
        <is>
          <t>RO-03312</t>
        </is>
      </c>
      <c r="D278" s="3" t="inlineStr">
        <is>
          <t>FE_ALT_46</t>
        </is>
      </c>
      <c r="E278" s="3" t="inlineStr">
        <is>
          <t>BE_ALT_50</t>
        </is>
      </c>
      <c r="F278" s="3" t="inlineStr">
        <is>
          <t>Air</t>
        </is>
      </c>
      <c r="G278" s="3" t="inlineStr">
        <is>
          <t>No</t>
        </is>
      </c>
      <c r="H278" s="3" t="n">
        <v>300</v>
      </c>
      <c r="I278" s="3" t="n">
        <v>1</v>
      </c>
      <c r="J278" s="3" t="b">
        <v>0</v>
      </c>
      <c r="K278" s="3" t="n">
        <v>5</v>
      </c>
      <c r="L278" s="3" t="n">
        <v>5</v>
      </c>
      <c r="M278" s="3" t="n">
        <v>350</v>
      </c>
      <c r="N278" s="3" t="n">
        <v>2.5</v>
      </c>
      <c r="O278" s="3" t="n">
        <v>110</v>
      </c>
    </row>
    <row r="279">
      <c r="A279" s="3" t="inlineStr">
        <is>
          <t>AirCapacityReduced</t>
        </is>
      </c>
      <c r="B279" s="3" t="inlineStr">
        <is>
          <t>SIM-00238</t>
        </is>
      </c>
      <c r="C279" s="3" t="inlineStr">
        <is>
          <t>RO-03567</t>
        </is>
      </c>
      <c r="D279" s="3" t="inlineStr">
        <is>
          <t>BE_ALT_63</t>
        </is>
      </c>
      <c r="E279" s="3" t="inlineStr">
        <is>
          <t>BE_ALT_67</t>
        </is>
      </c>
      <c r="F279" s="3" t="inlineStr">
        <is>
          <t>Road</t>
        </is>
      </c>
      <c r="G279" s="3" t="inlineStr">
        <is>
          <t>No</t>
        </is>
      </c>
      <c r="H279" s="3" t="n">
        <v>40000</v>
      </c>
      <c r="I279" s="3" t="n">
        <v>10</v>
      </c>
      <c r="J279" s="3" t="b">
        <v>1</v>
      </c>
      <c r="K279" s="3" t="n">
        <v>10</v>
      </c>
      <c r="L279" s="3" t="n">
        <v>73</v>
      </c>
      <c r="M279" s="3" t="n">
        <v>306</v>
      </c>
      <c r="N279" s="3" t="n">
        <v>3.9</v>
      </c>
      <c r="O279" s="3" t="n">
        <v>143</v>
      </c>
    </row>
    <row r="280">
      <c r="A280" s="3" t="inlineStr">
        <is>
          <t>AirCapacityReduced</t>
        </is>
      </c>
      <c r="B280" s="3" t="inlineStr">
        <is>
          <t>SIM-00240</t>
        </is>
      </c>
      <c r="C280" s="3" t="inlineStr">
        <is>
          <t>RO-03240</t>
        </is>
      </c>
      <c r="D280" s="3" t="inlineStr">
        <is>
          <t>SIFO_ALT_42</t>
        </is>
      </c>
      <c r="E280" s="3" t="inlineStr">
        <is>
          <t>OSAT_ALT_46</t>
        </is>
      </c>
      <c r="F280" s="3" t="inlineStr">
        <is>
          <t>Courier</t>
        </is>
      </c>
      <c r="G280" s="3" t="inlineStr">
        <is>
          <t>No</t>
        </is>
      </c>
      <c r="H280" s="3" t="n">
        <v>600</v>
      </c>
      <c r="I280" s="3" t="n">
        <v>1</v>
      </c>
      <c r="J280" s="3" t="b">
        <v>0</v>
      </c>
      <c r="K280" s="3" t="n">
        <v>5</v>
      </c>
      <c r="L280" s="3" t="n">
        <v>5</v>
      </c>
      <c r="M280" s="3" t="n">
        <v>350</v>
      </c>
      <c r="N280" s="3" t="n">
        <v>2.5</v>
      </c>
      <c r="O280" s="3" t="n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ShipmentID</t>
        </is>
      </c>
      <c r="C1" s="2" t="inlineStr">
        <is>
          <t>Reason</t>
        </is>
      </c>
      <c r="D1" s="2" t="inlineStr">
        <is>
          <t>LinkedDeliveries</t>
        </is>
      </c>
      <c r="E1" s="2" t="inlineStr">
        <is>
          <t>BestAvailableWeeks</t>
        </is>
      </c>
      <c r="F1" s="2" t="inlineStr">
        <is>
          <t>BestAvailableRoute</t>
        </is>
      </c>
      <c r="G1" s="2" t="inlineStr">
        <is>
          <t>RecommendedAction</t>
        </is>
      </c>
    </row>
    <row r="2">
      <c r="A2" s="3" t="inlineStr">
        <is>
          <t>Normal</t>
        </is>
      </c>
      <c r="B2" s="3" t="inlineStr">
        <is>
          <t>SIM-00007</t>
        </is>
      </c>
      <c r="C2" s="3" t="inlineStr">
        <is>
          <t>handling_infeasible</t>
        </is>
      </c>
      <c r="D2" s="3" t="n">
        <v>7</v>
      </c>
      <c r="E2" s="3" t="n"/>
      <c r="F2" s="3" t="n"/>
      <c r="G2" s="3" t="inlineStr">
        <is>
          <t>No handling-compatible hub - source alternate hub / supplier exception</t>
        </is>
      </c>
    </row>
    <row r="3">
      <c r="A3" s="3" t="inlineStr">
        <is>
          <t>Normal</t>
        </is>
      </c>
      <c r="B3" s="3" t="inlineStr">
        <is>
          <t>SIM-00009</t>
        </is>
      </c>
      <c r="C3" s="3" t="inlineStr">
        <is>
          <t>capacity_escalation</t>
        </is>
      </c>
      <c r="D3" s="3" t="n">
        <v>1</v>
      </c>
      <c r="E3" s="3" t="n">
        <v>14</v>
      </c>
      <c r="F3" s="3" t="inlineStr">
        <is>
          <t>RO-03609</t>
        </is>
      </c>
      <c r="G3" s="3" t="inlineStr">
        <is>
          <t>Exceeds quarter horizon - split order across periods or add capacity</t>
        </is>
      </c>
    </row>
    <row r="4">
      <c r="A4" s="3" t="inlineStr">
        <is>
          <t>Normal</t>
        </is>
      </c>
      <c r="B4" s="3" t="inlineStr">
        <is>
          <t>SIM-00013</t>
        </is>
      </c>
      <c r="C4" s="3" t="inlineStr">
        <is>
          <t>capacity_escalation</t>
        </is>
      </c>
      <c r="D4" s="3" t="n">
        <v>1</v>
      </c>
      <c r="E4" s="3" t="n">
        <v>16</v>
      </c>
      <c r="F4" s="3" t="inlineStr">
        <is>
          <t>RO-03613</t>
        </is>
      </c>
      <c r="G4" s="3" t="inlineStr">
        <is>
          <t>Exceeds quarter horizon - split order across periods or add capacity</t>
        </is>
      </c>
    </row>
    <row r="5">
      <c r="A5" s="3" t="inlineStr">
        <is>
          <t>Normal</t>
        </is>
      </c>
      <c r="B5" s="3" t="inlineStr">
        <is>
          <t>SIM-00014</t>
        </is>
      </c>
      <c r="C5" s="3" t="inlineStr">
        <is>
          <t>capacity_escalation</t>
        </is>
      </c>
      <c r="D5" s="3" t="n">
        <v>2</v>
      </c>
      <c r="E5" s="3" t="n">
        <v>32</v>
      </c>
      <c r="F5" s="3" t="inlineStr">
        <is>
          <t>RO-03614</t>
        </is>
      </c>
      <c r="G5" s="3" t="inlineStr">
        <is>
          <t>Exceeds quarter horizon - split order across periods or add capacity</t>
        </is>
      </c>
    </row>
    <row r="6">
      <c r="A6" s="3" t="inlineStr">
        <is>
          <t>Normal</t>
        </is>
      </c>
      <c r="B6" s="3" t="inlineStr">
        <is>
          <t>SIM-00015</t>
        </is>
      </c>
      <c r="C6" s="3" t="inlineStr">
        <is>
          <t>handling_infeasible</t>
        </is>
      </c>
      <c r="D6" s="3" t="n">
        <v>5</v>
      </c>
      <c r="E6" s="3" t="n"/>
      <c r="F6" s="3" t="n"/>
      <c r="G6" s="3" t="inlineStr">
        <is>
          <t>No handling-compatible hub - source alternate hub / supplier exception</t>
        </is>
      </c>
    </row>
    <row r="7">
      <c r="A7" s="3" t="inlineStr">
        <is>
          <t>Normal</t>
        </is>
      </c>
      <c r="B7" s="3" t="inlineStr">
        <is>
          <t>SIM-00035</t>
        </is>
      </c>
      <c r="C7" s="3" t="inlineStr">
        <is>
          <t>handling_infeasible</t>
        </is>
      </c>
      <c r="D7" s="3" t="n">
        <v>1</v>
      </c>
      <c r="E7" s="3" t="n"/>
      <c r="F7" s="3" t="n"/>
      <c r="G7" s="3" t="inlineStr">
        <is>
          <t>No handling-compatible hub - source alternate hub / supplier exception</t>
        </is>
      </c>
    </row>
    <row r="8">
      <c r="A8" s="3" t="inlineStr">
        <is>
          <t>Normal</t>
        </is>
      </c>
      <c r="B8" s="3" t="inlineStr">
        <is>
          <t>SIM-00042</t>
        </is>
      </c>
      <c r="C8" s="3" t="inlineStr">
        <is>
          <t>capacity_escalation</t>
        </is>
      </c>
      <c r="D8" s="3" t="n">
        <v>1</v>
      </c>
      <c r="E8" s="3" t="n">
        <v>13</v>
      </c>
      <c r="F8" s="3" t="inlineStr">
        <is>
          <t>RO-03642</t>
        </is>
      </c>
      <c r="G8" s="3" t="inlineStr">
        <is>
          <t>Exceeds quarter horizon - split order across periods or add capacity</t>
        </is>
      </c>
    </row>
    <row r="9">
      <c r="A9" s="3" t="inlineStr">
        <is>
          <t>Normal</t>
        </is>
      </c>
      <c r="B9" s="3" t="inlineStr">
        <is>
          <t>SIM-00047</t>
        </is>
      </c>
      <c r="C9" s="3" t="inlineStr">
        <is>
          <t>handling_infeasible</t>
        </is>
      </c>
      <c r="D9" s="3" t="n">
        <v>1</v>
      </c>
      <c r="E9" s="3" t="n"/>
      <c r="F9" s="3" t="n"/>
      <c r="G9" s="3" t="inlineStr">
        <is>
          <t>No handling-compatible hub - source alternate hub / supplier exception</t>
        </is>
      </c>
    </row>
    <row r="10">
      <c r="A10" s="3" t="inlineStr">
        <is>
          <t>Normal</t>
        </is>
      </c>
      <c r="B10" s="3" t="inlineStr">
        <is>
          <t>SIM-00066</t>
        </is>
      </c>
      <c r="C10" s="3" t="inlineStr">
        <is>
          <t>handling_infeasible</t>
        </is>
      </c>
      <c r="D10" s="3" t="n">
        <v>1</v>
      </c>
      <c r="E10" s="3" t="n"/>
      <c r="F10" s="3" t="n"/>
      <c r="G10" s="3" t="inlineStr">
        <is>
          <t>No handling-compatible hub - source alternate hub / supplier exception</t>
        </is>
      </c>
    </row>
    <row r="11">
      <c r="A11" s="3" t="inlineStr">
        <is>
          <t>Normal</t>
        </is>
      </c>
      <c r="B11" s="3" t="inlineStr">
        <is>
          <t>SIM-00071</t>
        </is>
      </c>
      <c r="C11" s="3" t="inlineStr">
        <is>
          <t>handling_infeasible</t>
        </is>
      </c>
      <c r="D11" s="3" t="n">
        <v>1</v>
      </c>
      <c r="E11" s="3" t="n"/>
      <c r="F11" s="3" t="n"/>
      <c r="G11" s="3" t="inlineStr">
        <is>
          <t>No handling-compatible hub - source alternate hub / supplier exception</t>
        </is>
      </c>
    </row>
    <row r="12">
      <c r="A12" s="3" t="inlineStr">
        <is>
          <t>Normal</t>
        </is>
      </c>
      <c r="B12" s="3" t="inlineStr">
        <is>
          <t>SIM-00083</t>
        </is>
      </c>
      <c r="C12" s="3" t="inlineStr">
        <is>
          <t>capacity_escalation</t>
        </is>
      </c>
      <c r="D12" s="3" t="n">
        <v>2</v>
      </c>
      <c r="E12" s="3" t="n">
        <v>18</v>
      </c>
      <c r="F12" s="3" t="inlineStr">
        <is>
          <t>RO-03683</t>
        </is>
      </c>
      <c r="G12" s="3" t="inlineStr">
        <is>
          <t>Exceeds quarter horizon - split order across periods or add capacity</t>
        </is>
      </c>
    </row>
    <row r="13">
      <c r="A13" s="3" t="inlineStr">
        <is>
          <t>Normal</t>
        </is>
      </c>
      <c r="B13" s="3" t="inlineStr">
        <is>
          <t>SIM-00086</t>
        </is>
      </c>
      <c r="C13" s="3" t="inlineStr">
        <is>
          <t>capacity_escalation</t>
        </is>
      </c>
      <c r="D13" s="3" t="n">
        <v>1</v>
      </c>
      <c r="E13" s="3" t="n">
        <v>73</v>
      </c>
      <c r="F13" s="3" t="inlineStr">
        <is>
          <t>RO-00202</t>
        </is>
      </c>
      <c r="G13" s="3" t="inlineStr">
        <is>
          <t>Exceeds quarter horizon - split order across periods or add capacity</t>
        </is>
      </c>
    </row>
    <row r="14">
      <c r="A14" s="3" t="inlineStr">
        <is>
          <t>Normal</t>
        </is>
      </c>
      <c r="B14" s="3" t="inlineStr">
        <is>
          <t>SIM-00107</t>
        </is>
      </c>
      <c r="C14" s="3" t="inlineStr">
        <is>
          <t>handling_infeasible</t>
        </is>
      </c>
      <c r="D14" s="3" t="n">
        <v>1</v>
      </c>
      <c r="E14" s="3" t="n"/>
      <c r="F14" s="3" t="n"/>
      <c r="G14" s="3" t="inlineStr">
        <is>
          <t>No handling-compatible hub - source alternate hub / supplier exception</t>
        </is>
      </c>
    </row>
    <row r="15">
      <c r="A15" s="3" t="inlineStr">
        <is>
          <t>Normal</t>
        </is>
      </c>
      <c r="B15" s="3" t="inlineStr">
        <is>
          <t>SIM-00111</t>
        </is>
      </c>
      <c r="C15" s="3" t="inlineStr">
        <is>
          <t>handling_infeasible</t>
        </is>
      </c>
      <c r="D15" s="3" t="n">
        <v>3</v>
      </c>
      <c r="E15" s="3" t="n"/>
      <c r="F15" s="3" t="n"/>
      <c r="G15" s="3" t="inlineStr">
        <is>
          <t>No handling-compatible hub - source alternate hub / supplier exception</t>
        </is>
      </c>
    </row>
    <row r="16">
      <c r="A16" s="3" t="inlineStr">
        <is>
          <t>Normal</t>
        </is>
      </c>
      <c r="B16" s="3" t="inlineStr">
        <is>
          <t>SIM-00126</t>
        </is>
      </c>
      <c r="C16" s="3" t="inlineStr">
        <is>
          <t>handling_infeasible</t>
        </is>
      </c>
      <c r="D16" s="3" t="n">
        <v>1</v>
      </c>
      <c r="E16" s="3" t="n"/>
      <c r="F16" s="3" t="n"/>
      <c r="G16" s="3" t="inlineStr">
        <is>
          <t>No handling-compatible hub - source alternate hub / supplier exception</t>
        </is>
      </c>
    </row>
    <row r="17">
      <c r="A17" s="3" t="inlineStr">
        <is>
          <t>Normal</t>
        </is>
      </c>
      <c r="B17" s="3" t="inlineStr">
        <is>
          <t>SIM-00131</t>
        </is>
      </c>
      <c r="C17" s="3" t="inlineStr">
        <is>
          <t>handling_infeasible</t>
        </is>
      </c>
      <c r="D17" s="3" t="n">
        <v>1</v>
      </c>
      <c r="E17" s="3" t="n"/>
      <c r="F17" s="3" t="n"/>
      <c r="G17" s="3" t="inlineStr">
        <is>
          <t>No handling-compatible hub - source alternate hub / supplier exception</t>
        </is>
      </c>
    </row>
    <row r="18">
      <c r="A18" s="3" t="inlineStr">
        <is>
          <t>Normal</t>
        </is>
      </c>
      <c r="B18" s="3" t="inlineStr">
        <is>
          <t>SIM-00133</t>
        </is>
      </c>
      <c r="C18" s="3" t="inlineStr">
        <is>
          <t>capacity_escalation</t>
        </is>
      </c>
      <c r="D18" s="3" t="n">
        <v>2</v>
      </c>
      <c r="E18" s="3" t="n">
        <v>25</v>
      </c>
      <c r="F18" s="3" t="inlineStr">
        <is>
          <t>RO-03613</t>
        </is>
      </c>
      <c r="G18" s="3" t="inlineStr">
        <is>
          <t>Exceeds quarter horizon - split order across periods or add capacity</t>
        </is>
      </c>
    </row>
    <row r="19">
      <c r="A19" s="3" t="inlineStr">
        <is>
          <t>Normal</t>
        </is>
      </c>
      <c r="B19" s="3" t="inlineStr">
        <is>
          <t>SIM-00135</t>
        </is>
      </c>
      <c r="C19" s="3" t="inlineStr">
        <is>
          <t>handling_infeasible</t>
        </is>
      </c>
      <c r="D19" s="3" t="n">
        <v>1</v>
      </c>
      <c r="E19" s="3" t="n"/>
      <c r="F19" s="3" t="n"/>
      <c r="G19" s="3" t="inlineStr">
        <is>
          <t>No handling-compatible hub - source alternate hub / supplier exception</t>
        </is>
      </c>
    </row>
    <row r="20">
      <c r="A20" s="3" t="inlineStr">
        <is>
          <t>Normal</t>
        </is>
      </c>
      <c r="B20" s="3" t="inlineStr">
        <is>
          <t>SIM-00136</t>
        </is>
      </c>
      <c r="C20" s="3" t="inlineStr">
        <is>
          <t>capacity_escalation</t>
        </is>
      </c>
      <c r="D20" s="3" t="n">
        <v>2</v>
      </c>
      <c r="E20" s="3" t="n">
        <v>41</v>
      </c>
      <c r="F20" s="3" t="inlineStr">
        <is>
          <t>RO-00832</t>
        </is>
      </c>
      <c r="G20" s="3" t="inlineStr">
        <is>
          <t>Exceeds quarter horizon - split order across periods or add capacity</t>
        </is>
      </c>
    </row>
    <row r="21">
      <c r="A21" s="3" t="inlineStr">
        <is>
          <t>Normal</t>
        </is>
      </c>
      <c r="B21" s="3" t="inlineStr">
        <is>
          <t>SIM-00147</t>
        </is>
      </c>
      <c r="C21" s="3" t="inlineStr">
        <is>
          <t>handling_infeasible</t>
        </is>
      </c>
      <c r="D21" s="3" t="n">
        <v>1</v>
      </c>
      <c r="E21" s="3" t="n"/>
      <c r="F21" s="3" t="n"/>
      <c r="G21" s="3" t="inlineStr">
        <is>
          <t>No handling-compatible hub - source alternate hub / supplier exception</t>
        </is>
      </c>
    </row>
    <row r="22">
      <c r="A22" s="3" t="inlineStr">
        <is>
          <t>Normal</t>
        </is>
      </c>
      <c r="B22" s="3" t="inlineStr">
        <is>
          <t>SIM-00151</t>
        </is>
      </c>
      <c r="C22" s="3" t="inlineStr">
        <is>
          <t>handling_infeasible</t>
        </is>
      </c>
      <c r="D22" s="3" t="n">
        <v>1</v>
      </c>
      <c r="E22" s="3" t="n"/>
      <c r="F22" s="3" t="n"/>
      <c r="G22" s="3" t="inlineStr">
        <is>
          <t>No handling-compatible hub - source alternate hub / supplier exception</t>
        </is>
      </c>
    </row>
    <row r="23">
      <c r="A23" s="3" t="inlineStr">
        <is>
          <t>Normal</t>
        </is>
      </c>
      <c r="B23" s="3" t="inlineStr">
        <is>
          <t>SIM-00160</t>
        </is>
      </c>
      <c r="C23" s="3" t="inlineStr">
        <is>
          <t>capacity_escalation</t>
        </is>
      </c>
      <c r="D23" s="3" t="n">
        <v>1</v>
      </c>
      <c r="E23" s="3" t="n">
        <v>89</v>
      </c>
      <c r="F23" s="3" t="inlineStr">
        <is>
          <t>RO-00838</t>
        </is>
      </c>
      <c r="G23" s="3" t="inlineStr">
        <is>
          <t>Exceeds quarter horizon - split order across periods or add capacity</t>
        </is>
      </c>
    </row>
    <row r="24">
      <c r="A24" s="3" t="inlineStr">
        <is>
          <t>Normal</t>
        </is>
      </c>
      <c r="B24" s="3" t="inlineStr">
        <is>
          <t>SIM-00161</t>
        </is>
      </c>
      <c r="C24" s="3" t="inlineStr">
        <is>
          <t>capacity_escalation</t>
        </is>
      </c>
      <c r="D24" s="3" t="n">
        <v>1</v>
      </c>
      <c r="E24" s="3" t="n">
        <v>20</v>
      </c>
      <c r="F24" s="3" t="inlineStr">
        <is>
          <t>RO-03681</t>
        </is>
      </c>
      <c r="G24" s="3" t="inlineStr">
        <is>
          <t>Exceeds quarter horizon - split order across periods or add capacity</t>
        </is>
      </c>
    </row>
    <row r="25">
      <c r="A25" s="3" t="inlineStr">
        <is>
          <t>Normal</t>
        </is>
      </c>
      <c r="B25" s="3" t="inlineStr">
        <is>
          <t>SIM-00166</t>
        </is>
      </c>
      <c r="C25" s="3" t="inlineStr">
        <is>
          <t>handling_infeasible</t>
        </is>
      </c>
      <c r="D25" s="3" t="n">
        <v>1</v>
      </c>
      <c r="E25" s="3" t="n"/>
      <c r="F25" s="3" t="n"/>
      <c r="G25" s="3" t="inlineStr">
        <is>
          <t>No handling-compatible hub - source alternate hub / supplier exception</t>
        </is>
      </c>
    </row>
    <row r="26">
      <c r="A26" s="3" t="inlineStr">
        <is>
          <t>Normal</t>
        </is>
      </c>
      <c r="B26" s="3" t="inlineStr">
        <is>
          <t>SIM-00171</t>
        </is>
      </c>
      <c r="C26" s="3" t="inlineStr">
        <is>
          <t>handling_infeasible</t>
        </is>
      </c>
      <c r="D26" s="3" t="n">
        <v>1</v>
      </c>
      <c r="E26" s="3" t="n"/>
      <c r="F26" s="3" t="n"/>
      <c r="G26" s="3" t="inlineStr">
        <is>
          <t>No handling-compatible hub - source alternate hub / supplier exception</t>
        </is>
      </c>
    </row>
    <row r="27">
      <c r="A27" s="3" t="inlineStr">
        <is>
          <t>Normal</t>
        </is>
      </c>
      <c r="B27" s="3" t="inlineStr">
        <is>
          <t>SIM-00172</t>
        </is>
      </c>
      <c r="C27" s="3" t="inlineStr">
        <is>
          <t>capacity_escalation</t>
        </is>
      </c>
      <c r="D27" s="3" t="n">
        <v>2</v>
      </c>
      <c r="E27" s="3" t="n">
        <v>28</v>
      </c>
      <c r="F27" s="3" t="inlineStr">
        <is>
          <t>RO-02686</t>
        </is>
      </c>
      <c r="G27" s="3" t="inlineStr">
        <is>
          <t>Exceeds quarter horizon - split order across periods or add capacity</t>
        </is>
      </c>
    </row>
    <row r="28">
      <c r="A28" s="3" t="inlineStr">
        <is>
          <t>Normal</t>
        </is>
      </c>
      <c r="B28" s="3" t="inlineStr">
        <is>
          <t>SIM-00179</t>
        </is>
      </c>
      <c r="C28" s="3" t="inlineStr">
        <is>
          <t>capacity_escalation</t>
        </is>
      </c>
      <c r="D28" s="3" t="n">
        <v>1</v>
      </c>
      <c r="E28" s="3" t="n">
        <v>13</v>
      </c>
      <c r="F28" s="3" t="inlineStr">
        <is>
          <t>RO-00643</t>
        </is>
      </c>
      <c r="G28" s="3" t="inlineStr">
        <is>
          <t>Exceeds quarter horizon - split order across periods or add capacity</t>
        </is>
      </c>
    </row>
    <row r="29">
      <c r="A29" s="3" t="inlineStr">
        <is>
          <t>Normal</t>
        </is>
      </c>
      <c r="B29" s="3" t="inlineStr">
        <is>
          <t>SIM-00191</t>
        </is>
      </c>
      <c r="C29" s="3" t="inlineStr">
        <is>
          <t>handling_infeasible</t>
        </is>
      </c>
      <c r="D29" s="3" t="n">
        <v>1</v>
      </c>
      <c r="E29" s="3" t="n"/>
      <c r="F29" s="3" t="n"/>
      <c r="G29" s="3" t="inlineStr">
        <is>
          <t>No handling-compatible hub - source alternate hub / supplier exception</t>
        </is>
      </c>
    </row>
    <row r="30">
      <c r="A30" s="3" t="inlineStr">
        <is>
          <t>Normal</t>
        </is>
      </c>
      <c r="B30" s="3" t="inlineStr">
        <is>
          <t>SIM-00204</t>
        </is>
      </c>
      <c r="C30" s="3" t="inlineStr">
        <is>
          <t>capacity_escalation</t>
        </is>
      </c>
      <c r="D30" s="3" t="n">
        <v>2</v>
      </c>
      <c r="E30" s="3" t="n">
        <v>30</v>
      </c>
      <c r="F30" s="3" t="inlineStr">
        <is>
          <t>RO-03049</t>
        </is>
      </c>
      <c r="G30" s="3" t="inlineStr">
        <is>
          <t>Exceeds quarter horizon - split order across periods or add capacity</t>
        </is>
      </c>
    </row>
    <row r="31">
      <c r="A31" s="3" t="inlineStr">
        <is>
          <t>Normal</t>
        </is>
      </c>
      <c r="B31" s="3" t="inlineStr">
        <is>
          <t>SIM-00207</t>
        </is>
      </c>
      <c r="C31" s="3" t="inlineStr">
        <is>
          <t>handling_infeasible</t>
        </is>
      </c>
      <c r="D31" s="3" t="n">
        <v>1</v>
      </c>
      <c r="E31" s="3" t="n"/>
      <c r="F31" s="3" t="n"/>
      <c r="G31" s="3" t="inlineStr">
        <is>
          <t>No handling-compatible hub - source alternate hub / supplier exception</t>
        </is>
      </c>
    </row>
    <row r="32">
      <c r="A32" s="3" t="inlineStr">
        <is>
          <t>Normal</t>
        </is>
      </c>
      <c r="B32" s="3" t="inlineStr">
        <is>
          <t>SIM-00208</t>
        </is>
      </c>
      <c r="C32" s="3" t="inlineStr">
        <is>
          <t>capacity_escalation</t>
        </is>
      </c>
      <c r="D32" s="3" t="n">
        <v>1</v>
      </c>
      <c r="E32" s="3" t="n">
        <v>15</v>
      </c>
      <c r="F32" s="3" t="inlineStr">
        <is>
          <t>RO-02035</t>
        </is>
      </c>
      <c r="G32" s="3" t="inlineStr">
        <is>
          <t>Exceeds quarter horizon - split order across periods or add capacity</t>
        </is>
      </c>
    </row>
    <row r="33">
      <c r="A33" s="3" t="inlineStr">
        <is>
          <t>Normal</t>
        </is>
      </c>
      <c r="B33" s="3" t="inlineStr">
        <is>
          <t>SIM-00213</t>
        </is>
      </c>
      <c r="C33" s="3" t="inlineStr">
        <is>
          <t>capacity_escalation</t>
        </is>
      </c>
      <c r="D33" s="3" t="n">
        <v>4</v>
      </c>
      <c r="E33" s="3" t="n">
        <v>17</v>
      </c>
      <c r="F33" s="3" t="inlineStr">
        <is>
          <t>RO-03691</t>
        </is>
      </c>
      <c r="G33" s="3" t="inlineStr">
        <is>
          <t>Exceeds quarter horizon - split order across periods or add capacity</t>
        </is>
      </c>
    </row>
    <row r="34">
      <c r="A34" s="3" t="inlineStr">
        <is>
          <t>Normal</t>
        </is>
      </c>
      <c r="B34" s="3" t="inlineStr">
        <is>
          <t>SIM-00214</t>
        </is>
      </c>
      <c r="C34" s="3" t="inlineStr">
        <is>
          <t>capacity_escalation</t>
        </is>
      </c>
      <c r="D34" s="3" t="n">
        <v>1</v>
      </c>
      <c r="E34" s="3" t="n">
        <v>24</v>
      </c>
      <c r="F34" s="3" t="inlineStr">
        <is>
          <t>RO-03793</t>
        </is>
      </c>
      <c r="G34" s="3" t="inlineStr">
        <is>
          <t>Exceeds quarter horizon - split order across periods or add capacity</t>
        </is>
      </c>
    </row>
    <row r="35">
      <c r="A35" s="3" t="inlineStr">
        <is>
          <t>Normal</t>
        </is>
      </c>
      <c r="B35" s="3" t="inlineStr">
        <is>
          <t>SIM-00221</t>
        </is>
      </c>
      <c r="C35" s="3" t="inlineStr">
        <is>
          <t>handling_infeasible</t>
        </is>
      </c>
      <c r="D35" s="3" t="n">
        <v>5</v>
      </c>
      <c r="E35" s="3" t="n"/>
      <c r="F35" s="3" t="n"/>
      <c r="G35" s="3" t="inlineStr">
        <is>
          <t>No handling-compatible hub - source alternate hub / supplier exception</t>
        </is>
      </c>
    </row>
    <row r="36">
      <c r="A36" s="3" t="inlineStr">
        <is>
          <t>Normal</t>
        </is>
      </c>
      <c r="B36" s="3" t="inlineStr">
        <is>
          <t>SIM-00235</t>
        </is>
      </c>
      <c r="C36" s="3" t="inlineStr">
        <is>
          <t>handling_infeasible</t>
        </is>
      </c>
      <c r="D36" s="3" t="n">
        <v>1</v>
      </c>
      <c r="E36" s="3" t="n"/>
      <c r="F36" s="3" t="n"/>
      <c r="G36" s="3" t="inlineStr">
        <is>
          <t>No handling-compatible hub - source alternate hub / supplier exception</t>
        </is>
      </c>
    </row>
    <row r="37">
      <c r="A37" s="3" t="inlineStr">
        <is>
          <t>PrimaryHubDown</t>
        </is>
      </c>
      <c r="B37" s="3" t="inlineStr">
        <is>
          <t>SIM-00007</t>
        </is>
      </c>
      <c r="C37" s="3" t="inlineStr">
        <is>
          <t>handling_infeasible</t>
        </is>
      </c>
      <c r="D37" s="3" t="n">
        <v>7</v>
      </c>
      <c r="E37" s="3" t="n"/>
      <c r="F37" s="3" t="n"/>
      <c r="G37" s="3" t="inlineStr">
        <is>
          <t>No handling-compatible hub - source alternate hub / supplier exception</t>
        </is>
      </c>
    </row>
    <row r="38">
      <c r="A38" s="3" t="inlineStr">
        <is>
          <t>PrimaryHubDown</t>
        </is>
      </c>
      <c r="B38" s="3" t="inlineStr">
        <is>
          <t>SIM-00009</t>
        </is>
      </c>
      <c r="C38" s="3" t="inlineStr">
        <is>
          <t>capacity_escalation</t>
        </is>
      </c>
      <c r="D38" s="3" t="n">
        <v>1</v>
      </c>
      <c r="E38" s="3" t="n">
        <v>18</v>
      </c>
      <c r="F38" s="3" t="inlineStr">
        <is>
          <t>RO-01214</t>
        </is>
      </c>
      <c r="G38" s="3" t="inlineStr">
        <is>
          <t>Exceeds quarter horizon - split order across periods or add capacity</t>
        </is>
      </c>
    </row>
    <row r="39">
      <c r="A39" s="3" t="inlineStr">
        <is>
          <t>PrimaryHubDown</t>
        </is>
      </c>
      <c r="B39" s="3" t="inlineStr">
        <is>
          <t>SIM-00013</t>
        </is>
      </c>
      <c r="C39" s="3" t="inlineStr">
        <is>
          <t>capacity_escalation</t>
        </is>
      </c>
      <c r="D39" s="3" t="n">
        <v>1</v>
      </c>
      <c r="E39" s="3" t="n">
        <v>21</v>
      </c>
      <c r="F39" s="3" t="inlineStr">
        <is>
          <t>RO-02705</t>
        </is>
      </c>
      <c r="G39" s="3" t="inlineStr">
        <is>
          <t>Exceeds quarter horizon - split order across periods or add capacity</t>
        </is>
      </c>
    </row>
    <row r="40">
      <c r="A40" s="3" t="inlineStr">
        <is>
          <t>PrimaryHubDown</t>
        </is>
      </c>
      <c r="B40" s="3" t="inlineStr">
        <is>
          <t>SIM-00014</t>
        </is>
      </c>
      <c r="C40" s="3" t="inlineStr">
        <is>
          <t>capacity_escalation</t>
        </is>
      </c>
      <c r="D40" s="3" t="n">
        <v>2</v>
      </c>
      <c r="E40" s="3" t="n">
        <v>81</v>
      </c>
      <c r="F40" s="3" t="inlineStr">
        <is>
          <t>RO-01280</t>
        </is>
      </c>
      <c r="G40" s="3" t="inlineStr">
        <is>
          <t>Exceeds quarter horizon - split order across periods or add capacity</t>
        </is>
      </c>
    </row>
    <row r="41">
      <c r="A41" s="3" t="inlineStr">
        <is>
          <t>PrimaryHubDown</t>
        </is>
      </c>
      <c r="B41" s="3" t="inlineStr">
        <is>
          <t>SIM-00015</t>
        </is>
      </c>
      <c r="C41" s="3" t="inlineStr">
        <is>
          <t>handling_infeasible</t>
        </is>
      </c>
      <c r="D41" s="3" t="n">
        <v>5</v>
      </c>
      <c r="E41" s="3" t="n"/>
      <c r="F41" s="3" t="n"/>
      <c r="G41" s="3" t="inlineStr">
        <is>
          <t>No handling-compatible hub - source alternate hub / supplier exception</t>
        </is>
      </c>
    </row>
    <row r="42">
      <c r="A42" s="3" t="inlineStr">
        <is>
          <t>PrimaryHubDown</t>
        </is>
      </c>
      <c r="B42" s="3" t="inlineStr">
        <is>
          <t>SIM-00035</t>
        </is>
      </c>
      <c r="C42" s="3" t="inlineStr">
        <is>
          <t>handling_infeasible</t>
        </is>
      </c>
      <c r="D42" s="3" t="n">
        <v>1</v>
      </c>
      <c r="E42" s="3" t="n"/>
      <c r="F42" s="3" t="n"/>
      <c r="G42" s="3" t="inlineStr">
        <is>
          <t>No handling-compatible hub - source alternate hub / supplier exception</t>
        </is>
      </c>
    </row>
    <row r="43">
      <c r="A43" s="3" t="inlineStr">
        <is>
          <t>PrimaryHubDown</t>
        </is>
      </c>
      <c r="B43" s="3" t="inlineStr">
        <is>
          <t>SIM-00036</t>
        </is>
      </c>
      <c r="C43" s="3" t="inlineStr">
        <is>
          <t>handling_infeasible</t>
        </is>
      </c>
      <c r="D43" s="3" t="n">
        <v>2</v>
      </c>
      <c r="E43" s="3" t="n"/>
      <c r="F43" s="3" t="n"/>
      <c r="G43" s="3" t="inlineStr">
        <is>
          <t>No handling-compatible hub - source alternate hub / supplier exception</t>
        </is>
      </c>
    </row>
    <row r="44">
      <c r="A44" s="3" t="inlineStr">
        <is>
          <t>PrimaryHubDown</t>
        </is>
      </c>
      <c r="B44" s="3" t="inlineStr">
        <is>
          <t>SIM-00042</t>
        </is>
      </c>
      <c r="C44" s="3" t="inlineStr">
        <is>
          <t>capacity_escalation</t>
        </is>
      </c>
      <c r="D44" s="3" t="n">
        <v>1</v>
      </c>
      <c r="E44" s="3" t="n">
        <v>27</v>
      </c>
      <c r="F44" s="3" t="inlineStr">
        <is>
          <t>RO-01097</t>
        </is>
      </c>
      <c r="G44" s="3" t="inlineStr">
        <is>
          <t>Exceeds quarter horizon - split order across periods or add capacity</t>
        </is>
      </c>
    </row>
    <row r="45">
      <c r="A45" s="3" t="inlineStr">
        <is>
          <t>PrimaryHubDown</t>
        </is>
      </c>
      <c r="B45" s="3" t="inlineStr">
        <is>
          <t>SIM-00047</t>
        </is>
      </c>
      <c r="C45" s="3" t="inlineStr">
        <is>
          <t>handling_infeasible</t>
        </is>
      </c>
      <c r="D45" s="3" t="n">
        <v>1</v>
      </c>
      <c r="E45" s="3" t="n"/>
      <c r="F45" s="3" t="n"/>
      <c r="G45" s="3" t="inlineStr">
        <is>
          <t>No handling-compatible hub - source alternate hub / supplier exception</t>
        </is>
      </c>
    </row>
    <row r="46">
      <c r="A46" s="3" t="inlineStr">
        <is>
          <t>PrimaryHubDown</t>
        </is>
      </c>
      <c r="B46" s="3" t="inlineStr">
        <is>
          <t>SIM-00061</t>
        </is>
      </c>
      <c r="C46" s="3" t="inlineStr">
        <is>
          <t>handling_infeasible</t>
        </is>
      </c>
      <c r="D46" s="3" t="n">
        <v>3</v>
      </c>
      <c r="E46" s="3" t="n"/>
      <c r="F46" s="3" t="n"/>
      <c r="G46" s="3" t="inlineStr">
        <is>
          <t>No handling-compatible hub - source alternate hub / supplier exception</t>
        </is>
      </c>
    </row>
    <row r="47">
      <c r="A47" s="3" t="inlineStr">
        <is>
          <t>PrimaryHubDown</t>
        </is>
      </c>
      <c r="B47" s="3" t="inlineStr">
        <is>
          <t>SIM-00066</t>
        </is>
      </c>
      <c r="C47" s="3" t="inlineStr">
        <is>
          <t>handling_infeasible</t>
        </is>
      </c>
      <c r="D47" s="3" t="n">
        <v>1</v>
      </c>
      <c r="E47" s="3" t="n"/>
      <c r="F47" s="3" t="n"/>
      <c r="G47" s="3" t="inlineStr">
        <is>
          <t>No handling-compatible hub - source alternate hub / supplier exception</t>
        </is>
      </c>
    </row>
    <row r="48">
      <c r="A48" s="3" t="inlineStr">
        <is>
          <t>PrimaryHubDown</t>
        </is>
      </c>
      <c r="B48" s="3" t="inlineStr">
        <is>
          <t>SIM-00071</t>
        </is>
      </c>
      <c r="C48" s="3" t="inlineStr">
        <is>
          <t>handling_infeasible</t>
        </is>
      </c>
      <c r="D48" s="3" t="n">
        <v>1</v>
      </c>
      <c r="E48" s="3" t="n"/>
      <c r="F48" s="3" t="n"/>
      <c r="G48" s="3" t="inlineStr">
        <is>
          <t>No handling-compatible hub - source alternate hub / supplier exception</t>
        </is>
      </c>
    </row>
    <row r="49">
      <c r="A49" s="3" t="inlineStr">
        <is>
          <t>PrimaryHubDown</t>
        </is>
      </c>
      <c r="B49" s="3" t="inlineStr">
        <is>
          <t>SIM-00076</t>
        </is>
      </c>
      <c r="C49" s="3" t="inlineStr">
        <is>
          <t>handling_infeasible</t>
        </is>
      </c>
      <c r="D49" s="3" t="n">
        <v>1</v>
      </c>
      <c r="E49" s="3" t="n"/>
      <c r="F49" s="3" t="n"/>
      <c r="G49" s="3" t="inlineStr">
        <is>
          <t>No handling-compatible hub - source alternate hub / supplier exception</t>
        </is>
      </c>
    </row>
    <row r="50">
      <c r="A50" s="3" t="inlineStr">
        <is>
          <t>PrimaryHubDown</t>
        </is>
      </c>
      <c r="B50" s="3" t="inlineStr">
        <is>
          <t>SIM-00083</t>
        </is>
      </c>
      <c r="C50" s="3" t="inlineStr">
        <is>
          <t>capacity_escalation</t>
        </is>
      </c>
      <c r="D50" s="3" t="n">
        <v>2</v>
      </c>
      <c r="E50" s="3" t="n">
        <v>19</v>
      </c>
      <c r="F50" s="3" t="inlineStr">
        <is>
          <t>RO-01235</t>
        </is>
      </c>
      <c r="G50" s="3" t="inlineStr">
        <is>
          <t>Exceeds quarter horizon - split order across periods or add capacity</t>
        </is>
      </c>
    </row>
    <row r="51">
      <c r="A51" s="3" t="inlineStr">
        <is>
          <t>PrimaryHubDown</t>
        </is>
      </c>
      <c r="B51" s="3" t="inlineStr">
        <is>
          <t>SIM-00086</t>
        </is>
      </c>
      <c r="C51" s="3" t="inlineStr">
        <is>
          <t>capacity_escalation</t>
        </is>
      </c>
      <c r="D51" s="3" t="n">
        <v>1</v>
      </c>
      <c r="E51" s="3" t="n">
        <v>64</v>
      </c>
      <c r="F51" s="3" t="inlineStr">
        <is>
          <t>RO-01403</t>
        </is>
      </c>
      <c r="G51" s="3" t="inlineStr">
        <is>
          <t>Exceeds quarter horizon - split order across periods or add capacity</t>
        </is>
      </c>
    </row>
    <row r="52">
      <c r="A52" s="3" t="inlineStr">
        <is>
          <t>PrimaryHubDown</t>
        </is>
      </c>
      <c r="B52" s="3" t="inlineStr">
        <is>
          <t>SIM-00094</t>
        </is>
      </c>
      <c r="C52" s="3" t="inlineStr">
        <is>
          <t>capacity_escalation</t>
        </is>
      </c>
      <c r="D52" s="3" t="n">
        <v>1</v>
      </c>
      <c r="E52" s="3" t="n">
        <v>30</v>
      </c>
      <c r="F52" s="3" t="inlineStr">
        <is>
          <t>RO-01280</t>
        </is>
      </c>
      <c r="G52" s="3" t="inlineStr">
        <is>
          <t>Exceeds quarter horizon - split order across periods or add capacity</t>
        </is>
      </c>
    </row>
    <row r="53">
      <c r="A53" s="3" t="inlineStr">
        <is>
          <t>PrimaryHubDown</t>
        </is>
      </c>
      <c r="B53" s="3" t="inlineStr">
        <is>
          <t>SIM-00107</t>
        </is>
      </c>
      <c r="C53" s="3" t="inlineStr">
        <is>
          <t>handling_infeasible</t>
        </is>
      </c>
      <c r="D53" s="3" t="n">
        <v>1</v>
      </c>
      <c r="E53" s="3" t="n"/>
      <c r="F53" s="3" t="n"/>
      <c r="G53" s="3" t="inlineStr">
        <is>
          <t>No handling-compatible hub - source alternate hub / supplier exception</t>
        </is>
      </c>
    </row>
    <row r="54">
      <c r="A54" s="3" t="inlineStr">
        <is>
          <t>PrimaryHubDown</t>
        </is>
      </c>
      <c r="B54" s="3" t="inlineStr">
        <is>
          <t>SIM-00111</t>
        </is>
      </c>
      <c r="C54" s="3" t="inlineStr">
        <is>
          <t>handling_infeasible</t>
        </is>
      </c>
      <c r="D54" s="3" t="n">
        <v>3</v>
      </c>
      <c r="E54" s="3" t="n"/>
      <c r="F54" s="3" t="n"/>
      <c r="G54" s="3" t="inlineStr">
        <is>
          <t>No handling-compatible hub - source alternate hub / supplier exception</t>
        </is>
      </c>
    </row>
    <row r="55">
      <c r="A55" s="3" t="inlineStr">
        <is>
          <t>PrimaryHubDown</t>
        </is>
      </c>
      <c r="B55" s="3" t="inlineStr">
        <is>
          <t>SIM-00116</t>
        </is>
      </c>
      <c r="C55" s="3" t="inlineStr">
        <is>
          <t>handling_infeasible</t>
        </is>
      </c>
      <c r="D55" s="3" t="n">
        <v>8</v>
      </c>
      <c r="E55" s="3" t="n"/>
      <c r="F55" s="3" t="n"/>
      <c r="G55" s="3" t="inlineStr">
        <is>
          <t>No handling-compatible hub - source alternate hub / supplier exception</t>
        </is>
      </c>
    </row>
    <row r="56">
      <c r="A56" s="3" t="inlineStr">
        <is>
          <t>PrimaryHubDown</t>
        </is>
      </c>
      <c r="B56" s="3" t="inlineStr">
        <is>
          <t>SIM-00126</t>
        </is>
      </c>
      <c r="C56" s="3" t="inlineStr">
        <is>
          <t>handling_infeasible</t>
        </is>
      </c>
      <c r="D56" s="3" t="n">
        <v>1</v>
      </c>
      <c r="E56" s="3" t="n"/>
      <c r="F56" s="3" t="n"/>
      <c r="G56" s="3" t="inlineStr">
        <is>
          <t>No handling-compatible hub - source alternate hub / supplier exception</t>
        </is>
      </c>
    </row>
    <row r="57">
      <c r="A57" s="3" t="inlineStr">
        <is>
          <t>PrimaryHubDown</t>
        </is>
      </c>
      <c r="B57" s="3" t="inlineStr">
        <is>
          <t>SIM-00131</t>
        </is>
      </c>
      <c r="C57" s="3" t="inlineStr">
        <is>
          <t>handling_infeasible</t>
        </is>
      </c>
      <c r="D57" s="3" t="n">
        <v>1</v>
      </c>
      <c r="E57" s="3" t="n"/>
      <c r="F57" s="3" t="n"/>
      <c r="G57" s="3" t="inlineStr">
        <is>
          <t>No handling-compatible hub - source alternate hub / supplier exception</t>
        </is>
      </c>
    </row>
    <row r="58">
      <c r="A58" s="3" t="inlineStr">
        <is>
          <t>PrimaryHubDown</t>
        </is>
      </c>
      <c r="B58" s="3" t="inlineStr">
        <is>
          <t>SIM-00133</t>
        </is>
      </c>
      <c r="C58" s="3" t="inlineStr">
        <is>
          <t>capacity_escalation</t>
        </is>
      </c>
      <c r="D58" s="3" t="n">
        <v>2</v>
      </c>
      <c r="E58" s="3" t="n">
        <v>33</v>
      </c>
      <c r="F58" s="3" t="inlineStr">
        <is>
          <t>RO-02705</t>
        </is>
      </c>
      <c r="G58" s="3" t="inlineStr">
        <is>
          <t>Exceeds quarter horizon - split order across periods or add capacity</t>
        </is>
      </c>
    </row>
    <row r="59">
      <c r="A59" s="3" t="inlineStr">
        <is>
          <t>PrimaryHubDown</t>
        </is>
      </c>
      <c r="B59" s="3" t="inlineStr">
        <is>
          <t>SIM-00135</t>
        </is>
      </c>
      <c r="C59" s="3" t="inlineStr">
        <is>
          <t>handling_infeasible</t>
        </is>
      </c>
      <c r="D59" s="3" t="n">
        <v>1</v>
      </c>
      <c r="E59" s="3" t="n"/>
      <c r="F59" s="3" t="n"/>
      <c r="G59" s="3" t="inlineStr">
        <is>
          <t>No handling-compatible hub - source alternate hub / supplier exception</t>
        </is>
      </c>
    </row>
    <row r="60">
      <c r="A60" s="3" t="inlineStr">
        <is>
          <t>PrimaryHubDown</t>
        </is>
      </c>
      <c r="B60" s="3" t="inlineStr">
        <is>
          <t>SIM-00136</t>
        </is>
      </c>
      <c r="C60" s="3" t="inlineStr">
        <is>
          <t>capacity_escalation</t>
        </is>
      </c>
      <c r="D60" s="3" t="n">
        <v>2</v>
      </c>
      <c r="E60" s="3" t="n">
        <v>42</v>
      </c>
      <c r="F60" s="3" t="inlineStr">
        <is>
          <t>RO-01673</t>
        </is>
      </c>
      <c r="G60" s="3" t="inlineStr">
        <is>
          <t>Exceeds quarter horizon - split order across periods or add capacity</t>
        </is>
      </c>
    </row>
    <row r="61">
      <c r="A61" s="3" t="inlineStr">
        <is>
          <t>PrimaryHubDown</t>
        </is>
      </c>
      <c r="B61" s="3" t="inlineStr">
        <is>
          <t>SIM-00147</t>
        </is>
      </c>
      <c r="C61" s="3" t="inlineStr">
        <is>
          <t>handling_infeasible</t>
        </is>
      </c>
      <c r="D61" s="3" t="n">
        <v>1</v>
      </c>
      <c r="E61" s="3" t="n"/>
      <c r="F61" s="3" t="n"/>
      <c r="G61" s="3" t="inlineStr">
        <is>
          <t>No handling-compatible hub - source alternate hub / supplier exception</t>
        </is>
      </c>
    </row>
    <row r="62">
      <c r="A62" s="3" t="inlineStr">
        <is>
          <t>PrimaryHubDown</t>
        </is>
      </c>
      <c r="B62" s="3" t="inlineStr">
        <is>
          <t>SIM-00151</t>
        </is>
      </c>
      <c r="C62" s="3" t="inlineStr">
        <is>
          <t>handling_infeasible</t>
        </is>
      </c>
      <c r="D62" s="3" t="n">
        <v>1</v>
      </c>
      <c r="E62" s="3" t="n"/>
      <c r="F62" s="3" t="n"/>
      <c r="G62" s="3" t="inlineStr">
        <is>
          <t>No handling-compatible hub - source alternate hub / supplier exception</t>
        </is>
      </c>
    </row>
    <row r="63">
      <c r="A63" s="3" t="inlineStr">
        <is>
          <t>PrimaryHubDown</t>
        </is>
      </c>
      <c r="B63" s="3" t="inlineStr">
        <is>
          <t>SIM-00160</t>
        </is>
      </c>
      <c r="C63" s="3" t="inlineStr">
        <is>
          <t>capacity_escalation</t>
        </is>
      </c>
      <c r="D63" s="3" t="n">
        <v>1</v>
      </c>
      <c r="E63" s="3" t="n">
        <v>61</v>
      </c>
      <c r="F63" s="3" t="inlineStr">
        <is>
          <t>RO-01679</t>
        </is>
      </c>
      <c r="G63" s="3" t="inlineStr">
        <is>
          <t>Exceeds quarter horizon - split order across periods or add capacity</t>
        </is>
      </c>
    </row>
    <row r="64">
      <c r="A64" s="3" t="inlineStr">
        <is>
          <t>PrimaryHubDown</t>
        </is>
      </c>
      <c r="B64" s="3" t="inlineStr">
        <is>
          <t>SIM-00161</t>
        </is>
      </c>
      <c r="C64" s="3" t="inlineStr">
        <is>
          <t>capacity_escalation</t>
        </is>
      </c>
      <c r="D64" s="3" t="n">
        <v>1</v>
      </c>
      <c r="E64" s="3" t="n">
        <v>118</v>
      </c>
      <c r="F64" s="3" t="inlineStr">
        <is>
          <t>RO-02522</t>
        </is>
      </c>
      <c r="G64" s="3" t="inlineStr">
        <is>
          <t>Exceeds quarter horizon - split order across periods or add capacity</t>
        </is>
      </c>
    </row>
    <row r="65">
      <c r="A65" s="3" t="inlineStr">
        <is>
          <t>PrimaryHubDown</t>
        </is>
      </c>
      <c r="B65" s="3" t="inlineStr">
        <is>
          <t>SIM-00171</t>
        </is>
      </c>
      <c r="C65" s="3" t="inlineStr">
        <is>
          <t>handling_infeasible</t>
        </is>
      </c>
      <c r="D65" s="3" t="n">
        <v>1</v>
      </c>
      <c r="E65" s="3" t="n"/>
      <c r="F65" s="3" t="n"/>
      <c r="G65" s="3" t="inlineStr">
        <is>
          <t>No handling-compatible hub - source alternate hub / supplier exception</t>
        </is>
      </c>
    </row>
    <row r="66">
      <c r="A66" s="3" t="inlineStr">
        <is>
          <t>PrimaryHubDown</t>
        </is>
      </c>
      <c r="B66" s="3" t="inlineStr">
        <is>
          <t>SIM-00172</t>
        </is>
      </c>
      <c r="C66" s="3" t="inlineStr">
        <is>
          <t>capacity_escalation</t>
        </is>
      </c>
      <c r="D66" s="3" t="n">
        <v>2</v>
      </c>
      <c r="E66" s="3" t="n">
        <v>23</v>
      </c>
      <c r="F66" s="3" t="inlineStr">
        <is>
          <t>RO-01847</t>
        </is>
      </c>
      <c r="G66" s="3" t="inlineStr">
        <is>
          <t>Exceeds quarter horizon - split order across periods or add capacity</t>
        </is>
      </c>
    </row>
    <row r="67">
      <c r="A67" s="3" t="inlineStr">
        <is>
          <t>PrimaryHubDown</t>
        </is>
      </c>
      <c r="B67" s="3" t="inlineStr">
        <is>
          <t>SIM-00173</t>
        </is>
      </c>
      <c r="C67" s="3" t="inlineStr">
        <is>
          <t>handling_infeasible</t>
        </is>
      </c>
      <c r="D67" s="3" t="n">
        <v>1</v>
      </c>
      <c r="E67" s="3" t="n"/>
      <c r="F67" s="3" t="n"/>
      <c r="G67" s="3" t="inlineStr">
        <is>
          <t>No handling-compatible hub - source alternate hub / supplier exception</t>
        </is>
      </c>
    </row>
    <row r="68">
      <c r="A68" s="3" t="inlineStr">
        <is>
          <t>PrimaryHubDown</t>
        </is>
      </c>
      <c r="B68" s="3" t="inlineStr">
        <is>
          <t>SIM-00179</t>
        </is>
      </c>
      <c r="C68" s="3" t="inlineStr">
        <is>
          <t>capacity_escalation</t>
        </is>
      </c>
      <c r="D68" s="3" t="n">
        <v>1</v>
      </c>
      <c r="E68" s="3" t="n">
        <v>21</v>
      </c>
      <c r="F68" s="3" t="inlineStr">
        <is>
          <t>RO-03044</t>
        </is>
      </c>
      <c r="G68" s="3" t="inlineStr">
        <is>
          <t>Exceeds quarter horizon - split order across periods or add capacity</t>
        </is>
      </c>
    </row>
    <row r="69">
      <c r="A69" s="3" t="inlineStr">
        <is>
          <t>PrimaryHubDown</t>
        </is>
      </c>
      <c r="B69" s="3" t="inlineStr">
        <is>
          <t>SIM-00191</t>
        </is>
      </c>
      <c r="C69" s="3" t="inlineStr">
        <is>
          <t>handling_infeasible</t>
        </is>
      </c>
      <c r="D69" s="3" t="n">
        <v>1</v>
      </c>
      <c r="E69" s="3" t="n"/>
      <c r="F69" s="3" t="n"/>
      <c r="G69" s="3" t="inlineStr">
        <is>
          <t>No handling-compatible hub - source alternate hub / supplier exception</t>
        </is>
      </c>
    </row>
    <row r="70">
      <c r="A70" s="3" t="inlineStr">
        <is>
          <t>PrimaryHubDown</t>
        </is>
      </c>
      <c r="B70" s="3" t="inlineStr">
        <is>
          <t>SIM-00201</t>
        </is>
      </c>
      <c r="C70" s="3" t="inlineStr">
        <is>
          <t>handling_infeasible</t>
        </is>
      </c>
      <c r="D70" s="3" t="n">
        <v>2</v>
      </c>
      <c r="E70" s="3" t="n"/>
      <c r="F70" s="3" t="n"/>
      <c r="G70" s="3" t="inlineStr">
        <is>
          <t>No handling-compatible hub - source alternate hub / supplier exception</t>
        </is>
      </c>
    </row>
    <row r="71">
      <c r="A71" s="3" t="inlineStr">
        <is>
          <t>PrimaryHubDown</t>
        </is>
      </c>
      <c r="B71" s="3" t="inlineStr">
        <is>
          <t>SIM-00202</t>
        </is>
      </c>
      <c r="C71" s="3" t="inlineStr">
        <is>
          <t>capacity_escalation</t>
        </is>
      </c>
      <c r="D71" s="3" t="n">
        <v>1</v>
      </c>
      <c r="E71" s="3" t="n">
        <v>18</v>
      </c>
      <c r="F71" s="3" t="inlineStr">
        <is>
          <t>RO-01097</t>
        </is>
      </c>
      <c r="G71" s="3" t="inlineStr">
        <is>
          <t>Exceeds quarter horizon - split order across periods or add capacity</t>
        </is>
      </c>
    </row>
    <row r="72">
      <c r="A72" s="3" t="inlineStr">
        <is>
          <t>PrimaryHubDown</t>
        </is>
      </c>
      <c r="B72" s="3" t="inlineStr">
        <is>
          <t>SIM-00203</t>
        </is>
      </c>
      <c r="C72" s="3" t="inlineStr">
        <is>
          <t>capacity_escalation</t>
        </is>
      </c>
      <c r="D72" s="3" t="n">
        <v>1</v>
      </c>
      <c r="E72" s="3" t="n">
        <v>27</v>
      </c>
      <c r="F72" s="3" t="inlineStr">
        <is>
          <t>RO-00995</t>
        </is>
      </c>
      <c r="G72" s="3" t="inlineStr">
        <is>
          <t>Exceeds quarter horizon - split order across periods or add capacity</t>
        </is>
      </c>
    </row>
    <row r="73">
      <c r="A73" s="3" t="inlineStr">
        <is>
          <t>PrimaryHubDown</t>
        </is>
      </c>
      <c r="B73" s="3" t="inlineStr">
        <is>
          <t>SIM-00204</t>
        </is>
      </c>
      <c r="C73" s="3" t="inlineStr">
        <is>
          <t>capacity_escalation</t>
        </is>
      </c>
      <c r="D73" s="3" t="n">
        <v>2</v>
      </c>
      <c r="E73" s="3" t="n">
        <v>32</v>
      </c>
      <c r="F73" s="3" t="inlineStr">
        <is>
          <t>RO-03050</t>
        </is>
      </c>
      <c r="G73" s="3" t="inlineStr">
        <is>
          <t>Exceeds quarter horizon - split order across periods or add capacity</t>
        </is>
      </c>
    </row>
    <row r="74">
      <c r="A74" s="3" t="inlineStr">
        <is>
          <t>PrimaryHubDown</t>
        </is>
      </c>
      <c r="B74" s="3" t="inlineStr">
        <is>
          <t>SIM-00207</t>
        </is>
      </c>
      <c r="C74" s="3" t="inlineStr">
        <is>
          <t>handling_infeasible</t>
        </is>
      </c>
      <c r="D74" s="3" t="n">
        <v>1</v>
      </c>
      <c r="E74" s="3" t="n"/>
      <c r="F74" s="3" t="n"/>
      <c r="G74" s="3" t="inlineStr">
        <is>
          <t>No handling-compatible hub - source alternate hub / supplier exception</t>
        </is>
      </c>
    </row>
    <row r="75">
      <c r="A75" s="3" t="inlineStr">
        <is>
          <t>PrimaryHubDown</t>
        </is>
      </c>
      <c r="B75" s="3" t="inlineStr">
        <is>
          <t>SIM-00208</t>
        </is>
      </c>
      <c r="C75" s="3" t="inlineStr">
        <is>
          <t>capacity_escalation</t>
        </is>
      </c>
      <c r="D75" s="3" t="n">
        <v>1</v>
      </c>
      <c r="E75" s="3" t="n">
        <v>29</v>
      </c>
      <c r="F75" s="3" t="inlineStr">
        <is>
          <t>RO-02036</t>
        </is>
      </c>
      <c r="G75" s="3" t="inlineStr">
        <is>
          <t>Exceeds quarter horizon - split order across periods or add capacity</t>
        </is>
      </c>
    </row>
    <row r="76">
      <c r="A76" s="3" t="inlineStr">
        <is>
          <t>PrimaryHubDown</t>
        </is>
      </c>
      <c r="B76" s="3" t="inlineStr">
        <is>
          <t>SIM-00213</t>
        </is>
      </c>
      <c r="C76" s="3" t="inlineStr">
        <is>
          <t>capacity_escalation</t>
        </is>
      </c>
      <c r="D76" s="3" t="n">
        <v>4</v>
      </c>
      <c r="E76" s="3" t="n">
        <v>21</v>
      </c>
      <c r="F76" s="3" t="inlineStr">
        <is>
          <t>RO-03185</t>
        </is>
      </c>
      <c r="G76" s="3" t="inlineStr">
        <is>
          <t>Exceeds quarter horizon - split order across periods or add capacity</t>
        </is>
      </c>
    </row>
    <row r="77">
      <c r="A77" s="3" t="inlineStr">
        <is>
          <t>PrimaryHubDown</t>
        </is>
      </c>
      <c r="B77" s="3" t="inlineStr">
        <is>
          <t>SIM-00214</t>
        </is>
      </c>
      <c r="C77" s="3" t="inlineStr">
        <is>
          <t>capacity_escalation</t>
        </is>
      </c>
      <c r="D77" s="3" t="n">
        <v>1</v>
      </c>
      <c r="E77" s="3" t="n">
        <v>38</v>
      </c>
      <c r="F77" s="3" t="inlineStr">
        <is>
          <t>RO-03560</t>
        </is>
      </c>
      <c r="G77" s="3" t="inlineStr">
        <is>
          <t>Exceeds quarter horizon - split order across periods or add capacity</t>
        </is>
      </c>
    </row>
    <row r="78">
      <c r="A78" s="3" t="inlineStr">
        <is>
          <t>PrimaryHubDown</t>
        </is>
      </c>
      <c r="B78" s="3" t="inlineStr">
        <is>
          <t>SIM-00221</t>
        </is>
      </c>
      <c r="C78" s="3" t="inlineStr">
        <is>
          <t>handling_infeasible</t>
        </is>
      </c>
      <c r="D78" s="3" t="n">
        <v>5</v>
      </c>
      <c r="E78" s="3" t="n"/>
      <c r="F78" s="3" t="n"/>
      <c r="G78" s="3" t="inlineStr">
        <is>
          <t>No handling-compatible hub - source alternate hub / supplier exception</t>
        </is>
      </c>
    </row>
    <row r="79">
      <c r="A79" s="3" t="inlineStr">
        <is>
          <t>PrimaryHubDown</t>
        </is>
      </c>
      <c r="B79" s="3" t="inlineStr">
        <is>
          <t>SIM-00235</t>
        </is>
      </c>
      <c r="C79" s="3" t="inlineStr">
        <is>
          <t>handling_infeasible</t>
        </is>
      </c>
      <c r="D79" s="3" t="n">
        <v>1</v>
      </c>
      <c r="E79" s="3" t="n"/>
      <c r="F79" s="3" t="n"/>
      <c r="G79" s="3" t="inlineStr">
        <is>
          <t>No handling-compatible hub - source alternate hub / supplier exception</t>
        </is>
      </c>
    </row>
    <row r="80">
      <c r="A80" s="3" t="inlineStr">
        <is>
          <t>AirCapacityReduced</t>
        </is>
      </c>
      <c r="B80" s="3" t="inlineStr">
        <is>
          <t>SIM-00007</t>
        </is>
      </c>
      <c r="C80" s="3" t="inlineStr">
        <is>
          <t>handling_infeasible</t>
        </is>
      </c>
      <c r="D80" s="3" t="n">
        <v>7</v>
      </c>
      <c r="E80" s="3" t="n"/>
      <c r="F80" s="3" t="n"/>
      <c r="G80" s="3" t="inlineStr">
        <is>
          <t>No handling-compatible hub - source alternate hub / supplier exception</t>
        </is>
      </c>
    </row>
    <row r="81">
      <c r="A81" s="3" t="inlineStr">
        <is>
          <t>AirCapacityReduced</t>
        </is>
      </c>
      <c r="B81" s="3" t="inlineStr">
        <is>
          <t>SIM-00009</t>
        </is>
      </c>
      <c r="C81" s="3" t="inlineStr">
        <is>
          <t>capacity_escalation</t>
        </is>
      </c>
      <c r="D81" s="3" t="n">
        <v>1</v>
      </c>
      <c r="E81" s="3" t="n">
        <v>19</v>
      </c>
      <c r="F81" s="3" t="inlineStr">
        <is>
          <t>RO-01935</t>
        </is>
      </c>
      <c r="G81" s="3" t="inlineStr">
        <is>
          <t>Exceeds quarter horizon - split order across periods or add capacity</t>
        </is>
      </c>
    </row>
    <row r="82">
      <c r="A82" s="3" t="inlineStr">
        <is>
          <t>AirCapacityReduced</t>
        </is>
      </c>
      <c r="B82" s="3" t="inlineStr">
        <is>
          <t>SIM-00013</t>
        </is>
      </c>
      <c r="C82" s="3" t="inlineStr">
        <is>
          <t>capacity_escalation</t>
        </is>
      </c>
      <c r="D82" s="3" t="n">
        <v>1</v>
      </c>
      <c r="E82" s="3" t="n">
        <v>29</v>
      </c>
      <c r="F82" s="3" t="inlineStr">
        <is>
          <t>RO-01266</t>
        </is>
      </c>
      <c r="G82" s="3" t="inlineStr">
        <is>
          <t>Exceeds quarter horizon - split order across periods or add capacity</t>
        </is>
      </c>
    </row>
    <row r="83">
      <c r="A83" s="3" t="inlineStr">
        <is>
          <t>AirCapacityReduced</t>
        </is>
      </c>
      <c r="B83" s="3" t="inlineStr">
        <is>
          <t>SIM-00014</t>
        </is>
      </c>
      <c r="C83" s="3" t="inlineStr">
        <is>
          <t>capacity_escalation</t>
        </is>
      </c>
      <c r="D83" s="3" t="n">
        <v>2</v>
      </c>
      <c r="E83" s="3" t="n">
        <v>79</v>
      </c>
      <c r="F83" s="3" t="inlineStr">
        <is>
          <t>RO-00081</t>
        </is>
      </c>
      <c r="G83" s="3" t="inlineStr">
        <is>
          <t>Exceeds quarter horizon - split order across periods or add capacity</t>
        </is>
      </c>
    </row>
    <row r="84">
      <c r="A84" s="3" t="inlineStr">
        <is>
          <t>AirCapacityReduced</t>
        </is>
      </c>
      <c r="B84" s="3" t="inlineStr">
        <is>
          <t>SIM-00015</t>
        </is>
      </c>
      <c r="C84" s="3" t="inlineStr">
        <is>
          <t>handling_infeasible</t>
        </is>
      </c>
      <c r="D84" s="3" t="n">
        <v>5</v>
      </c>
      <c r="E84" s="3" t="n"/>
      <c r="F84" s="3" t="n"/>
      <c r="G84" s="3" t="inlineStr">
        <is>
          <t>No handling-compatible hub - source alternate hub / supplier exception</t>
        </is>
      </c>
    </row>
    <row r="85">
      <c r="A85" s="3" t="inlineStr">
        <is>
          <t>AirCapacityReduced</t>
        </is>
      </c>
      <c r="B85" s="3" t="inlineStr">
        <is>
          <t>SIM-00035</t>
        </is>
      </c>
      <c r="C85" s="3" t="inlineStr">
        <is>
          <t>handling_infeasible</t>
        </is>
      </c>
      <c r="D85" s="3" t="n">
        <v>1</v>
      </c>
      <c r="E85" s="3" t="n"/>
      <c r="F85" s="3" t="n"/>
      <c r="G85" s="3" t="inlineStr">
        <is>
          <t>No handling-compatible hub - source alternate hub / supplier exception</t>
        </is>
      </c>
    </row>
    <row r="86">
      <c r="A86" s="3" t="inlineStr">
        <is>
          <t>AirCapacityReduced</t>
        </is>
      </c>
      <c r="B86" s="3" t="inlineStr">
        <is>
          <t>SIM-00042</t>
        </is>
      </c>
      <c r="C86" s="3" t="inlineStr">
        <is>
          <t>capacity_escalation</t>
        </is>
      </c>
      <c r="D86" s="3" t="n">
        <v>1</v>
      </c>
      <c r="E86" s="3" t="n">
        <v>37</v>
      </c>
      <c r="F86" s="3" t="inlineStr">
        <is>
          <t>RO-01098</t>
        </is>
      </c>
      <c r="G86" s="3" t="inlineStr">
        <is>
          <t>Exceeds quarter horizon - split order across periods or add capacity</t>
        </is>
      </c>
    </row>
    <row r="87">
      <c r="A87" s="3" t="inlineStr">
        <is>
          <t>AirCapacityReduced</t>
        </is>
      </c>
      <c r="B87" s="3" t="inlineStr">
        <is>
          <t>SIM-00047</t>
        </is>
      </c>
      <c r="C87" s="3" t="inlineStr">
        <is>
          <t>handling_infeasible</t>
        </is>
      </c>
      <c r="D87" s="3" t="n">
        <v>1</v>
      </c>
      <c r="E87" s="3" t="n"/>
      <c r="F87" s="3" t="n"/>
      <c r="G87" s="3" t="inlineStr">
        <is>
          <t>No handling-compatible hub - source alternate hub / supplier exception</t>
        </is>
      </c>
    </row>
    <row r="88">
      <c r="A88" s="3" t="inlineStr">
        <is>
          <t>AirCapacityReduced</t>
        </is>
      </c>
      <c r="B88" s="3" t="inlineStr">
        <is>
          <t>SIM-00071</t>
        </is>
      </c>
      <c r="C88" s="3" t="inlineStr">
        <is>
          <t>handling_infeasible</t>
        </is>
      </c>
      <c r="D88" s="3" t="n">
        <v>1</v>
      </c>
      <c r="E88" s="3" t="n"/>
      <c r="F88" s="3" t="n"/>
      <c r="G88" s="3" t="inlineStr">
        <is>
          <t>No handling-compatible hub - source alternate hub / supplier exception</t>
        </is>
      </c>
    </row>
    <row r="89">
      <c r="A89" s="3" t="inlineStr">
        <is>
          <t>AirCapacityReduced</t>
        </is>
      </c>
      <c r="B89" s="3" t="inlineStr">
        <is>
          <t>SIM-00083</t>
        </is>
      </c>
      <c r="C89" s="3" t="inlineStr">
        <is>
          <t>capacity_escalation</t>
        </is>
      </c>
      <c r="D89" s="3" t="n">
        <v>2</v>
      </c>
      <c r="E89" s="3" t="n">
        <v>17</v>
      </c>
      <c r="F89" s="3" t="inlineStr">
        <is>
          <t>RO-03276</t>
        </is>
      </c>
      <c r="G89" s="3" t="inlineStr">
        <is>
          <t>Exceeds quarter horizon - split order across periods or add capacity</t>
        </is>
      </c>
    </row>
    <row r="90">
      <c r="A90" s="3" t="inlineStr">
        <is>
          <t>AirCapacityReduced</t>
        </is>
      </c>
      <c r="B90" s="3" t="inlineStr">
        <is>
          <t>SIM-00086</t>
        </is>
      </c>
      <c r="C90" s="3" t="inlineStr">
        <is>
          <t>capacity_escalation</t>
        </is>
      </c>
      <c r="D90" s="3" t="n">
        <v>1</v>
      </c>
      <c r="E90" s="3" t="n">
        <v>106</v>
      </c>
      <c r="F90" s="3" t="inlineStr">
        <is>
          <t>RO-00084</t>
        </is>
      </c>
      <c r="G90" s="3" t="inlineStr">
        <is>
          <t>Exceeds quarter horizon - split order across periods or add capacity</t>
        </is>
      </c>
    </row>
    <row r="91">
      <c r="A91" s="3" t="inlineStr">
        <is>
          <t>AirCapacityReduced</t>
        </is>
      </c>
      <c r="B91" s="3" t="inlineStr">
        <is>
          <t>SIM-00094</t>
        </is>
      </c>
      <c r="C91" s="3" t="inlineStr">
        <is>
          <t>capacity_escalation</t>
        </is>
      </c>
      <c r="D91" s="3" t="n">
        <v>1</v>
      </c>
      <c r="E91" s="3" t="n">
        <v>29</v>
      </c>
      <c r="F91" s="3" t="inlineStr">
        <is>
          <t>RO-00081</t>
        </is>
      </c>
      <c r="G91" s="3" t="inlineStr">
        <is>
          <t>Exceeds quarter horizon - split order across periods or add capacity</t>
        </is>
      </c>
    </row>
    <row r="92">
      <c r="A92" s="3" t="inlineStr">
        <is>
          <t>AirCapacityReduced</t>
        </is>
      </c>
      <c r="B92" s="3" t="inlineStr">
        <is>
          <t>SIM-00107</t>
        </is>
      </c>
      <c r="C92" s="3" t="inlineStr">
        <is>
          <t>handling_infeasible</t>
        </is>
      </c>
      <c r="D92" s="3" t="n">
        <v>1</v>
      </c>
      <c r="E92" s="3" t="n"/>
      <c r="F92" s="3" t="n"/>
      <c r="G92" s="3" t="inlineStr">
        <is>
          <t>No handling-compatible hub - source alternate hub / supplier exception</t>
        </is>
      </c>
    </row>
    <row r="93">
      <c r="A93" s="3" t="inlineStr">
        <is>
          <t>AirCapacityReduced</t>
        </is>
      </c>
      <c r="B93" s="3" t="inlineStr">
        <is>
          <t>SIM-00111</t>
        </is>
      </c>
      <c r="C93" s="3" t="inlineStr">
        <is>
          <t>handling_infeasible</t>
        </is>
      </c>
      <c r="D93" s="3" t="n">
        <v>3</v>
      </c>
      <c r="E93" s="3" t="n"/>
      <c r="F93" s="3" t="n"/>
      <c r="G93" s="3" t="inlineStr">
        <is>
          <t>No handling-compatible hub - source alternate hub / supplier exception</t>
        </is>
      </c>
    </row>
    <row r="94">
      <c r="A94" s="3" t="inlineStr">
        <is>
          <t>AirCapacityReduced</t>
        </is>
      </c>
      <c r="B94" s="3" t="inlineStr">
        <is>
          <t>SIM-00116</t>
        </is>
      </c>
      <c r="C94" s="3" t="inlineStr">
        <is>
          <t>handling_infeasible</t>
        </is>
      </c>
      <c r="D94" s="3" t="n">
        <v>8</v>
      </c>
      <c r="E94" s="3" t="n"/>
      <c r="F94" s="3" t="n"/>
      <c r="G94" s="3" t="inlineStr">
        <is>
          <t>No handling-compatible hub - source alternate hub / supplier exception</t>
        </is>
      </c>
    </row>
    <row r="95">
      <c r="A95" s="3" t="inlineStr">
        <is>
          <t>AirCapacityReduced</t>
        </is>
      </c>
      <c r="B95" s="3" t="inlineStr">
        <is>
          <t>SIM-00129</t>
        </is>
      </c>
      <c r="C95" s="3" t="inlineStr">
        <is>
          <t>capacity_escalation</t>
        </is>
      </c>
      <c r="D95" s="3" t="n">
        <v>1</v>
      </c>
      <c r="E95" s="3" t="n">
        <v>13</v>
      </c>
      <c r="F95" s="3" t="inlineStr">
        <is>
          <t>RO-01935</t>
        </is>
      </c>
      <c r="G95" s="3" t="inlineStr">
        <is>
          <t>Exceeds quarter horizon - split order across periods or add capacity</t>
        </is>
      </c>
    </row>
    <row r="96">
      <c r="A96" s="3" t="inlineStr">
        <is>
          <t>AirCapacityReduced</t>
        </is>
      </c>
      <c r="B96" s="3" t="inlineStr">
        <is>
          <t>SIM-00131</t>
        </is>
      </c>
      <c r="C96" s="3" t="inlineStr">
        <is>
          <t>handling_infeasible</t>
        </is>
      </c>
      <c r="D96" s="3" t="n">
        <v>1</v>
      </c>
      <c r="E96" s="3" t="n"/>
      <c r="F96" s="3" t="n"/>
      <c r="G96" s="3" t="inlineStr">
        <is>
          <t>No handling-compatible hub - source alternate hub / supplier exception</t>
        </is>
      </c>
    </row>
    <row r="97">
      <c r="A97" s="3" t="inlineStr">
        <is>
          <t>AirCapacityReduced</t>
        </is>
      </c>
      <c r="B97" s="3" t="inlineStr">
        <is>
          <t>SIM-00133</t>
        </is>
      </c>
      <c r="C97" s="3" t="inlineStr">
        <is>
          <t>capacity_escalation</t>
        </is>
      </c>
      <c r="D97" s="3" t="n">
        <v>2</v>
      </c>
      <c r="E97" s="3" t="n">
        <v>47</v>
      </c>
      <c r="F97" s="3" t="inlineStr">
        <is>
          <t>RO-01986</t>
        </is>
      </c>
      <c r="G97" s="3" t="inlineStr">
        <is>
          <t>Exceeds quarter horizon - split order across periods or add capacity</t>
        </is>
      </c>
    </row>
    <row r="98">
      <c r="A98" s="3" t="inlineStr">
        <is>
          <t>AirCapacityReduced</t>
        </is>
      </c>
      <c r="B98" s="3" t="inlineStr">
        <is>
          <t>SIM-00135</t>
        </is>
      </c>
      <c r="C98" s="3" t="inlineStr">
        <is>
          <t>handling_infeasible</t>
        </is>
      </c>
      <c r="D98" s="3" t="n">
        <v>1</v>
      </c>
      <c r="E98" s="3" t="n"/>
      <c r="F98" s="3" t="n"/>
      <c r="G98" s="3" t="inlineStr">
        <is>
          <t>No handling-compatible hub - source alternate hub / supplier exception</t>
        </is>
      </c>
    </row>
    <row r="99">
      <c r="A99" s="3" t="inlineStr">
        <is>
          <t>AirCapacityReduced</t>
        </is>
      </c>
      <c r="B99" s="3" t="inlineStr">
        <is>
          <t>SIM-00136</t>
        </is>
      </c>
      <c r="C99" s="3" t="inlineStr">
        <is>
          <t>capacity_escalation</t>
        </is>
      </c>
      <c r="D99" s="3" t="n">
        <v>2</v>
      </c>
      <c r="E99" s="3" t="n">
        <v>55</v>
      </c>
      <c r="F99" s="3" t="inlineStr">
        <is>
          <t>RO-00354</t>
        </is>
      </c>
      <c r="G99" s="3" t="inlineStr">
        <is>
          <t>Exceeds quarter horizon - split order across periods or add capacity</t>
        </is>
      </c>
    </row>
    <row r="100">
      <c r="A100" s="3" t="inlineStr">
        <is>
          <t>AirCapacityReduced</t>
        </is>
      </c>
      <c r="B100" s="3" t="inlineStr">
        <is>
          <t>SIM-00147</t>
        </is>
      </c>
      <c r="C100" s="3" t="inlineStr">
        <is>
          <t>handling_infeasible</t>
        </is>
      </c>
      <c r="D100" s="3" t="n">
        <v>1</v>
      </c>
      <c r="E100" s="3" t="n"/>
      <c r="F100" s="3" t="n"/>
      <c r="G100" s="3" t="inlineStr">
        <is>
          <t>No handling-compatible hub - source alternate hub / supplier exception</t>
        </is>
      </c>
    </row>
    <row r="101">
      <c r="A101" s="3" t="inlineStr">
        <is>
          <t>AirCapacityReduced</t>
        </is>
      </c>
      <c r="B101" s="3" t="inlineStr">
        <is>
          <t>SIM-00151</t>
        </is>
      </c>
      <c r="C101" s="3" t="inlineStr">
        <is>
          <t>handling_infeasible</t>
        </is>
      </c>
      <c r="D101" s="3" t="n">
        <v>1</v>
      </c>
      <c r="E101" s="3" t="n"/>
      <c r="F101" s="3" t="n"/>
      <c r="G101" s="3" t="inlineStr">
        <is>
          <t>No handling-compatible hub - source alternate hub / supplier exception</t>
        </is>
      </c>
    </row>
    <row r="102">
      <c r="A102" s="3" t="inlineStr">
        <is>
          <t>AirCapacityReduced</t>
        </is>
      </c>
      <c r="B102" s="3" t="inlineStr">
        <is>
          <t>SIM-00160</t>
        </is>
      </c>
      <c r="C102" s="3" t="inlineStr">
        <is>
          <t>capacity_escalation</t>
        </is>
      </c>
      <c r="D102" s="3" t="n">
        <v>1</v>
      </c>
      <c r="E102" s="3" t="n">
        <v>58</v>
      </c>
      <c r="F102" s="3" t="inlineStr">
        <is>
          <t>RO-02400</t>
        </is>
      </c>
      <c r="G102" s="3" t="inlineStr">
        <is>
          <t>Exceeds quarter horizon - split order across periods or add capacity</t>
        </is>
      </c>
    </row>
    <row r="103">
      <c r="A103" s="3" t="inlineStr">
        <is>
          <t>AirCapacityReduced</t>
        </is>
      </c>
      <c r="B103" s="3" t="inlineStr">
        <is>
          <t>SIM-00161</t>
        </is>
      </c>
      <c r="C103" s="3" t="inlineStr">
        <is>
          <t>capacity_escalation</t>
        </is>
      </c>
      <c r="D103" s="3" t="n">
        <v>1</v>
      </c>
      <c r="E103" s="3" t="n">
        <v>37</v>
      </c>
      <c r="F103" s="3" t="inlineStr">
        <is>
          <t>RO-02523</t>
        </is>
      </c>
      <c r="G103" s="3" t="inlineStr">
        <is>
          <t>Exceeds quarter horizon - split order across periods or add capacity</t>
        </is>
      </c>
    </row>
    <row r="104">
      <c r="A104" s="3" t="inlineStr">
        <is>
          <t>AirCapacityReduced</t>
        </is>
      </c>
      <c r="B104" s="3" t="inlineStr">
        <is>
          <t>SIM-00171</t>
        </is>
      </c>
      <c r="C104" s="3" t="inlineStr">
        <is>
          <t>handling_infeasible</t>
        </is>
      </c>
      <c r="D104" s="3" t="n">
        <v>1</v>
      </c>
      <c r="E104" s="3" t="n"/>
      <c r="F104" s="3" t="n"/>
      <c r="G104" s="3" t="inlineStr">
        <is>
          <t>No handling-compatible hub - source alternate hub / supplier exception</t>
        </is>
      </c>
    </row>
    <row r="105">
      <c r="A105" s="3" t="inlineStr">
        <is>
          <t>AirCapacityReduced</t>
        </is>
      </c>
      <c r="B105" s="3" t="inlineStr">
        <is>
          <t>SIM-00172</t>
        </is>
      </c>
      <c r="C105" s="3" t="inlineStr">
        <is>
          <t>capacity_escalation</t>
        </is>
      </c>
      <c r="D105" s="3" t="n">
        <v>2</v>
      </c>
      <c r="E105" s="3" t="n">
        <v>31</v>
      </c>
      <c r="F105" s="3" t="inlineStr">
        <is>
          <t>RO-02568</t>
        </is>
      </c>
      <c r="G105" s="3" t="inlineStr">
        <is>
          <t>Exceeds quarter horizon - split order across periods or add capacity</t>
        </is>
      </c>
    </row>
    <row r="106">
      <c r="A106" s="3" t="inlineStr">
        <is>
          <t>AirCapacityReduced</t>
        </is>
      </c>
      <c r="B106" s="3" t="inlineStr">
        <is>
          <t>SIM-00179</t>
        </is>
      </c>
      <c r="C106" s="3" t="inlineStr">
        <is>
          <t>capacity_escalation</t>
        </is>
      </c>
      <c r="D106" s="3" t="n">
        <v>1</v>
      </c>
      <c r="E106" s="3" t="n">
        <v>16</v>
      </c>
      <c r="F106" s="3" t="inlineStr">
        <is>
          <t>RO-02685</t>
        </is>
      </c>
      <c r="G106" s="3" t="inlineStr">
        <is>
          <t>Exceeds quarter horizon - split order across periods or add capacity</t>
        </is>
      </c>
    </row>
    <row r="107">
      <c r="A107" s="3" t="inlineStr">
        <is>
          <t>AirCapacityReduced</t>
        </is>
      </c>
      <c r="B107" s="3" t="inlineStr">
        <is>
          <t>SIM-00191</t>
        </is>
      </c>
      <c r="C107" s="3" t="inlineStr">
        <is>
          <t>handling_infeasible</t>
        </is>
      </c>
      <c r="D107" s="3" t="n">
        <v>1</v>
      </c>
      <c r="E107" s="3" t="n"/>
      <c r="F107" s="3" t="n"/>
      <c r="G107" s="3" t="inlineStr">
        <is>
          <t>No handling-compatible hub - source alternate hub / supplier exception</t>
        </is>
      </c>
    </row>
    <row r="108">
      <c r="A108" s="3" t="inlineStr">
        <is>
          <t>AirCapacityReduced</t>
        </is>
      </c>
      <c r="B108" s="3" t="inlineStr">
        <is>
          <t>SIM-00201</t>
        </is>
      </c>
      <c r="C108" s="3" t="inlineStr">
        <is>
          <t>handling_infeasible</t>
        </is>
      </c>
      <c r="D108" s="3" t="n">
        <v>2</v>
      </c>
      <c r="E108" s="3" t="n"/>
      <c r="F108" s="3" t="n"/>
      <c r="G108" s="3" t="inlineStr">
        <is>
          <t>No handling-compatible hub - source alternate hub / supplier exception</t>
        </is>
      </c>
    </row>
    <row r="109">
      <c r="A109" s="3" t="inlineStr">
        <is>
          <t>AirCapacityReduced</t>
        </is>
      </c>
      <c r="B109" s="3" t="inlineStr">
        <is>
          <t>SIM-00202</t>
        </is>
      </c>
      <c r="C109" s="3" t="inlineStr">
        <is>
          <t>capacity_escalation</t>
        </is>
      </c>
      <c r="D109" s="3" t="n">
        <v>1</v>
      </c>
      <c r="E109" s="3" t="n">
        <v>25</v>
      </c>
      <c r="F109" s="3" t="inlineStr">
        <is>
          <t>RO-01098</t>
        </is>
      </c>
      <c r="G109" s="3" t="inlineStr">
        <is>
          <t>Exceeds quarter horizon - split order across periods or add capacity</t>
        </is>
      </c>
    </row>
    <row r="110">
      <c r="A110" s="3" t="inlineStr">
        <is>
          <t>AirCapacityReduced</t>
        </is>
      </c>
      <c r="B110" s="3" t="inlineStr">
        <is>
          <t>SIM-00203</t>
        </is>
      </c>
      <c r="C110" s="3" t="inlineStr">
        <is>
          <t>capacity_escalation</t>
        </is>
      </c>
      <c r="D110" s="3" t="n">
        <v>1</v>
      </c>
      <c r="E110" s="3" t="n">
        <v>23</v>
      </c>
      <c r="F110" s="3" t="inlineStr">
        <is>
          <t>RO-02676</t>
        </is>
      </c>
      <c r="G110" s="3" t="inlineStr">
        <is>
          <t>Exceeds quarter horizon - split order across periods or add capacity</t>
        </is>
      </c>
    </row>
    <row r="111">
      <c r="A111" s="3" t="inlineStr">
        <is>
          <t>AirCapacityReduced</t>
        </is>
      </c>
      <c r="B111" s="3" t="inlineStr">
        <is>
          <t>SIM-00204</t>
        </is>
      </c>
      <c r="C111" s="3" t="inlineStr">
        <is>
          <t>capacity_escalation</t>
        </is>
      </c>
      <c r="D111" s="3" t="n">
        <v>2</v>
      </c>
      <c r="E111" s="3" t="n">
        <v>31</v>
      </c>
      <c r="F111" s="3" t="inlineStr">
        <is>
          <t>RO-00291</t>
        </is>
      </c>
      <c r="G111" s="3" t="inlineStr">
        <is>
          <t>Exceeds quarter horizon - split order across periods or add capacity</t>
        </is>
      </c>
    </row>
    <row r="112">
      <c r="A112" s="3" t="inlineStr">
        <is>
          <t>AirCapacityReduced</t>
        </is>
      </c>
      <c r="B112" s="3" t="inlineStr">
        <is>
          <t>SIM-00207</t>
        </is>
      </c>
      <c r="C112" s="3" t="inlineStr">
        <is>
          <t>handling_infeasible</t>
        </is>
      </c>
      <c r="D112" s="3" t="n">
        <v>1</v>
      </c>
      <c r="E112" s="3" t="n"/>
      <c r="F112" s="3" t="n"/>
      <c r="G112" s="3" t="inlineStr">
        <is>
          <t>No handling-compatible hub - source alternate hub / supplier exception</t>
        </is>
      </c>
    </row>
    <row r="113">
      <c r="A113" s="3" t="inlineStr">
        <is>
          <t>AirCapacityReduced</t>
        </is>
      </c>
      <c r="B113" s="3" t="inlineStr">
        <is>
          <t>SIM-00208</t>
        </is>
      </c>
      <c r="C113" s="3" t="inlineStr">
        <is>
          <t>capacity_escalation</t>
        </is>
      </c>
      <c r="D113" s="3" t="n">
        <v>1</v>
      </c>
      <c r="E113" s="3" t="n">
        <v>27</v>
      </c>
      <c r="F113" s="3" t="inlineStr">
        <is>
          <t>RO-03117</t>
        </is>
      </c>
      <c r="G113" s="3" t="inlineStr">
        <is>
          <t>Exceeds quarter horizon - split order across periods or add capacity</t>
        </is>
      </c>
    </row>
    <row r="114">
      <c r="A114" s="3" t="inlineStr">
        <is>
          <t>AirCapacityReduced</t>
        </is>
      </c>
      <c r="B114" s="3" t="inlineStr">
        <is>
          <t>SIM-00213</t>
        </is>
      </c>
      <c r="C114" s="3" t="inlineStr">
        <is>
          <t>capacity_escalation</t>
        </is>
      </c>
      <c r="D114" s="3" t="n">
        <v>4</v>
      </c>
      <c r="E114" s="3" t="n">
        <v>38</v>
      </c>
      <c r="F114" s="3" t="inlineStr">
        <is>
          <t>RO-03546</t>
        </is>
      </c>
      <c r="G114" s="3" t="inlineStr">
        <is>
          <t>Exceeds quarter horizon - split order across periods or add capacity</t>
        </is>
      </c>
    </row>
    <row r="115">
      <c r="A115" s="3" t="inlineStr">
        <is>
          <t>AirCapacityReduced</t>
        </is>
      </c>
      <c r="B115" s="3" t="inlineStr">
        <is>
          <t>SIM-00214</t>
        </is>
      </c>
      <c r="C115" s="3" t="inlineStr">
        <is>
          <t>capacity_escalation</t>
        </is>
      </c>
      <c r="D115" s="3" t="n">
        <v>1</v>
      </c>
      <c r="E115" s="3" t="n">
        <v>25</v>
      </c>
      <c r="F115" s="3" t="inlineStr">
        <is>
          <t>RO-03561</t>
        </is>
      </c>
      <c r="G115" s="3" t="inlineStr">
        <is>
          <t>Exceeds quarter horizon - split order across periods or add capacity</t>
        </is>
      </c>
    </row>
    <row r="116">
      <c r="A116" s="3" t="inlineStr">
        <is>
          <t>AirCapacityReduced</t>
        </is>
      </c>
      <c r="B116" s="3" t="inlineStr">
        <is>
          <t>SIM-00221</t>
        </is>
      </c>
      <c r="C116" s="3" t="inlineStr">
        <is>
          <t>handling_infeasible</t>
        </is>
      </c>
      <c r="D116" s="3" t="n">
        <v>5</v>
      </c>
      <c r="E116" s="3" t="n"/>
      <c r="F116" s="3" t="n"/>
      <c r="G116" s="3" t="inlineStr">
        <is>
          <t>No handling-compatible hub - source alternate hub / supplier exception</t>
        </is>
      </c>
    </row>
    <row r="117">
      <c r="A117" s="3" t="inlineStr">
        <is>
          <t>AirCapacityReduced</t>
        </is>
      </c>
      <c r="B117" s="3" t="inlineStr">
        <is>
          <t>SIM-00223</t>
        </is>
      </c>
      <c r="C117" s="3" t="inlineStr">
        <is>
          <t>capacity_escalation</t>
        </is>
      </c>
      <c r="D117" s="3" t="n">
        <v>1</v>
      </c>
      <c r="E117" s="3" t="n">
        <v>13</v>
      </c>
      <c r="F117" s="3" t="inlineStr">
        <is>
          <t>RO-03336</t>
        </is>
      </c>
      <c r="G117" s="3" t="inlineStr">
        <is>
          <t>Exceeds quarter horizon - split order across periods or add capacity</t>
        </is>
      </c>
    </row>
    <row r="118">
      <c r="A118" s="3" t="inlineStr">
        <is>
          <t>AirCapacityReduced</t>
        </is>
      </c>
      <c r="B118" s="3" t="inlineStr">
        <is>
          <t>SIM-00235</t>
        </is>
      </c>
      <c r="C118" s="3" t="inlineStr">
        <is>
          <t>handling_infeasible</t>
        </is>
      </c>
      <c r="D118" s="3" t="n">
        <v>1</v>
      </c>
      <c r="E118" s="3" t="n"/>
      <c r="F118" s="3" t="n"/>
      <c r="G118" s="3" t="inlineStr">
        <is>
          <t>No handling-compatible hub - source alternate hub / supplier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2026-07-18T01:18:48Z</dcterms:created>
  <dcterms:modified xmlns:dcterms="http://purl.org/dc/terms/" xmlns:xsi="http://www.w3.org/2001/XMLSchema-instance" xsi:type="dcterms:W3CDTF">2026-07-18T01:18:48Z</dcterms:modified>
</cp:coreProperties>
</file>