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Assumptions" sheetId="2" state="visible" r:id="rId4"/>
    <sheet name="DeliveryScores" sheetId="3" state="visible" r:id="rId5"/>
    <sheet name="BaselineScores" sheetId="4" state="visible" r:id="rId6"/>
    <sheet name="RouteDecisions" sheetId="5" state="visible" r:id="rId7"/>
    <sheet name="Unassigned"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<sst xmlns="http://schemas.openxmlformats.org/spreadsheetml/2006/main" count="5019" uniqueCount="1012">
  <si>
    <t xml:space="preserve">ChainLab - Official normalised 40/40/20 MinScore (cost/kg, delivery grain; lower = better). Averages are over SCORED deliveries - unserved deliveries are listed in Unassigned, not silently dropped.</t>
  </si>
  <si>
    <t xml:space="preserve">Metric</t>
  </si>
  <si>
    <t xml:space="preserve">Normal</t>
  </si>
  <si>
    <t xml:space="preserve">PrimaryHubDown</t>
  </si>
  <si>
    <t xml:space="preserve">AirCapacityReduced</t>
  </si>
  <si>
    <t xml:space="preserve">Average MinScore (scored deliveries)</t>
  </si>
  <si>
    <t xml:space="preserve">Median</t>
  </si>
  <si>
    <t xml:space="preserve">Std dev</t>
  </si>
  <si>
    <t xml:space="preserve">Best (min)</t>
  </si>
  <si>
    <t xml:space="preserve">Worst (max)</t>
  </si>
  <si>
    <t xml:space="preserve">Shipments routed / universe</t>
  </si>
  <si>
    <t xml:space="preserve">98 / 132</t>
  </si>
  <si>
    <t xml:space="preserve">89 / 132</t>
  </si>
  <si>
    <t xml:space="preserve">93 / 132</t>
  </si>
  <si>
    <t xml:space="preserve">Deliveries scored / total</t>
  </si>
  <si>
    <t xml:space="preserve">166 / 225</t>
  </si>
  <si>
    <t xml:space="preserve">146 / 225</t>
  </si>
  <si>
    <t xml:space="preserve">153 / 225</t>
  </si>
  <si>
    <t xml:space="preserve">Multi-week routes selected</t>
  </si>
  <si>
    <t xml:space="preserve">Unassigned shipments (see Unassigned)</t>
  </si>
  <si>
    <t xml:space="preserve">BASELINE (primary planned lanes, same solver &amp; normalisation)</t>
  </si>
  <si>
    <t xml:space="preserve">Baseline average (Normal)</t>
  </si>
  <si>
    <t xml:space="preserve">Baseline Q1 - excellent threshold</t>
  </si>
  <si>
    <t xml:space="preserve">Baseline Q3 - weak warning threshold</t>
  </si>
  <si>
    <t xml:space="preserve">Beats baseline?</t>
  </si>
  <si>
    <t xml:space="preserve">Excellent (at/below baseline Q1)?</t>
  </si>
  <si>
    <t xml:space="preserve">Weak warning (above baseline Q3)?</t>
  </si>
  <si>
    <t xml:space="preserve">Same-population check (common deliveries)</t>
  </si>
  <si>
    <t xml:space="preserve">opt 0.1369 vs baseline 0.1639 on 142 deliveries served by both</t>
  </si>
  <si>
    <t xml:space="preserve">Baseline under disruption: no primary planned lanes exist in PrimaryHubDown / AirCapacityReduced - the optimiser finds alternatives (see scenario columns); baseline is reported as unavailable, not zero.</t>
  </si>
  <si>
    <t xml:space="preserve">Active route scenarios</t>
  </si>
  <si>
    <t xml:space="preserve">Normal, PrimaryHubDown, AirCapacityReduced  (each scenario is a separate block in the score/Summary sheets)</t>
  </si>
  <si>
    <t xml:space="preserve">Active hub disruption</t>
  </si>
  <si>
    <t xml:space="preserve">None (clean network - no hub capacity cuts applied).  This SAME hub mode is layered onto every route scenario in this workbook.</t>
  </si>
  <si>
    <t xml:space="preserve">Tradeoff explanation: see Assumptions sheet.</t>
  </si>
  <si>
    <t xml:space="preserve">ChainLab - Official MinScore: Assumptions &amp; Normalisation Bounds</t>
  </si>
  <si>
    <t xml:space="preserve">Active run configuration</t>
  </si>
  <si>
    <t xml:space="preserve">Objective (graded MinScore)</t>
  </si>
  <si>
    <t xml:space="preserve">Normalised 40/40/20 MinScore per DELIVERY: 0.4*norm(BaseLeadTimeDays) + 0.4*norm(CostPerKG) + 0.2*norm(RiskScore). Lower is better. Min-max normalisation is a stated modelling assumption (the brief does not specify bounds); bounds shown below and used live by the formulas.</t>
  </si>
  <si>
    <t xml:space="preserve">Cost/kg definition</t>
  </si>
  <si>
    <t xml:space="preserve">CostPerKG = route BaseCostEUR / individual delivery ChargeableWeight_KG - matches the dataset's own LowestCostPerKG_EUR benchmark definition (verified 225/225). 225 delivery scores share 132 upstream route decisions (one route per internal shipment; capacity charged once per shipment).</t>
  </si>
  <si>
    <t xml:space="preserve">Universe</t>
  </si>
  <si>
    <t xml:space="preserve">Official score covers the 132 weight-linked internal shipments / 225 deliveries. Internal legs carry no weight (UoM=ST), so cost/kg is undefined for the other 108 shipments - they are routed in the separate proxy (cost/piece) model. Averages are over scored deliveries; unassigned deliveries are listed in Unassigned, never silently dropped.</t>
  </si>
  <si>
    <t xml:space="preserve">Scenario layers</t>
  </si>
  <si>
    <t xml:space="preserve">Two independent axes. (1) Route scenario (Normal/PrimaryHubDown/AirCapacityReduced) filters Route_Options only. (2) Hub disruption is a per-hub capacity cut in Hub_Constraints, activated via --hub-disruption and applied only to matching hubs (or every tagged hub in legacy 'all' mode). The two DisruptionScenario columns are never matched to each other. The exact axes used for THIS workbook are stated in the 'Active run configuration' rows below and in Summary.</t>
  </si>
  <si>
    <t xml:space="preserve">Handling capability</t>
  </si>
  <si>
    <t xml:space="preserve">Cold chain + hazard class via dedicated hub booleans; BOTH origin and destination hubs must qualify (stated assumption).</t>
  </si>
  <si>
    <t xml:space="preserve">Capacity model</t>
  </si>
  <si>
    <t xml:space="preserve">*_pct fields are decimal fractions. remaining = weekly*(max_util*(1-reduction)) - current_load. bottleneck = min(route cap, origin remaining, dest remaining); bottleneck&lt;=0 rejected. WeeklyFootprint = min(Qty, bottleneck) charged identically to route + both hubs per ship-week. Planning horizon: WeeksRequired &gt; 12 throughput weeks -&gt; capacity escalation, never a normal solution. Approximation: footprint charged in ship week (full weekly-flow f[s,r,w] is the documented next step).</t>
  </si>
  <si>
    <t xml:space="preserve">Baseline</t>
  </si>
  <si>
    <t xml:space="preserve">Primary planned lanes (IsPrimary=Yes) run through the SAME capacity-constrained solver, scored at the same delivery grain with the same normalisation. Q1/Q3 thresholds come from the baseline delivery-score distribution (per Hackathon_Guide). No primary lanes exist under the disruption scenarios - reported as such, not as a zero score.</t>
  </si>
  <si>
    <t xml:space="preserve">Solver</t>
  </si>
  <si>
    <t xml:space="preserve">Binary PuLP/CBC model; one route or explicit unassigned slack per shipment (never an infeasible model).</t>
  </si>
  <si>
    <t xml:space="preserve">Normalisation bounds (min-max, fixed across scenarios)</t>
  </si>
  <si>
    <t xml:space="preserve">Lead (days)</t>
  </si>
  <si>
    <t xml:space="preserve">Cost/kg (EUR)</t>
  </si>
  <si>
    <t xml:space="preserve">Risk</t>
  </si>
  <si>
    <t xml:space="preserve">Tradeoff explanation (lead time vs cost/kg vs risk)</t>
  </si>
  <si>
    <t xml:space="preserve">Lead time and cost/kg carry equal 40% weights: the model only accepts a slower route when its cost/kg saving is at least proportional, and vice versa; risk (20%) breaks ties toward robust lanes. In practice light-weight deliveries have high cost/kg, so their shipments prefer cheap road/sea lanes unless lead time dominates; heavy deliveries dilute cost/kg and take faster lanes. Under PrimaryHubDown / AirCapacityReduced the candidate pool degrades, so the optimiser trades a small score increase for feasible lower-risk alternates instead of unavailable primaries. Handling rules remove non-compliant hubs before scoring; capacity and the 12-week horizon act as hard constraints, so no score wins by violating feasibility.</t>
  </si>
  <si>
    <t xml:space="preserve">scenario</t>
  </si>
  <si>
    <t xml:space="preserve">DeliveryNo</t>
  </si>
  <si>
    <t xml:space="preserve">ShipmentID</t>
  </si>
  <si>
    <t xml:space="preserve">RouteOptionID</t>
  </si>
  <si>
    <t xml:space="preserve">ChargeableWeight_KG</t>
  </si>
  <si>
    <t xml:space="preserve">BaseLeadTimeDays</t>
  </si>
  <si>
    <t xml:space="preserve">BaseCostEUR</t>
  </si>
  <si>
    <t xml:space="preserve">CostPerKG</t>
  </si>
  <si>
    <t xml:space="preserve">RiskScore</t>
  </si>
  <si>
    <t xml:space="preserve">n_lead</t>
  </si>
  <si>
    <t xml:space="preserve">n_cost</t>
  </si>
  <si>
    <t xml:space="preserve">n_risk</t>
  </si>
  <si>
    <t xml:space="preserve">DeliveryMinScore</t>
  </si>
  <si>
    <t xml:space="preserve">DEL_CX</t>
  </si>
  <si>
    <t xml:space="preserve">SIM-00001</t>
  </si>
  <si>
    <t xml:space="preserve">RO-03601</t>
  </si>
  <si>
    <t xml:space="preserve">DEL_GH</t>
  </si>
  <si>
    <t xml:space="preserve">DEL_CO</t>
  </si>
  <si>
    <t xml:space="preserve">SIM-00002</t>
  </si>
  <si>
    <t xml:space="preserve">RO-03602</t>
  </si>
  <si>
    <t xml:space="preserve">DEL_GU</t>
  </si>
  <si>
    <t xml:space="preserve">DEL_DI</t>
  </si>
  <si>
    <t xml:space="preserve">SIM-00003</t>
  </si>
  <si>
    <t xml:space="preserve">RO-00514</t>
  </si>
  <si>
    <t xml:space="preserve">DEL_GW</t>
  </si>
  <si>
    <t xml:space="preserve">DEL_F</t>
  </si>
  <si>
    <t xml:space="preserve">SIM-00004</t>
  </si>
  <si>
    <t xml:space="preserve">RO-00049</t>
  </si>
  <si>
    <t xml:space="preserve">DEL_BK</t>
  </si>
  <si>
    <t xml:space="preserve">DEL_ED</t>
  </si>
  <si>
    <t xml:space="preserve">DEL_BT</t>
  </si>
  <si>
    <t xml:space="preserve">SIM-00005</t>
  </si>
  <si>
    <t xml:space="preserve">RO-03605</t>
  </si>
  <si>
    <t xml:space="preserve">DEL_CE</t>
  </si>
  <si>
    <t xml:space="preserve">DEL_FN</t>
  </si>
  <si>
    <t xml:space="preserve">DEL_EU</t>
  </si>
  <si>
    <t xml:space="preserve">DEL_HI</t>
  </si>
  <si>
    <t xml:space="preserve">DEL_GL</t>
  </si>
  <si>
    <t xml:space="preserve">SIM-00010</t>
  </si>
  <si>
    <t xml:space="preserve">RO-03610</t>
  </si>
  <si>
    <t xml:space="preserve">DEL_FL</t>
  </si>
  <si>
    <t xml:space="preserve">SIM-00012</t>
  </si>
  <si>
    <t xml:space="preserve">RO-03612</t>
  </si>
  <si>
    <t xml:space="preserve">DEL_FI</t>
  </si>
  <si>
    <t xml:space="preserve">DEL_FJ</t>
  </si>
  <si>
    <t xml:space="preserve">DEL_CF</t>
  </si>
  <si>
    <t xml:space="preserve">SIM-00016</t>
  </si>
  <si>
    <t xml:space="preserve">RO-02632</t>
  </si>
  <si>
    <t xml:space="preserve">DEL_G</t>
  </si>
  <si>
    <t xml:space="preserve">SIM-00018</t>
  </si>
  <si>
    <t xml:space="preserve">RO-00265</t>
  </si>
  <si>
    <t xml:space="preserve">DEL_EJ</t>
  </si>
  <si>
    <t xml:space="preserve">SIM-00019</t>
  </si>
  <si>
    <t xml:space="preserve">RO-03619</t>
  </si>
  <si>
    <t xml:space="preserve">DEL_EV</t>
  </si>
  <si>
    <t xml:space="preserve">DEL_BD</t>
  </si>
  <si>
    <t xml:space="preserve">SIM-00021</t>
  </si>
  <si>
    <t xml:space="preserve">RO-00541</t>
  </si>
  <si>
    <t xml:space="preserve">DEL_BM</t>
  </si>
  <si>
    <t xml:space="preserve">DEL_DX</t>
  </si>
  <si>
    <t xml:space="preserve">DEL_GE</t>
  </si>
  <si>
    <t xml:space="preserve">DEL_HM</t>
  </si>
  <si>
    <t xml:space="preserve">DEL_GO</t>
  </si>
  <si>
    <t xml:space="preserve">SIM-00022</t>
  </si>
  <si>
    <t xml:space="preserve">RO-03622</t>
  </si>
  <si>
    <t xml:space="preserve">DEL_CG</t>
  </si>
  <si>
    <t xml:space="preserve">SIM-00023</t>
  </si>
  <si>
    <t xml:space="preserve">RO-02134</t>
  </si>
  <si>
    <t xml:space="preserve">DEL_FA</t>
  </si>
  <si>
    <t xml:space="preserve">SIM-00024</t>
  </si>
  <si>
    <t xml:space="preserve">RO-03624</t>
  </si>
  <si>
    <t xml:space="preserve">DEL_AB</t>
  </si>
  <si>
    <t xml:space="preserve">SIM-00025</t>
  </si>
  <si>
    <t xml:space="preserve">RO-03625</t>
  </si>
  <si>
    <t xml:space="preserve">DEL_CD</t>
  </si>
  <si>
    <t xml:space="preserve">DEL_DS</t>
  </si>
  <si>
    <t xml:space="preserve">SIM-00028</t>
  </si>
  <si>
    <t xml:space="preserve">RO-03628</t>
  </si>
  <si>
    <t xml:space="preserve">DEL_EP</t>
  </si>
  <si>
    <t xml:space="preserve">DEL_E</t>
  </si>
  <si>
    <t xml:space="preserve">SIM-00029</t>
  </si>
  <si>
    <t xml:space="preserve">RO-00433</t>
  </si>
  <si>
    <t xml:space="preserve">DEL_DJ</t>
  </si>
  <si>
    <t xml:space="preserve">DEL_HB</t>
  </si>
  <si>
    <t xml:space="preserve">DEL_BJ</t>
  </si>
  <si>
    <t xml:space="preserve">SIM-00032</t>
  </si>
  <si>
    <t xml:space="preserve">RO-03672</t>
  </si>
  <si>
    <t xml:space="preserve">DEL_AV</t>
  </si>
  <si>
    <t xml:space="preserve">SIM-00034</t>
  </si>
  <si>
    <t xml:space="preserve">RO-03746</t>
  </si>
  <si>
    <t xml:space="preserve">DEL_BC</t>
  </si>
  <si>
    <t xml:space="preserve">SIM-00036</t>
  </si>
  <si>
    <t xml:space="preserve">RO-01012</t>
  </si>
  <si>
    <t xml:space="preserve">DEL_HL</t>
  </si>
  <si>
    <t xml:space="preserve">DEL_DH</t>
  </si>
  <si>
    <t xml:space="preserve">SIM-00037</t>
  </si>
  <si>
    <t xml:space="preserve">RO-03637</t>
  </si>
  <si>
    <t xml:space="preserve">DEL_CC</t>
  </si>
  <si>
    <t xml:space="preserve">SIM-00039</t>
  </si>
  <si>
    <t xml:space="preserve">RO-03679</t>
  </si>
  <si>
    <t xml:space="preserve">DEL_A</t>
  </si>
  <si>
    <t xml:space="preserve">SIM-00040</t>
  </si>
  <si>
    <t xml:space="preserve">RO-03640</t>
  </si>
  <si>
    <t xml:space="preserve">DEL_AH</t>
  </si>
  <si>
    <t xml:space="preserve">DEL_FU</t>
  </si>
  <si>
    <t xml:space="preserve">DEL_DG</t>
  </si>
  <si>
    <t xml:space="preserve">SIM-00044</t>
  </si>
  <si>
    <t xml:space="preserve">RO-03644</t>
  </si>
  <si>
    <t xml:space="preserve">DEL_ES</t>
  </si>
  <si>
    <t xml:space="preserve">SIM-00045</t>
  </si>
  <si>
    <t xml:space="preserve">RO-03645</t>
  </si>
  <si>
    <t xml:space="preserve">DEL_AL</t>
  </si>
  <si>
    <t xml:space="preserve">SIM-00049</t>
  </si>
  <si>
    <t xml:space="preserve">RO-01333</t>
  </si>
  <si>
    <t xml:space="preserve">DEL_EI</t>
  </si>
  <si>
    <t xml:space="preserve">SIM-00052</t>
  </si>
  <si>
    <t xml:space="preserve">RO-03652</t>
  </si>
  <si>
    <t xml:space="preserve">DEL_GR</t>
  </si>
  <si>
    <t xml:space="preserve">DEL_GB</t>
  </si>
  <si>
    <t xml:space="preserve">SIM-00054</t>
  </si>
  <si>
    <t xml:space="preserve">RO-03654</t>
  </si>
  <si>
    <t xml:space="preserve">DEL_DO</t>
  </si>
  <si>
    <t xml:space="preserve">SIM-00057</t>
  </si>
  <si>
    <t xml:space="preserve">RO-00010</t>
  </si>
  <si>
    <t xml:space="preserve">DEL_GF</t>
  </si>
  <si>
    <t xml:space="preserve">DEL_O</t>
  </si>
  <si>
    <t xml:space="preserve">SIM-00059</t>
  </si>
  <si>
    <t xml:space="preserve">RO-03768</t>
  </si>
  <si>
    <t xml:space="preserve">DEL_BV</t>
  </si>
  <si>
    <t xml:space="preserve">SIM-00061</t>
  </si>
  <si>
    <t xml:space="preserve">RO-00901</t>
  </si>
  <si>
    <t xml:space="preserve">DEL_FZ</t>
  </si>
  <si>
    <t xml:space="preserve">DEL_GN</t>
  </si>
  <si>
    <t xml:space="preserve">DEL_AR</t>
  </si>
  <si>
    <t xml:space="preserve">SIM-00062</t>
  </si>
  <si>
    <t xml:space="preserve">RO-03662</t>
  </si>
  <si>
    <t xml:space="preserve">DEL_EY</t>
  </si>
  <si>
    <t xml:space="preserve">SIM-00063</t>
  </si>
  <si>
    <t xml:space="preserve">RO-00334</t>
  </si>
  <si>
    <t xml:space="preserve">DEL_AA</t>
  </si>
  <si>
    <t xml:space="preserve">SIM-00074</t>
  </si>
  <si>
    <t xml:space="preserve">RO-03674</t>
  </si>
  <si>
    <t xml:space="preserve">DEL_BB</t>
  </si>
  <si>
    <t xml:space="preserve">SIM-00076</t>
  </si>
  <si>
    <t xml:space="preserve">RO-01372</t>
  </si>
  <si>
    <t xml:space="preserve">DEL_ER</t>
  </si>
  <si>
    <t xml:space="preserve">SIM-00077</t>
  </si>
  <si>
    <t xml:space="preserve">RO-01270</t>
  </si>
  <si>
    <t xml:space="preserve">DEL_FM</t>
  </si>
  <si>
    <t xml:space="preserve">DEL_GP</t>
  </si>
  <si>
    <t xml:space="preserve">SIM-00080</t>
  </si>
  <si>
    <t xml:space="preserve">RO-03680</t>
  </si>
  <si>
    <t xml:space="preserve">DEL_DD</t>
  </si>
  <si>
    <t xml:space="preserve">SIM-00084</t>
  </si>
  <si>
    <t xml:space="preserve">RO-03684</t>
  </si>
  <si>
    <t xml:space="preserve">DEL_GY</t>
  </si>
  <si>
    <t xml:space="preserve">DEL_CT</t>
  </si>
  <si>
    <t xml:space="preserve">SIM-00088</t>
  </si>
  <si>
    <t xml:space="preserve">RO-03608</t>
  </si>
  <si>
    <t xml:space="preserve">DEL_HG</t>
  </si>
  <si>
    <t xml:space="preserve">SIM-00094</t>
  </si>
  <si>
    <t xml:space="preserve">RO-03614</t>
  </si>
  <si>
    <t xml:space="preserve">DEL_CU</t>
  </si>
  <si>
    <t xml:space="preserve">SIM-00097</t>
  </si>
  <si>
    <t xml:space="preserve">RO-01450</t>
  </si>
  <si>
    <t xml:space="preserve">DEL_DW</t>
  </si>
  <si>
    <t xml:space="preserve">DEL_EZ</t>
  </si>
  <si>
    <t xml:space="preserve">SIM-00098</t>
  </si>
  <si>
    <t xml:space="preserve">RO-01465</t>
  </si>
  <si>
    <t xml:space="preserve">DEL_DP</t>
  </si>
  <si>
    <t xml:space="preserve">SIM-00100</t>
  </si>
  <si>
    <t xml:space="preserve">RO-03697</t>
  </si>
  <si>
    <t xml:space="preserve">DEL_HE</t>
  </si>
  <si>
    <t xml:space="preserve">DEL_CN</t>
  </si>
  <si>
    <t xml:space="preserve">SIM-00102</t>
  </si>
  <si>
    <t xml:space="preserve">RO-01756</t>
  </si>
  <si>
    <t xml:space="preserve">DEL_FP</t>
  </si>
  <si>
    <t xml:space="preserve">DEL_Z</t>
  </si>
  <si>
    <t xml:space="preserve">SIM-00104</t>
  </si>
  <si>
    <t xml:space="preserve">RO-03701</t>
  </si>
  <si>
    <t xml:space="preserve">DEL_EO</t>
  </si>
  <si>
    <t xml:space="preserve">SIM-00105</t>
  </si>
  <si>
    <t xml:space="preserve">RO-03702</t>
  </si>
  <si>
    <t xml:space="preserve">DEL_CZ</t>
  </si>
  <si>
    <t xml:space="preserve">SIM-00109</t>
  </si>
  <si>
    <t xml:space="preserve">RO-01633</t>
  </si>
  <si>
    <t xml:space="preserve">DEL_HN</t>
  </si>
  <si>
    <t xml:space="preserve">DEL_HK</t>
  </si>
  <si>
    <t xml:space="preserve">DEL_FD</t>
  </si>
  <si>
    <t xml:space="preserve">SIM-00112</t>
  </si>
  <si>
    <t xml:space="preserve">RO-02386</t>
  </si>
  <si>
    <t xml:space="preserve">DEL_V</t>
  </si>
  <si>
    <t xml:space="preserve">SIM-00114</t>
  </si>
  <si>
    <t xml:space="preserve">RO-03711</t>
  </si>
  <si>
    <t xml:space="preserve">DEL_AP</t>
  </si>
  <si>
    <t xml:space="preserve">SIM-00116</t>
  </si>
  <si>
    <t xml:space="preserve">RO-01732</t>
  </si>
  <si>
    <t xml:space="preserve">DEL_AQ</t>
  </si>
  <si>
    <t xml:space="preserve">DEL_BF</t>
  </si>
  <si>
    <t xml:space="preserve">DEL_BE</t>
  </si>
  <si>
    <t xml:space="preserve">DEL_CI</t>
  </si>
  <si>
    <t xml:space="preserve">DEL_DL</t>
  </si>
  <si>
    <t xml:space="preserve">DEL_FK</t>
  </si>
  <si>
    <t xml:space="preserve">DEL_FQ</t>
  </si>
  <si>
    <t xml:space="preserve">DEL_GI</t>
  </si>
  <si>
    <t xml:space="preserve">SIM-00120</t>
  </si>
  <si>
    <t xml:space="preserve">DEL_CJ</t>
  </si>
  <si>
    <t xml:space="preserve">SIM-00121</t>
  </si>
  <si>
    <t xml:space="preserve">RO-03717</t>
  </si>
  <si>
    <t xml:space="preserve">DEL_FF</t>
  </si>
  <si>
    <t xml:space="preserve">DEL_CR</t>
  </si>
  <si>
    <t xml:space="preserve">SIM-00123</t>
  </si>
  <si>
    <t xml:space="preserve">RO-01594</t>
  </si>
  <si>
    <t xml:space="preserve">DEL_HF</t>
  </si>
  <si>
    <t xml:space="preserve">SIM-00124</t>
  </si>
  <si>
    <t xml:space="preserve">RO-03720</t>
  </si>
  <si>
    <t xml:space="preserve">DEL_BH</t>
  </si>
  <si>
    <t xml:space="preserve">SIM-00125</t>
  </si>
  <si>
    <t xml:space="preserve">RO-03756</t>
  </si>
  <si>
    <t xml:space="preserve">DEL_DK</t>
  </si>
  <si>
    <t xml:space="preserve">SIM-00128</t>
  </si>
  <si>
    <t xml:space="preserve">RO-03724</t>
  </si>
  <si>
    <t xml:space="preserve">DEL_HO</t>
  </si>
  <si>
    <t xml:space="preserve">SIM-00129</t>
  </si>
  <si>
    <t xml:space="preserve">RO-01213</t>
  </si>
  <si>
    <t xml:space="preserve">DEL_AE</t>
  </si>
  <si>
    <t xml:space="preserve">SIM-00130</t>
  </si>
  <si>
    <t xml:space="preserve">RO-03726</t>
  </si>
  <si>
    <t xml:space="preserve">DEL_N</t>
  </si>
  <si>
    <t xml:space="preserve">SIM-00137</t>
  </si>
  <si>
    <t xml:space="preserve">RO-03010</t>
  </si>
  <si>
    <t xml:space="preserve">DEL_AN</t>
  </si>
  <si>
    <t xml:space="preserve">DEL_CK</t>
  </si>
  <si>
    <t xml:space="preserve">DEL_CQ</t>
  </si>
  <si>
    <t xml:space="preserve">DEL_EW</t>
  </si>
  <si>
    <t xml:space="preserve">DEL_GA</t>
  </si>
  <si>
    <t xml:space="preserve">SIM-00140</t>
  </si>
  <si>
    <t xml:space="preserve">RO-02098</t>
  </si>
  <si>
    <t xml:space="preserve">DEL_DA</t>
  </si>
  <si>
    <t xml:space="preserve">SIM-00144</t>
  </si>
  <si>
    <t xml:space="preserve">RO-03737</t>
  </si>
  <si>
    <t xml:space="preserve">DEL_GJ</t>
  </si>
  <si>
    <t xml:space="preserve">SIM-00145</t>
  </si>
  <si>
    <t xml:space="preserve">RO-03738</t>
  </si>
  <si>
    <t xml:space="preserve">DEL_HP</t>
  </si>
  <si>
    <t xml:space="preserve">SIM-00149</t>
  </si>
  <si>
    <t xml:space="preserve">RO-03776</t>
  </si>
  <si>
    <t xml:space="preserve">DEL_H</t>
  </si>
  <si>
    <t xml:space="preserve">SIM-00152</t>
  </si>
  <si>
    <t xml:space="preserve">RO-03745</t>
  </si>
  <si>
    <t xml:space="preserve">DEL_P</t>
  </si>
  <si>
    <t xml:space="preserve">DEL_DF</t>
  </si>
  <si>
    <t xml:space="preserve">DEL_DU</t>
  </si>
  <si>
    <t xml:space="preserve">DEL_GM</t>
  </si>
  <si>
    <t xml:space="preserve">DEL_FV</t>
  </si>
  <si>
    <t xml:space="preserve">SIM-00154</t>
  </si>
  <si>
    <t xml:space="preserve">DEL_U</t>
  </si>
  <si>
    <t xml:space="preserve">SIM-00162</t>
  </si>
  <si>
    <t xml:space="preserve">RO-00496</t>
  </si>
  <si>
    <t xml:space="preserve">DEL_DE</t>
  </si>
  <si>
    <t xml:space="preserve">SIM-00165</t>
  </si>
  <si>
    <t xml:space="preserve">DEL_GD</t>
  </si>
  <si>
    <t xml:space="preserve">SIM-00168</t>
  </si>
  <si>
    <t xml:space="preserve">RO-03759</t>
  </si>
  <si>
    <t xml:space="preserve">DEL_Y</t>
  </si>
  <si>
    <t xml:space="preserve">SIM-00170</t>
  </si>
  <si>
    <t xml:space="preserve">RO-03760</t>
  </si>
  <si>
    <t xml:space="preserve">DEL_DN</t>
  </si>
  <si>
    <t xml:space="preserve">DEL_GQ</t>
  </si>
  <si>
    <t xml:space="preserve">SIM-00173</t>
  </si>
  <si>
    <t xml:space="preserve">RO-03763</t>
  </si>
  <si>
    <t xml:space="preserve">DEL_AT</t>
  </si>
  <si>
    <t xml:space="preserve">SIM-00174</t>
  </si>
  <si>
    <t xml:space="preserve">RO-03764</t>
  </si>
  <si>
    <t xml:space="preserve">DEL_BP</t>
  </si>
  <si>
    <t xml:space="preserve">DEL_AI</t>
  </si>
  <si>
    <t xml:space="preserve">SIM-00176</t>
  </si>
  <si>
    <t xml:space="preserve">RO-01912</t>
  </si>
  <si>
    <t xml:space="preserve">DEL_R</t>
  </si>
  <si>
    <t xml:space="preserve">SIM-00179</t>
  </si>
  <si>
    <t xml:space="preserve">RO-01723</t>
  </si>
  <si>
    <t xml:space="preserve">DEL_GK</t>
  </si>
  <si>
    <t xml:space="preserve">SIM-00180</t>
  </si>
  <si>
    <t xml:space="preserve">RO-02578</t>
  </si>
  <si>
    <t xml:space="preserve">DEL_S</t>
  </si>
  <si>
    <t xml:space="preserve">SIM-00183</t>
  </si>
  <si>
    <t xml:space="preserve">DEL_EA</t>
  </si>
  <si>
    <t xml:space="preserve">SIM-00184</t>
  </si>
  <si>
    <t xml:space="preserve">DEL_BW</t>
  </si>
  <si>
    <t xml:space="preserve">SIM-00185</t>
  </si>
  <si>
    <t xml:space="preserve">RO-03772</t>
  </si>
  <si>
    <t xml:space="preserve">DEL_EM</t>
  </si>
  <si>
    <t xml:space="preserve">SIM-00189</t>
  </si>
  <si>
    <t xml:space="preserve">RO-02233</t>
  </si>
  <si>
    <t xml:space="preserve">DEL_HC</t>
  </si>
  <si>
    <t xml:space="preserve">SIM-00192</t>
  </si>
  <si>
    <t xml:space="preserve">RO-00226</t>
  </si>
  <si>
    <t xml:space="preserve">DEL_FH</t>
  </si>
  <si>
    <t xml:space="preserve">SIM-00196</t>
  </si>
  <si>
    <t xml:space="preserve">RO-02452</t>
  </si>
  <si>
    <t xml:space="preserve">DEL_B</t>
  </si>
  <si>
    <t xml:space="preserve">SIM-00200</t>
  </si>
  <si>
    <t xml:space="preserve">RO-03786</t>
  </si>
  <si>
    <t xml:space="preserve">DEL_AW</t>
  </si>
  <si>
    <t xml:space="preserve">SIM-00201</t>
  </si>
  <si>
    <t xml:space="preserve">RO-03787</t>
  </si>
  <si>
    <t xml:space="preserve">DEL_DB</t>
  </si>
  <si>
    <t xml:space="preserve">DEL_BO</t>
  </si>
  <si>
    <t xml:space="preserve">SIM-00202</t>
  </si>
  <si>
    <t xml:space="preserve">RO-03642</t>
  </si>
  <si>
    <t xml:space="preserve">DEL_M</t>
  </si>
  <si>
    <t xml:space="preserve">SIM-00203</t>
  </si>
  <si>
    <t xml:space="preserve">RO-03643</t>
  </si>
  <si>
    <t xml:space="preserve">DEL_Q</t>
  </si>
  <si>
    <t xml:space="preserve">SIM-00205</t>
  </si>
  <si>
    <t xml:space="preserve">DEL_DT</t>
  </si>
  <si>
    <t xml:space="preserve">DEL_T</t>
  </si>
  <si>
    <t xml:space="preserve">SIM-00209</t>
  </si>
  <si>
    <t xml:space="preserve">RO-03133</t>
  </si>
  <si>
    <t xml:space="preserve">DEL_EC</t>
  </si>
  <si>
    <t xml:space="preserve">SIM-00212</t>
  </si>
  <si>
    <t xml:space="preserve">RO-03791</t>
  </si>
  <si>
    <t xml:space="preserve">DEL_W</t>
  </si>
  <si>
    <t xml:space="preserve">SIM-00217</t>
  </si>
  <si>
    <t xml:space="preserve">RO-03250</t>
  </si>
  <si>
    <t xml:space="preserve">DEL_AF</t>
  </si>
  <si>
    <t xml:space="preserve">SIM-00218</t>
  </si>
  <si>
    <t xml:space="preserve">RO-01585</t>
  </si>
  <si>
    <t xml:space="preserve">DEL_EH</t>
  </si>
  <si>
    <t xml:space="preserve">SIM-00219</t>
  </si>
  <si>
    <t xml:space="preserve">RO-03798</t>
  </si>
  <si>
    <t xml:space="preserve">DEL_AG</t>
  </si>
  <si>
    <t xml:space="preserve">SIM-00222</t>
  </si>
  <si>
    <t xml:space="preserve">RO-03801</t>
  </si>
  <si>
    <t xml:space="preserve">DEL_BY</t>
  </si>
  <si>
    <t xml:space="preserve">DEL_FR</t>
  </si>
  <si>
    <t xml:space="preserve">DEL_GZ</t>
  </si>
  <si>
    <t xml:space="preserve">DEL_GX</t>
  </si>
  <si>
    <t xml:space="preserve">DEL_GV</t>
  </si>
  <si>
    <t xml:space="preserve">DEL_BS</t>
  </si>
  <si>
    <t xml:space="preserve">SIM-00223</t>
  </si>
  <si>
    <t xml:space="preserve">RO-03802</t>
  </si>
  <si>
    <t xml:space="preserve">DEL_X</t>
  </si>
  <si>
    <t xml:space="preserve">SIM-00230</t>
  </si>
  <si>
    <t xml:space="preserve">RO-03448</t>
  </si>
  <si>
    <t xml:space="preserve">DEL_CL</t>
  </si>
  <si>
    <t xml:space="preserve">DEL_DM</t>
  </si>
  <si>
    <t xml:space="preserve">DEL_HQ</t>
  </si>
  <si>
    <t xml:space="preserve">DEL_GT</t>
  </si>
  <si>
    <t xml:space="preserve">DEL_AO</t>
  </si>
  <si>
    <t xml:space="preserve">SIM-00232</t>
  </si>
  <si>
    <t xml:space="preserve">RO-03811</t>
  </si>
  <si>
    <t xml:space="preserve">DEL_EQ</t>
  </si>
  <si>
    <t xml:space="preserve">DEL_HD</t>
  </si>
  <si>
    <t xml:space="preserve">DEL_HH</t>
  </si>
  <si>
    <t xml:space="preserve">DEL_AJ</t>
  </si>
  <si>
    <t xml:space="preserve">SIM-00233</t>
  </si>
  <si>
    <t xml:space="preserve">RO-03812</t>
  </si>
  <si>
    <t xml:space="preserve">DEL_AX</t>
  </si>
  <si>
    <t xml:space="preserve">DEL_CW</t>
  </si>
  <si>
    <t xml:space="preserve">DEL_BU</t>
  </si>
  <si>
    <t xml:space="preserve">SIM-00237</t>
  </si>
  <si>
    <t xml:space="preserve">RO-01390</t>
  </si>
  <si>
    <t xml:space="preserve">DEL_EN</t>
  </si>
  <si>
    <t xml:space="preserve">SIM-00238</t>
  </si>
  <si>
    <t xml:space="preserve">RO-03205</t>
  </si>
  <si>
    <t xml:space="preserve">DEL_DY</t>
  </si>
  <si>
    <t xml:space="preserve">SIM-00240</t>
  </si>
  <si>
    <t xml:space="preserve">RO-03358</t>
  </si>
  <si>
    <t xml:space="preserve">RO-00002</t>
  </si>
  <si>
    <t xml:space="preserve">RO-00017</t>
  </si>
  <si>
    <t xml:space="preserve">RO-00515</t>
  </si>
  <si>
    <t xml:space="preserve">RO-00050</t>
  </si>
  <si>
    <t xml:space="preserve">RO-00068</t>
  </si>
  <si>
    <t xml:space="preserve">RO-01109</t>
  </si>
  <si>
    <t xml:space="preserve">RO-01487</t>
  </si>
  <si>
    <t xml:space="preserve">RO-00233</t>
  </si>
  <si>
    <t xml:space="preserve">RO-00266</t>
  </si>
  <si>
    <t xml:space="preserve">RO-00284</t>
  </si>
  <si>
    <t xml:space="preserve">RO-00542</t>
  </si>
  <si>
    <t xml:space="preserve">RO-00317</t>
  </si>
  <si>
    <t xml:space="preserve">RO-02135</t>
  </si>
  <si>
    <t xml:space="preserve">RO-00830</t>
  </si>
  <si>
    <t xml:space="preserve">RO-00368</t>
  </si>
  <si>
    <t xml:space="preserve">RO-00416</t>
  </si>
  <si>
    <t xml:space="preserve">RO-00434</t>
  </si>
  <si>
    <t xml:space="preserve">RO-02747</t>
  </si>
  <si>
    <t xml:space="preserve">RO-00740</t>
  </si>
  <si>
    <t xml:space="preserve">RO-00551</t>
  </si>
  <si>
    <t xml:space="preserve">RO-00584</t>
  </si>
  <si>
    <t xml:space="preserve">RO-00119</t>
  </si>
  <si>
    <t xml:space="preserve">RO-01370</t>
  </si>
  <si>
    <t xml:space="preserve">RO-00668</t>
  </si>
  <si>
    <t xml:space="preserve">RO-01334</t>
  </si>
  <si>
    <t xml:space="preserve">RO-00767</t>
  </si>
  <si>
    <t xml:space="preserve">RO-02720</t>
  </si>
  <si>
    <t xml:space="preserve">RO-00851</t>
  </si>
  <si>
    <t xml:space="preserve">RO-03044</t>
  </si>
  <si>
    <t xml:space="preserve">RO-00917</t>
  </si>
  <si>
    <t xml:space="preserve">RO-00335</t>
  </si>
  <si>
    <t xml:space="preserve">RO-03020</t>
  </si>
  <si>
    <t xml:space="preserve">RO-01271</t>
  </si>
  <si>
    <t xml:space="preserve">RO-00959</t>
  </si>
  <si>
    <t xml:space="preserve">RO-01490</t>
  </si>
  <si>
    <t xml:space="preserve">RO-01316</t>
  </si>
  <si>
    <t xml:space="preserve">RO-00371</t>
  </si>
  <si>
    <t xml:space="preserve">RO-01466</t>
  </si>
  <si>
    <t xml:space="preserve">RO-01499</t>
  </si>
  <si>
    <t xml:space="preserve">RO-01757</t>
  </si>
  <si>
    <t xml:space="preserve">RO-00470</t>
  </si>
  <si>
    <t xml:space="preserve">RO-03368</t>
  </si>
  <si>
    <t xml:space="preserve">RO-01634</t>
  </si>
  <si>
    <t xml:space="preserve">RO-03107</t>
  </si>
  <si>
    <t xml:space="preserve">RO-02540</t>
  </si>
  <si>
    <t xml:space="preserve">RO-01802</t>
  </si>
  <si>
    <t xml:space="preserve">RO-01835</t>
  </si>
  <si>
    <t xml:space="preserve">RO-01850</t>
  </si>
  <si>
    <t xml:space="preserve">RO-02468</t>
  </si>
  <si>
    <t xml:space="preserve">RO-00236</t>
  </si>
  <si>
    <t xml:space="preserve">RO-01214</t>
  </si>
  <si>
    <t xml:space="preserve">RO-01949</t>
  </si>
  <si>
    <t xml:space="preserve">RO-03011</t>
  </si>
  <si>
    <t xml:space="preserve">RO-02099</t>
  </si>
  <si>
    <t xml:space="preserve">RO-02150</t>
  </si>
  <si>
    <t xml:space="preserve">RO-01088</t>
  </si>
  <si>
    <t xml:space="preserve">RO-02954</t>
  </si>
  <si>
    <t xml:space="preserve">RO-02267</t>
  </si>
  <si>
    <t xml:space="preserve">RO-00497</t>
  </si>
  <si>
    <t xml:space="preserve">DEL_GS</t>
  </si>
  <si>
    <t xml:space="preserve">SIM-00166</t>
  </si>
  <si>
    <t xml:space="preserve">RO-02483</t>
  </si>
  <si>
    <t xml:space="preserve">RO-02516</t>
  </si>
  <si>
    <t xml:space="preserve">RO-02549</t>
  </si>
  <si>
    <t xml:space="preserve">RO-01160</t>
  </si>
  <si>
    <t xml:space="preserve">RO-02579</t>
  </si>
  <si>
    <t xml:space="preserve">RO-02768</t>
  </si>
  <si>
    <t xml:space="preserve">RO-00227</t>
  </si>
  <si>
    <t xml:space="preserve">RO-02933</t>
  </si>
  <si>
    <t xml:space="preserve">RO-02999</t>
  </si>
  <si>
    <t xml:space="preserve">RO-02414</t>
  </si>
  <si>
    <t xml:space="preserve">RO-03287</t>
  </si>
  <si>
    <t xml:space="preserve">RO-03251</t>
  </si>
  <si>
    <t xml:space="preserve">RO-03386</t>
  </si>
  <si>
    <t xml:space="preserve">RO-01244</t>
  </si>
  <si>
    <t xml:space="preserve">RO-03317</t>
  </si>
  <si>
    <t xml:space="preserve">RO-03215</t>
  </si>
  <si>
    <t xml:space="preserve">RO-03449</t>
  </si>
  <si>
    <t xml:space="preserve">RO-03467</t>
  </si>
  <si>
    <t xml:space="preserve">RO-03485</t>
  </si>
  <si>
    <t xml:space="preserve">RO-03551</t>
  </si>
  <si>
    <t xml:space="preserve">RO-03206</t>
  </si>
  <si>
    <t xml:space="preserve">RO-03359</t>
  </si>
  <si>
    <t xml:space="preserve">RO-00003</t>
  </si>
  <si>
    <t xml:space="preserve">RO-00018</t>
  </si>
  <si>
    <t xml:space="preserve">RO-00036</t>
  </si>
  <si>
    <t xml:space="preserve">RO-00051</t>
  </si>
  <si>
    <t xml:space="preserve">RO-00069</t>
  </si>
  <si>
    <t xml:space="preserve">RO-00630</t>
  </si>
  <si>
    <t xml:space="preserve">RO-01488</t>
  </si>
  <si>
    <t xml:space="preserve">RO-02874</t>
  </si>
  <si>
    <t xml:space="preserve">RO-02187</t>
  </si>
  <si>
    <t xml:space="preserve">RO-00405</t>
  </si>
  <si>
    <t xml:space="preserve">RO-00543</t>
  </si>
  <si>
    <t xml:space="preserve">RO-02358</t>
  </si>
  <si>
    <t xml:space="preserve">RO-02736</t>
  </si>
  <si>
    <t xml:space="preserve">RO-01671</t>
  </si>
  <si>
    <t xml:space="preserve">RO-01449</t>
  </si>
  <si>
    <t xml:space="preserve">RO-00777</t>
  </si>
  <si>
    <t xml:space="preserve">RO-00435</t>
  </si>
  <si>
    <t xml:space="preserve">RO-00468</t>
  </si>
  <si>
    <t xml:space="preserve">RO-02421</t>
  </si>
  <si>
    <t xml:space="preserve">RO-00534</t>
  </si>
  <si>
    <t xml:space="preserve">RO-00552</t>
  </si>
  <si>
    <t xml:space="preserve">RO-00585</t>
  </si>
  <si>
    <t xml:space="preserve">RO-01800</t>
  </si>
  <si>
    <t xml:space="preserve">RO-00891</t>
  </si>
  <si>
    <t xml:space="preserve">RO-03069</t>
  </si>
  <si>
    <t xml:space="preserve">RO-02655</t>
  </si>
  <si>
    <t xml:space="preserve">RO-00408</t>
  </si>
  <si>
    <t xml:space="preserve">RO-02241</t>
  </si>
  <si>
    <t xml:space="preserve">RO-00012</t>
  </si>
  <si>
    <t xml:space="preserve">RO-02565</t>
  </si>
  <si>
    <t xml:space="preserve">RO-00903</t>
  </si>
  <si>
    <t xml:space="preserve">RO-00918</t>
  </si>
  <si>
    <t xml:space="preserve">RO-00936</t>
  </si>
  <si>
    <t xml:space="preserve">DEL_EX</t>
  </si>
  <si>
    <t xml:space="preserve">SIM-00066</t>
  </si>
  <si>
    <t xml:space="preserve">RO-00984</t>
  </si>
  <si>
    <t xml:space="preserve">RO-00621</t>
  </si>
  <si>
    <t xml:space="preserve">RO-00894</t>
  </si>
  <si>
    <t xml:space="preserve">RO-01152</t>
  </si>
  <si>
    <t xml:space="preserve">RO-01200</t>
  </si>
  <si>
    <t xml:space="preserve">RO-01251</t>
  </si>
  <si>
    <t xml:space="preserve">RO-00117</t>
  </si>
  <si>
    <t xml:space="preserve">RO-00372</t>
  </si>
  <si>
    <t xml:space="preserve">RO-01467</t>
  </si>
  <si>
    <t xml:space="preserve">RO-00180</t>
  </si>
  <si>
    <t xml:space="preserve">RO-01758</t>
  </si>
  <si>
    <t xml:space="preserve">RO-01431</t>
  </si>
  <si>
    <t xml:space="preserve">RO-03369</t>
  </si>
  <si>
    <t xml:space="preserve">RO-01635</t>
  </si>
  <si>
    <t xml:space="preserve">RO-00828</t>
  </si>
  <si>
    <t xml:space="preserve">RO-01701</t>
  </si>
  <si>
    <t xml:space="preserve">RO-00723</t>
  </si>
  <si>
    <t xml:space="preserve">RO-01836</t>
  </si>
  <si>
    <t xml:space="preserve">RO-02691</t>
  </si>
  <si>
    <t xml:space="preserve">RO-02469</t>
  </si>
  <si>
    <t xml:space="preserve">DEL_DV</t>
  </si>
  <si>
    <t xml:space="preserve">SIM-00126</t>
  </si>
  <si>
    <t xml:space="preserve">RO-01884</t>
  </si>
  <si>
    <t xml:space="preserve">RO-01917</t>
  </si>
  <si>
    <t xml:space="preserve">RO-01950</t>
  </si>
  <si>
    <t xml:space="preserve">RO-02052</t>
  </si>
  <si>
    <t xml:space="preserve">RO-02100</t>
  </si>
  <si>
    <t xml:space="preserve">RO-02151</t>
  </si>
  <si>
    <t xml:space="preserve">RO-02169</t>
  </si>
  <si>
    <t xml:space="preserve">RO-02835</t>
  </si>
  <si>
    <t xml:space="preserve">RO-02268</t>
  </si>
  <si>
    <t xml:space="preserve">RO-00738</t>
  </si>
  <si>
    <t xml:space="preserve">RO-02964</t>
  </si>
  <si>
    <t xml:space="preserve">RO-02517</t>
  </si>
  <si>
    <t xml:space="preserve">RO-01710</t>
  </si>
  <si>
    <t xml:space="preserve">RO-02586</t>
  </si>
  <si>
    <t xml:space="preserve">RO-02601</t>
  </si>
  <si>
    <t xml:space="preserve">RO-02700</t>
  </si>
  <si>
    <t xml:space="preserve">RO-01071</t>
  </si>
  <si>
    <t xml:space="preserve">RO-02769</t>
  </si>
  <si>
    <t xml:space="preserve">RO-01908</t>
  </si>
  <si>
    <t xml:space="preserve">RO-01614</t>
  </si>
  <si>
    <t xml:space="preserve">RO-03000</t>
  </si>
  <si>
    <t xml:space="preserve">RO-00135</t>
  </si>
  <si>
    <t xml:space="preserve">RO-03528</t>
  </si>
  <si>
    <t xml:space="preserve">RO-03252</t>
  </si>
  <si>
    <t xml:space="preserve">RO-03267</t>
  </si>
  <si>
    <t xml:space="preserve">RO-03285</t>
  </si>
  <si>
    <t xml:space="preserve">RO-03438</t>
  </si>
  <si>
    <t xml:space="preserve">RO-03330</t>
  </si>
  <si>
    <t xml:space="preserve">RO-03468</t>
  </si>
  <si>
    <t xml:space="preserve">RO-03366</t>
  </si>
  <si>
    <t xml:space="preserve">RO-03312</t>
  </si>
  <si>
    <t xml:space="preserve">RO-03567</t>
  </si>
  <si>
    <t xml:space="preserve">RO-03240</t>
  </si>
  <si>
    <t xml:space="preserve">Baseline = primary planned lanes through the SAME capacity-constrained solver. No primary lanes exist under disruption scenarios.</t>
  </si>
  <si>
    <t xml:space="preserve">RO-03603</t>
  </si>
  <si>
    <t xml:space="preserve">RO-03604</t>
  </si>
  <si>
    <t xml:space="preserve">RO-03618</t>
  </si>
  <si>
    <t xml:space="preserve">RO-03663</t>
  </si>
  <si>
    <t xml:space="preserve">RO-03629</t>
  </si>
  <si>
    <t xml:space="preserve">RO-03687</t>
  </si>
  <si>
    <t xml:space="preserve">RO-03657</t>
  </si>
  <si>
    <t xml:space="preserve">RO-03677</t>
  </si>
  <si>
    <t xml:space="preserve">RO-03694</t>
  </si>
  <si>
    <t xml:space="preserve">RO-03695</t>
  </si>
  <si>
    <t xml:space="preserve">RO-03699</t>
  </si>
  <si>
    <t xml:space="preserve">RO-03706</t>
  </si>
  <si>
    <t xml:space="preserve">RO-03709</t>
  </si>
  <si>
    <t xml:space="preserve">RO-03719</t>
  </si>
  <si>
    <t xml:space="preserve">RO-03609</t>
  </si>
  <si>
    <t xml:space="preserve">RO-03731</t>
  </si>
  <si>
    <t xml:space="preserve">RO-03734</t>
  </si>
  <si>
    <t xml:space="preserve">RO-03753</t>
  </si>
  <si>
    <t xml:space="preserve">RO-03769</t>
  </si>
  <si>
    <t xml:space="preserve">RO-03779</t>
  </si>
  <si>
    <t xml:space="preserve">RO-03725</t>
  </si>
  <si>
    <t xml:space="preserve">RO-03796</t>
  </si>
  <si>
    <t xml:space="preserve">RO-03797</t>
  </si>
  <si>
    <t xml:space="preserve">RO-03809</t>
  </si>
  <si>
    <t xml:space="preserve">RO-03816</t>
  </si>
  <si>
    <t xml:space="preserve">RO-03819</t>
  </si>
  <si>
    <t xml:space="preserve">FromHub</t>
  </si>
  <si>
    <t xml:space="preserve">ToHub</t>
  </si>
  <si>
    <t xml:space="preserve">TransportMode</t>
  </si>
  <si>
    <t xml:space="preserve">IsPrimary</t>
  </si>
  <si>
    <t xml:space="preserve">Qty</t>
  </si>
  <si>
    <t xml:space="preserve">WeeksRequired</t>
  </si>
  <si>
    <t xml:space="preserve">MultiWeek</t>
  </si>
  <si>
    <t xml:space="preserve">EffectiveLeadTimeDays</t>
  </si>
  <si>
    <t xml:space="preserve">CO2Kg</t>
  </si>
  <si>
    <t xml:space="preserve">FE_LOC_001</t>
  </si>
  <si>
    <t xml:space="preserve">SIFO_LOC_001</t>
  </si>
  <si>
    <t xml:space="preserve">Air</t>
  </si>
  <si>
    <t xml:space="preserve">Yes</t>
  </si>
  <si>
    <t xml:space="preserve">SIFO_LOC_006</t>
  </si>
  <si>
    <t xml:space="preserve">BE_LOC_008</t>
  </si>
  <si>
    <t xml:space="preserve">Road</t>
  </si>
  <si>
    <t xml:space="preserve">BE_ALT_36</t>
  </si>
  <si>
    <t xml:space="preserve">OSAT_ALT_36</t>
  </si>
  <si>
    <t xml:space="preserve">Ocean</t>
  </si>
  <si>
    <t xml:space="preserve">No</t>
  </si>
  <si>
    <t xml:space="preserve">OSAT_ALT_05</t>
  </si>
  <si>
    <t xml:space="preserve">BE_ALT_05</t>
  </si>
  <si>
    <t xml:space="preserve">BE_LOC_021</t>
  </si>
  <si>
    <t xml:space="preserve">SIFO_LOC_029</t>
  </si>
  <si>
    <t xml:space="preserve">SIFO_LOC_046</t>
  </si>
  <si>
    <t xml:space="preserve">OSAT_LOC_064</t>
  </si>
  <si>
    <t xml:space="preserve">SIFO_LOC_056</t>
  </si>
  <si>
    <t xml:space="preserve">BE_LOC_078</t>
  </si>
  <si>
    <t xml:space="preserve">Courier</t>
  </si>
  <si>
    <t xml:space="preserve">SIFO_ALT_88</t>
  </si>
  <si>
    <t xml:space="preserve">FE_ALT_88</t>
  </si>
  <si>
    <t xml:space="preserve">BE_ALT_21</t>
  </si>
  <si>
    <t xml:space="preserve">OSAT_LOC_011</t>
  </si>
  <si>
    <t xml:space="preserve">OSAT_LOC_047</t>
  </si>
  <si>
    <t xml:space="preserve">FE_ALT_37</t>
  </si>
  <si>
    <t xml:space="preserve">SIFO_ALT_37</t>
  </si>
  <si>
    <t xml:space="preserve">SIFO_LOC_026</t>
  </si>
  <si>
    <t xml:space="preserve">BE_LOC_068</t>
  </si>
  <si>
    <t xml:space="preserve">BE_ALT_54</t>
  </si>
  <si>
    <t xml:space="preserve">OSAT_ALT_54</t>
  </si>
  <si>
    <t xml:space="preserve">OSAT_LOC_036</t>
  </si>
  <si>
    <t xml:space="preserve">BE_LOC_002</t>
  </si>
  <si>
    <t xml:space="preserve">BE_LOC_041</t>
  </si>
  <si>
    <t xml:space="preserve">SIFO_LOC_009</t>
  </si>
  <si>
    <t xml:space="preserve">BE_LOC_056</t>
  </si>
  <si>
    <t xml:space="preserve">BE_LOC_030</t>
  </si>
  <si>
    <t xml:space="preserve">OSAT_ALT_33</t>
  </si>
  <si>
    <t xml:space="preserve">SIFO_LOC_036</t>
  </si>
  <si>
    <t xml:space="preserve">BE_LOC_018</t>
  </si>
  <si>
    <t xml:space="preserve">OSAT_LOC_046</t>
  </si>
  <si>
    <t xml:space="preserve">BE_LOC_032</t>
  </si>
  <si>
    <t xml:space="preserve">SIFO_ALT_70</t>
  </si>
  <si>
    <t xml:space="preserve">FE_ALT_70</t>
  </si>
  <si>
    <t xml:space="preserve">FE_LOC_021</t>
  </si>
  <si>
    <t xml:space="preserve">BE_LOC_013</t>
  </si>
  <si>
    <t xml:space="preserve">OSAT_LOC_071</t>
  </si>
  <si>
    <t xml:space="preserve">OSAT_LOC_067</t>
  </si>
  <si>
    <t xml:space="preserve">OSAT_LOC_034</t>
  </si>
  <si>
    <t xml:space="preserve">OSAT_LOC_056</t>
  </si>
  <si>
    <t xml:space="preserve">BE_LOC_062</t>
  </si>
  <si>
    <t xml:space="preserve">BE_LOC_061</t>
  </si>
  <si>
    <t xml:space="preserve">SIFO_LOC_069</t>
  </si>
  <si>
    <t xml:space="preserve">OSAT_ALT_03</t>
  </si>
  <si>
    <t xml:space="preserve">SIFO_LOC_016</t>
  </si>
  <si>
    <t xml:space="preserve">BE_LOC_038</t>
  </si>
  <si>
    <t xml:space="preserve">OSAT_LOC_026</t>
  </si>
  <si>
    <t xml:space="preserve">BE_LOC_052</t>
  </si>
  <si>
    <t xml:space="preserve">FE_ALT_04</t>
  </si>
  <si>
    <t xml:space="preserve">BE_ALT_04</t>
  </si>
  <si>
    <t xml:space="preserve">FE_ALT_61</t>
  </si>
  <si>
    <t xml:space="preserve">SIFO_ALT_61</t>
  </si>
  <si>
    <t xml:space="preserve">SIFO_LOC_066</t>
  </si>
  <si>
    <t xml:space="preserve">BE_LOC_028</t>
  </si>
  <si>
    <t xml:space="preserve">BE_ALT_24</t>
  </si>
  <si>
    <t xml:space="preserve">OSAT_ALT_24</t>
  </si>
  <si>
    <t xml:space="preserve">SIFO_ALT_04</t>
  </si>
  <si>
    <t xml:space="preserve">BE_ALT_88</t>
  </si>
  <si>
    <t xml:space="preserve">SIFO_LOC_076</t>
  </si>
  <si>
    <t xml:space="preserve">OSAT_LOC_074</t>
  </si>
  <si>
    <t xml:space="preserve">OSAT_LOC_016</t>
  </si>
  <si>
    <t xml:space="preserve">BE_LOC_022</t>
  </si>
  <si>
    <t xml:space="preserve">BE_LOC_036</t>
  </si>
  <si>
    <t xml:space="preserve">BE_LOC_050</t>
  </si>
  <si>
    <t xml:space="preserve">OSAT_LOC_066</t>
  </si>
  <si>
    <t xml:space="preserve">BE_LOC_012</t>
  </si>
  <si>
    <t xml:space="preserve">FE_ALT_10</t>
  </si>
  <si>
    <t xml:space="preserve">BE_ALT_10</t>
  </si>
  <si>
    <t xml:space="preserve">BE_ALT_11</t>
  </si>
  <si>
    <t xml:space="preserve">OSAT_LOC_054</t>
  </si>
  <si>
    <t xml:space="preserve">SIFO_ALT_28</t>
  </si>
  <si>
    <t xml:space="preserve">BE_ALT_28</t>
  </si>
  <si>
    <t xml:space="preserve">OSAT_ALT_23</t>
  </si>
  <si>
    <t xml:space="preserve">BE_ALT_70</t>
  </si>
  <si>
    <t xml:space="preserve">OSAT_LOC_006</t>
  </si>
  <si>
    <t xml:space="preserve">BE_LOC_072</t>
  </si>
  <si>
    <t xml:space="preserve">FE_ALT_28</t>
  </si>
  <si>
    <t xml:space="preserve">FE_LOC_041</t>
  </si>
  <si>
    <t xml:space="preserve">SIFO_LOC_041</t>
  </si>
  <si>
    <t xml:space="preserve">BE_ALT_18</t>
  </si>
  <si>
    <t xml:space="preserve">OSAT_ALT_18</t>
  </si>
  <si>
    <t xml:space="preserve">BE_LOC_076</t>
  </si>
  <si>
    <t xml:space="preserve">BE_LOC_010</t>
  </si>
  <si>
    <t xml:space="preserve">OSAT_ALT_85</t>
  </si>
  <si>
    <t xml:space="preserve">OSAT_LOC_024</t>
  </si>
  <si>
    <t xml:space="preserve">FE_ALT_24</t>
  </si>
  <si>
    <t xml:space="preserve">SIFO_ALT_54</t>
  </si>
  <si>
    <t xml:space="preserve">OSAT_LOC_076</t>
  </si>
  <si>
    <t xml:space="preserve">BE_LOC_042</t>
  </si>
  <si>
    <t xml:space="preserve">BE_LOC_001</t>
  </si>
  <si>
    <t xml:space="preserve">SIFO_LOC_049</t>
  </si>
  <si>
    <t xml:space="preserve">OSAT_LOC_061</t>
  </si>
  <si>
    <t xml:space="preserve">OSAT_LOC_037</t>
  </si>
  <si>
    <t xml:space="preserve">SIFO_ALT_34</t>
  </si>
  <si>
    <t xml:space="preserve">BE_ALT_34</t>
  </si>
  <si>
    <t xml:space="preserve">OSAT_LOC_005</t>
  </si>
  <si>
    <t xml:space="preserve">SIFO_ALT_40</t>
  </si>
  <si>
    <t xml:space="preserve">FE_ALT_40</t>
  </si>
  <si>
    <t xml:space="preserve">OSAT_ALT_29</t>
  </si>
  <si>
    <t xml:space="preserve">SIFO_ALT_86</t>
  </si>
  <si>
    <t xml:space="preserve">OSAT_ALT_86</t>
  </si>
  <si>
    <t xml:space="preserve">OSAT_ALT_63</t>
  </si>
  <si>
    <t xml:space="preserve">SIFO_ALT_16</t>
  </si>
  <si>
    <t xml:space="preserve">BE_ALT_16</t>
  </si>
  <si>
    <t xml:space="preserve">SIFO_ALT_76</t>
  </si>
  <si>
    <t xml:space="preserve">FE_ALT_76</t>
  </si>
  <si>
    <t xml:space="preserve">BE_LOC_048</t>
  </si>
  <si>
    <t xml:space="preserve">BE_LOC_051</t>
  </si>
  <si>
    <t xml:space="preserve">OSAT_LOC_055</t>
  </si>
  <si>
    <t xml:space="preserve">BE_ALT_40</t>
  </si>
  <si>
    <t xml:space="preserve">BE_ALT_19</t>
  </si>
  <si>
    <t xml:space="preserve">OSAT_LOC_051</t>
  </si>
  <si>
    <t xml:space="preserve">OSAT_LOC_007</t>
  </si>
  <si>
    <t xml:space="preserve">BE_LOC_071</t>
  </si>
  <si>
    <t xml:space="preserve">OSAT_LOC_035</t>
  </si>
  <si>
    <t xml:space="preserve">OSAT_LOC_025</t>
  </si>
  <si>
    <t xml:space="preserve">FE_ALT_06</t>
  </si>
  <si>
    <t xml:space="preserve">BE_ALT_06</t>
  </si>
  <si>
    <t xml:space="preserve">BE_ALT_37</t>
  </si>
  <si>
    <t xml:space="preserve">SIFO_ALT_48</t>
  </si>
  <si>
    <t xml:space="preserve">OSAT_ALT_48</t>
  </si>
  <si>
    <t xml:space="preserve">FE_ALT_02</t>
  </si>
  <si>
    <t xml:space="preserve">SIFO_ALT_03</t>
  </si>
  <si>
    <t xml:space="preserve">OSAT_ALT_39</t>
  </si>
  <si>
    <t xml:space="preserve">OSAT_ALT_06</t>
  </si>
  <si>
    <t xml:space="preserve">BE_ALT_08</t>
  </si>
  <si>
    <t xml:space="preserve">SIFO_ALT_10</t>
  </si>
  <si>
    <t xml:space="preserve">SIFO_ALT_79</t>
  </si>
  <si>
    <t xml:space="preserve">OSAT_ALT_81</t>
  </si>
  <si>
    <t xml:space="preserve">SIFO_ALT_11</t>
  </si>
  <si>
    <t xml:space="preserve">BE_ALT_13</t>
  </si>
  <si>
    <t xml:space="preserve">SIFO_ALT_19</t>
  </si>
  <si>
    <t xml:space="preserve">FE_ALT_21</t>
  </si>
  <si>
    <t xml:space="preserve">BE_ALT_22</t>
  </si>
  <si>
    <t xml:space="preserve">OSAT_ALT_26</t>
  </si>
  <si>
    <t xml:space="preserve">FE_ALT_38</t>
  </si>
  <si>
    <t xml:space="preserve">SIFO_ALT_23</t>
  </si>
  <si>
    <t xml:space="preserve">BE_ALT_25</t>
  </si>
  <si>
    <t xml:space="preserve">BE_ALT_55</t>
  </si>
  <si>
    <t xml:space="preserve">OSAT_ALT_57</t>
  </si>
  <si>
    <t xml:space="preserve">OSAT_ALT_58</t>
  </si>
  <si>
    <t xml:space="preserve">BE_ALT_60</t>
  </si>
  <si>
    <t xml:space="preserve">SIFO_ALT_30</t>
  </si>
  <si>
    <t xml:space="preserve">BE_ALT_32</t>
  </si>
  <si>
    <t xml:space="preserve">OSAT_ALT_34</t>
  </si>
  <si>
    <t xml:space="preserve">SIFO_ALT_05</t>
  </si>
  <si>
    <t xml:space="preserve">BE_ALT_07</t>
  </si>
  <si>
    <t xml:space="preserve">OSAT_ALT_52</t>
  </si>
  <si>
    <t xml:space="preserve">FE_ALT_41</t>
  </si>
  <si>
    <t xml:space="preserve">BE_ALT_43</t>
  </si>
  <si>
    <t xml:space="preserve">OSAT_ALT_44</t>
  </si>
  <si>
    <t xml:space="preserve">OSAT_ALT_46</t>
  </si>
  <si>
    <t xml:space="preserve">SIFO_ALT_13</t>
  </si>
  <si>
    <t xml:space="preserve">OSAT_ALT_15</t>
  </si>
  <si>
    <t xml:space="preserve">OSAT_ALT_04</t>
  </si>
  <si>
    <t xml:space="preserve">BE_ALT_48</t>
  </si>
  <si>
    <t xml:space="preserve">SIFO_ALT_50</t>
  </si>
  <si>
    <t xml:space="preserve">SIFO_ALT_53</t>
  </si>
  <si>
    <t xml:space="preserve">BE_ALT_63</t>
  </si>
  <si>
    <t xml:space="preserve">OSAT_ALT_28</t>
  </si>
  <si>
    <t xml:space="preserve">OSAT_ALT_30</t>
  </si>
  <si>
    <t xml:space="preserve">SIFO_ALT_63</t>
  </si>
  <si>
    <t xml:space="preserve">BE_ALT_65</t>
  </si>
  <si>
    <t xml:space="preserve">OSAT_ALT_27</t>
  </si>
  <si>
    <t xml:space="preserve">BE_ALT_26</t>
  </si>
  <si>
    <t xml:space="preserve">FE_ALT_89</t>
  </si>
  <si>
    <t xml:space="preserve">BE_ALT_01</t>
  </si>
  <si>
    <t xml:space="preserve">SIFO_ALT_69</t>
  </si>
  <si>
    <t xml:space="preserve">OSAT_ALT_71</t>
  </si>
  <si>
    <t xml:space="preserve">OSAT_ALT_12</t>
  </si>
  <si>
    <t xml:space="preserve">BE_ALT_14</t>
  </si>
  <si>
    <t xml:space="preserve">BE_ALT_02</t>
  </si>
  <si>
    <t xml:space="preserve">FE_ALT_29</t>
  </si>
  <si>
    <t xml:space="preserve">BE_ALT_31</t>
  </si>
  <si>
    <t xml:space="preserve">BE_ALT_12</t>
  </si>
  <si>
    <t xml:space="preserve">SIFO_ALT_15</t>
  </si>
  <si>
    <t xml:space="preserve">OSAT_ALT_17</t>
  </si>
  <si>
    <t xml:space="preserve">SIFO_ALT_29</t>
  </si>
  <si>
    <t xml:space="preserve">OSAT_ALT_82</t>
  </si>
  <si>
    <t xml:space="preserve">BE_ALT_84</t>
  </si>
  <si>
    <t xml:space="preserve">FE_ALT_32</t>
  </si>
  <si>
    <t xml:space="preserve">BE_ALT_35</t>
  </si>
  <si>
    <t xml:space="preserve">OSAT_ALT_37</t>
  </si>
  <si>
    <t xml:space="preserve">BE_ALT_38</t>
  </si>
  <si>
    <t xml:space="preserve">BE_ALT_78</t>
  </si>
  <si>
    <t xml:space="preserve">SIFO_ALT_80</t>
  </si>
  <si>
    <t xml:space="preserve">BE_ALT_20</t>
  </si>
  <si>
    <t xml:space="preserve">OSAT_ALT_88</t>
  </si>
  <si>
    <t xml:space="preserve">SIFO_ALT_45</t>
  </si>
  <si>
    <t xml:space="preserve">OSAT_ALT_47</t>
  </si>
  <si>
    <t xml:space="preserve">FE_ALT_25</t>
  </si>
  <si>
    <t xml:space="preserve">BE_ALT_27</t>
  </si>
  <si>
    <t xml:space="preserve">SIFO_ALT_55</t>
  </si>
  <si>
    <t xml:space="preserve">OSAT_ALT_56</t>
  </si>
  <si>
    <t xml:space="preserve">BE_ALT_58</t>
  </si>
  <si>
    <t xml:space="preserve">BE_ALT_76</t>
  </si>
  <si>
    <t xml:space="preserve">SIFO_ALT_78</t>
  </si>
  <si>
    <t xml:space="preserve">OSAT_ALT_22</t>
  </si>
  <si>
    <t xml:space="preserve">SIFO_ALT_35</t>
  </si>
  <si>
    <t xml:space="preserve">FE_ALT_81</t>
  </si>
  <si>
    <t xml:space="preserve">BE_ALT_82</t>
  </si>
  <si>
    <t xml:space="preserve">SIFO_ALT_85</t>
  </si>
  <si>
    <t xml:space="preserve">OSAT_ALT_87</t>
  </si>
  <si>
    <t xml:space="preserve">OSAT_ALT_80</t>
  </si>
  <si>
    <t xml:space="preserve">SIFO_ALT_87</t>
  </si>
  <si>
    <t xml:space="preserve">OSAT_ALT_89</t>
  </si>
  <si>
    <t xml:space="preserve">SIFO_ALT_17</t>
  </si>
  <si>
    <t xml:space="preserve">SIFO_ALT_25</t>
  </si>
  <si>
    <t xml:space="preserve">OSAT_ALT_76</t>
  </si>
  <si>
    <t xml:space="preserve">OSAT_ALT_78</t>
  </si>
  <si>
    <t xml:space="preserve">SIFO_ALT_41</t>
  </si>
  <si>
    <t xml:space="preserve">BE_ALT_50</t>
  </si>
  <si>
    <t xml:space="preserve">BE_ALT_52</t>
  </si>
  <si>
    <t xml:space="preserve">OSAT_ALT_90</t>
  </si>
  <si>
    <t xml:space="preserve">SIFO_ALT_43</t>
  </si>
  <si>
    <t xml:space="preserve">BE_ALT_45</t>
  </si>
  <si>
    <t xml:space="preserve">SIFO_ALT_49</t>
  </si>
  <si>
    <t xml:space="preserve">OSAT_ALT_51</t>
  </si>
  <si>
    <t xml:space="preserve">FE_ALT_03</t>
  </si>
  <si>
    <t xml:space="preserve">SIFO_ALT_07</t>
  </si>
  <si>
    <t xml:space="preserve">OSAT_ALT_10</t>
  </si>
  <si>
    <t xml:space="preserve">OSAT_ALT_07</t>
  </si>
  <si>
    <t xml:space="preserve">BE_ALT_09</t>
  </si>
  <si>
    <t xml:space="preserve">SIFO_ALT_12</t>
  </si>
  <si>
    <t xml:space="preserve">FE_ALT_20</t>
  </si>
  <si>
    <t xml:space="preserve">BE_ALT_61</t>
  </si>
  <si>
    <t xml:space="preserve">FE_ALT_39</t>
  </si>
  <si>
    <t xml:space="preserve">BE_ALT_74</t>
  </si>
  <si>
    <t xml:space="preserve">OSAT_ALT_25</t>
  </si>
  <si>
    <t xml:space="preserve">BE_ALT_29</t>
  </si>
  <si>
    <t xml:space="preserve">BE_ALT_57</t>
  </si>
  <si>
    <t xml:space="preserve">OSAT_ALT_35</t>
  </si>
  <si>
    <t xml:space="preserve">OSAT_ALT_75</t>
  </si>
  <si>
    <t xml:space="preserve">BE_ALT_79</t>
  </si>
  <si>
    <t xml:space="preserve">FE_ALT_44</t>
  </si>
  <si>
    <t xml:space="preserve">FE_ALT_42</t>
  </si>
  <si>
    <t xml:space="preserve">BE_ALT_46</t>
  </si>
  <si>
    <t xml:space="preserve">OSAT_ALT_45</t>
  </si>
  <si>
    <t xml:space="preserve">OSAT_ALT_49</t>
  </si>
  <si>
    <t xml:space="preserve">SIFO_ALT_36</t>
  </si>
  <si>
    <t xml:space="preserve">OSAT_ALT_40</t>
  </si>
  <si>
    <t xml:space="preserve">BE_ALT_67</t>
  </si>
  <si>
    <t xml:space="preserve">SIFO_ALT_33</t>
  </si>
  <si>
    <t xml:space="preserve">OSAT_ALT_01</t>
  </si>
  <si>
    <t xml:space="preserve">FE_ALT_63</t>
  </si>
  <si>
    <t xml:space="preserve">SIFO_ALT_67</t>
  </si>
  <si>
    <t xml:space="preserve">SIFO_ALT_64</t>
  </si>
  <si>
    <t xml:space="preserve">BE_ALT_68</t>
  </si>
  <si>
    <t xml:space="preserve">BE_ALT_66</t>
  </si>
  <si>
    <t xml:space="preserve">OSAT_ALT_70</t>
  </si>
  <si>
    <t xml:space="preserve">FE_ALT_74</t>
  </si>
  <si>
    <t xml:space="preserve">BE_ALT_49</t>
  </si>
  <si>
    <t xml:space="preserve">FE_ALT_68</t>
  </si>
  <si>
    <t xml:space="preserve">FE_ALT_82</t>
  </si>
  <si>
    <t xml:space="preserve">BE_ALT_86</t>
  </si>
  <si>
    <t xml:space="preserve">BE_ALT_17</t>
  </si>
  <si>
    <t xml:space="preserve">FE_ALT_30</t>
  </si>
  <si>
    <t xml:space="preserve">SIFO_ALT_18</t>
  </si>
  <si>
    <t xml:space="preserve">OSAT_ALT_09</t>
  </si>
  <si>
    <t xml:space="preserve">SIFO_ALT_58</t>
  </si>
  <si>
    <t xml:space="preserve">BE_ALT_62</t>
  </si>
  <si>
    <t xml:space="preserve">FE_ALT_51</t>
  </si>
  <si>
    <t xml:space="preserve">SIFO_ALT_83</t>
  </si>
  <si>
    <t xml:space="preserve">BE_ALT_47</t>
  </si>
  <si>
    <t xml:space="preserve">SIFO_ALT_46</t>
  </si>
  <si>
    <t xml:space="preserve">OSAT_ALT_50</t>
  </si>
  <si>
    <t xml:space="preserve">FE_ALT_52</t>
  </si>
  <si>
    <t xml:space="preserve">BE_ALT_56</t>
  </si>
  <si>
    <t xml:space="preserve">SIFO_ALT_56</t>
  </si>
  <si>
    <t xml:space="preserve">OSAT_ALT_60</t>
  </si>
  <si>
    <t xml:space="preserve">BE_ALT_59</t>
  </si>
  <si>
    <t xml:space="preserve">OSAT_ALT_19</t>
  </si>
  <si>
    <t xml:space="preserve">SIFO_ALT_52</t>
  </si>
  <si>
    <t xml:space="preserve">SIFO_ALT_22</t>
  </si>
  <si>
    <t xml:space="preserve">FE_ALT_26</t>
  </si>
  <si>
    <t xml:space="preserve">BE_ALT_83</t>
  </si>
  <si>
    <t xml:space="preserve">BE_ALT_87</t>
  </si>
  <si>
    <t xml:space="preserve">SIFO_ALT_06</t>
  </si>
  <si>
    <t xml:space="preserve">BE_ALT_44</t>
  </si>
  <si>
    <t xml:space="preserve">SIFO_ALT_26</t>
  </si>
  <si>
    <t xml:space="preserve">FE_ALT_46</t>
  </si>
  <si>
    <t xml:space="preserve">SIFO_ALT_42</t>
  </si>
  <si>
    <t xml:space="preserve">Reason</t>
  </si>
  <si>
    <t xml:space="preserve">LinkedDeliveries</t>
  </si>
  <si>
    <t xml:space="preserve">BestAvailableWeeks</t>
  </si>
  <si>
    <t xml:space="preserve">BestAvailableRoute</t>
  </si>
  <si>
    <t xml:space="preserve">RecommendedAction</t>
  </si>
  <si>
    <t xml:space="preserve">SIM-00007</t>
  </si>
  <si>
    <t xml:space="preserve">handling_infeasible</t>
  </si>
  <si>
    <t xml:space="preserve">No handling-compatible hub - source alternate hub / supplier exception</t>
  </si>
  <si>
    <t xml:space="preserve">SIM-00009</t>
  </si>
  <si>
    <t xml:space="preserve">capacity_escalation</t>
  </si>
  <si>
    <t xml:space="preserve">Exceeds quarter horizon - split order across periods or add capacity</t>
  </si>
  <si>
    <t xml:space="preserve">SIM-00013</t>
  </si>
  <si>
    <t xml:space="preserve">RO-03613</t>
  </si>
  <si>
    <t xml:space="preserve">SIM-00014</t>
  </si>
  <si>
    <t xml:space="preserve">SIM-00015</t>
  </si>
  <si>
    <t xml:space="preserve">SIM-00035</t>
  </si>
  <si>
    <t xml:space="preserve">SIM-00042</t>
  </si>
  <si>
    <t xml:space="preserve">SIM-00047</t>
  </si>
  <si>
    <t xml:space="preserve">SIM-00071</t>
  </si>
  <si>
    <t xml:space="preserve">SIM-00083</t>
  </si>
  <si>
    <t xml:space="preserve">RO-03683</t>
  </si>
  <si>
    <t xml:space="preserve">SIM-00086</t>
  </si>
  <si>
    <t xml:space="preserve">RO-00202</t>
  </si>
  <si>
    <t xml:space="preserve">SIM-00107</t>
  </si>
  <si>
    <t xml:space="preserve">SIM-00111</t>
  </si>
  <si>
    <t xml:space="preserve">SIM-00131</t>
  </si>
  <si>
    <t xml:space="preserve">SIM-00133</t>
  </si>
  <si>
    <t xml:space="preserve">SIM-00135</t>
  </si>
  <si>
    <t xml:space="preserve">SIM-00136</t>
  </si>
  <si>
    <t xml:space="preserve">RO-00832</t>
  </si>
  <si>
    <t xml:space="preserve">SIM-00147</t>
  </si>
  <si>
    <t xml:space="preserve">SIM-00151</t>
  </si>
  <si>
    <t xml:space="preserve">SIM-00160</t>
  </si>
  <si>
    <t xml:space="preserve">RO-00838</t>
  </si>
  <si>
    <t xml:space="preserve">SIM-00161</t>
  </si>
  <si>
    <t xml:space="preserve">RO-03681</t>
  </si>
  <si>
    <t xml:space="preserve">SIM-00171</t>
  </si>
  <si>
    <t xml:space="preserve">SIM-00172</t>
  </si>
  <si>
    <t xml:space="preserve">RO-02686</t>
  </si>
  <si>
    <t xml:space="preserve">SIM-00191</t>
  </si>
  <si>
    <t xml:space="preserve">SIM-00204</t>
  </si>
  <si>
    <t xml:space="preserve">RO-03788</t>
  </si>
  <si>
    <t xml:space="preserve">SIM-00207</t>
  </si>
  <si>
    <t xml:space="preserve">SIM-00208</t>
  </si>
  <si>
    <t xml:space="preserve">RO-02035</t>
  </si>
  <si>
    <t xml:space="preserve">SIM-00213</t>
  </si>
  <si>
    <t xml:space="preserve">RO-03691</t>
  </si>
  <si>
    <t xml:space="preserve">SIM-00214</t>
  </si>
  <si>
    <t xml:space="preserve">RO-03793</t>
  </si>
  <si>
    <t xml:space="preserve">SIM-00221</t>
  </si>
  <si>
    <t xml:space="preserve">SIM-00235</t>
  </si>
  <si>
    <t xml:space="preserve">RO-02705</t>
  </si>
  <si>
    <t xml:space="preserve">RO-01280</t>
  </si>
  <si>
    <t xml:space="preserve">RO-01097</t>
  </si>
  <si>
    <t xml:space="preserve">RO-01235</t>
  </si>
  <si>
    <t xml:space="preserve">RO-01403</t>
  </si>
  <si>
    <t xml:space="preserve">RO-01673</t>
  </si>
  <si>
    <t xml:space="preserve">RO-01679</t>
  </si>
  <si>
    <t xml:space="preserve">RO-02522</t>
  </si>
  <si>
    <t xml:space="preserve">RO-01847</t>
  </si>
  <si>
    <t xml:space="preserve">RO-00635</t>
  </si>
  <si>
    <t xml:space="preserve">RO-03050</t>
  </si>
  <si>
    <t xml:space="preserve">RO-00356</t>
  </si>
  <si>
    <t xml:space="preserve">RO-03185</t>
  </si>
  <si>
    <t xml:space="preserve">RO-03560</t>
  </si>
  <si>
    <t xml:space="preserve">RO-02535</t>
  </si>
  <si>
    <t xml:space="preserve">RO-01266</t>
  </si>
  <si>
    <t xml:space="preserve">RO-00081</t>
  </si>
  <si>
    <t xml:space="preserve">RO-01098</t>
  </si>
  <si>
    <t xml:space="preserve">RO-03156</t>
  </si>
  <si>
    <t xml:space="preserve">RO-00084</t>
  </si>
  <si>
    <t xml:space="preserve">RO-01986</t>
  </si>
  <si>
    <t xml:space="preserve">RO-00354</t>
  </si>
  <si>
    <t xml:space="preserve">RO-02400</t>
  </si>
  <si>
    <t xml:space="preserve">RO-02523</t>
  </si>
  <si>
    <t xml:space="preserve">RO-01848</t>
  </si>
  <si>
    <t xml:space="preserve">RO-02685</t>
  </si>
  <si>
    <t xml:space="preserve">RO-03036</t>
  </si>
  <si>
    <t xml:space="preserve">RO-00291</t>
  </si>
  <si>
    <t xml:space="preserve">RO-02397</t>
  </si>
  <si>
    <t xml:space="preserve">RO-03546</t>
  </si>
  <si>
    <t xml:space="preserve">RO-03561</t>
  </si>
  <si>
    <t xml:space="preserve">RO-03336</t>
  </si>
</sst>
</file>

<file path=xl/styles.xml><?xml version="1.0" encoding="utf-8"?>
<styleSheet xmlns="http://schemas.openxmlformats.org/spreadsheetml/2006/main">
  <numFmts count="3">
    <numFmt numFmtId="164" formatCode="General"/>
    <numFmt numFmtId="165" formatCode="0.0000"/>
    <numFmt numFmtId="166" formatCode="General"/>
  </numFmts>
  <fonts count="7">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s>
  <fills count="4">
    <fill>
      <patternFill patternType="none"/>
    </fill>
    <fill>
      <patternFill patternType="gray125"/>
    </fill>
    <fill>
      <patternFill patternType="solid">
        <fgColor rgb="FFD9D9D9"/>
        <bgColor rgb="FFC0C0C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7.35" hidden="false" customHeight="false" outlineLevel="0" collapsed="false">
      <c r="A1" s="1" t="s">
        <v>0</v>
      </c>
    </row>
    <row r="3" customFormat="false" ht="15" hidden="false" customHeight="false" outlineLevel="0" collapsed="false">
      <c r="A3" s="2" t="s">
        <v>1</v>
      </c>
      <c r="B3" s="2" t="s">
        <v>2</v>
      </c>
      <c r="C3" s="2" t="s">
        <v>3</v>
      </c>
      <c r="D3" s="2" t="s">
        <v>4</v>
      </c>
    </row>
    <row r="4" customFormat="false" ht="15" hidden="false" customHeight="false" outlineLevel="0" collapsed="false">
      <c r="A4" s="3" t="s">
        <v>5</v>
      </c>
      <c r="B4" s="4" t="n">
        <f aca="false">AVERAGE(DeliveryScores!$M$2:$M$167)</f>
        <v>0.1425139770318</v>
      </c>
      <c r="C4" s="4" t="n">
        <f aca="false">AVERAGE(DeliveryScores!$M$168:$M$313)</f>
        <v>0.345725513814214</v>
      </c>
      <c r="D4" s="4" t="n">
        <f aca="false">AVERAGE(DeliveryScores!$M$314:$M$466)</f>
        <v>0.297555754460709</v>
      </c>
    </row>
    <row r="5" customFormat="false" ht="15" hidden="false" customHeight="false" outlineLevel="0" collapsed="false">
      <c r="A5" s="3" t="s">
        <v>6</v>
      </c>
      <c r="B5" s="4" t="n">
        <f aca="false">MEDIAN(DeliveryScores!$M$2:$M$167)</f>
        <v>0.117748327646995</v>
      </c>
      <c r="C5" s="4" t="n">
        <f aca="false">MEDIAN(DeliveryScores!$M$168:$M$313)</f>
        <v>0.309891657591259</v>
      </c>
      <c r="D5" s="4" t="n">
        <f aca="false">MEDIAN(DeliveryScores!$M$314:$M$466)</f>
        <v>0.251614833879835</v>
      </c>
    </row>
    <row r="6" customFormat="false" ht="15" hidden="false" customHeight="false" outlineLevel="0" collapsed="false">
      <c r="A6" s="3" t="s">
        <v>7</v>
      </c>
      <c r="B6" s="4" t="n">
        <f aca="false">STDEV(DeliveryScores!$M$2:$M$167)</f>
        <v>0.107163652484235</v>
      </c>
      <c r="C6" s="4" t="n">
        <f aca="false">STDEV(DeliveryScores!$M$168:$M$313)</f>
        <v>0.140180638807505</v>
      </c>
      <c r="D6" s="4" t="n">
        <f aca="false">STDEV(DeliveryScores!$M$314:$M$466)</f>
        <v>0.13955787647657</v>
      </c>
    </row>
    <row r="7" customFormat="false" ht="15" hidden="false" customHeight="false" outlineLevel="0" collapsed="false">
      <c r="A7" s="3" t="s">
        <v>8</v>
      </c>
      <c r="B7" s="4" t="n">
        <f aca="false">MIN(DeliveryScores!$M$2:$M$167)</f>
        <v>0.00103204795034636</v>
      </c>
      <c r="C7" s="4" t="n">
        <f aca="false">MIN(DeliveryScores!$M$168:$M$313)</f>
        <v>0.160649975454711</v>
      </c>
      <c r="D7" s="4" t="n">
        <f aca="false">MIN(DeliveryScores!$M$314:$M$466)</f>
        <v>0.0904934838459869</v>
      </c>
    </row>
    <row r="8" customFormat="false" ht="15" hidden="false" customHeight="false" outlineLevel="0" collapsed="false">
      <c r="A8" s="3" t="s">
        <v>9</v>
      </c>
      <c r="B8" s="4" t="n">
        <f aca="false">MAX(DeliveryScores!$M$2:$M$167)</f>
        <v>0.493533145574405</v>
      </c>
      <c r="C8" s="4" t="n">
        <f aca="false">MAX(DeliveryScores!$M$168:$M$313)</f>
        <v>0.755812821511053</v>
      </c>
      <c r="D8" s="4" t="n">
        <f aca="false">MAX(DeliveryScores!$M$314:$M$466)</f>
        <v>0.676454271676052</v>
      </c>
    </row>
    <row r="9" customFormat="false" ht="15" hidden="false" customHeight="false" outlineLevel="0" collapsed="false">
      <c r="A9" s="3" t="s">
        <v>10</v>
      </c>
      <c r="B9" s="3" t="s">
        <v>11</v>
      </c>
      <c r="C9" s="3" t="s">
        <v>12</v>
      </c>
      <c r="D9" s="3" t="s">
        <v>13</v>
      </c>
    </row>
    <row r="10" customFormat="false" ht="15" hidden="false" customHeight="false" outlineLevel="0" collapsed="false">
      <c r="A10" s="3" t="s">
        <v>14</v>
      </c>
      <c r="B10" s="3" t="s">
        <v>15</v>
      </c>
      <c r="C10" s="3" t="s">
        <v>16</v>
      </c>
      <c r="D10" s="3" t="s">
        <v>17</v>
      </c>
    </row>
    <row r="11" customFormat="false" ht="15" hidden="false" customHeight="false" outlineLevel="0" collapsed="false">
      <c r="A11" s="3" t="s">
        <v>18</v>
      </c>
      <c r="B11" s="3" t="n">
        <v>27</v>
      </c>
      <c r="C11" s="3" t="n">
        <v>23</v>
      </c>
      <c r="D11" s="3" t="n">
        <v>21</v>
      </c>
    </row>
    <row r="12" customFormat="false" ht="15" hidden="false" customHeight="false" outlineLevel="0" collapsed="false">
      <c r="A12" s="3" t="s">
        <v>19</v>
      </c>
      <c r="B12" s="3" t="n">
        <v>34</v>
      </c>
      <c r="C12" s="3" t="n">
        <v>43</v>
      </c>
      <c r="D12" s="3" t="n">
        <v>39</v>
      </c>
    </row>
    <row r="14" customFormat="false" ht="15" hidden="false" customHeight="false" outlineLevel="0" collapsed="false">
      <c r="A14" s="5" t="s">
        <v>20</v>
      </c>
    </row>
    <row r="15" customFormat="false" ht="15" hidden="false" customHeight="false" outlineLevel="0" collapsed="false">
      <c r="A15" s="3" t="s">
        <v>21</v>
      </c>
      <c r="B15" s="4" t="n">
        <f aca="false">AVERAGE(BaselineScores!$M$2:$M$143)</f>
        <v>0.163873336834104</v>
      </c>
    </row>
    <row r="16" customFormat="false" ht="15" hidden="false" customHeight="false" outlineLevel="0" collapsed="false">
      <c r="A16" s="3" t="s">
        <v>22</v>
      </c>
      <c r="B16" s="4" t="n">
        <f aca="false">QUARTILE(BaselineScores!$M$2:$M$143,1)</f>
        <v>0.0834635648853397</v>
      </c>
    </row>
    <row r="17" customFormat="false" ht="15" hidden="false" customHeight="false" outlineLevel="0" collapsed="false">
      <c r="A17" s="3" t="s">
        <v>23</v>
      </c>
      <c r="B17" s="4" t="n">
        <f aca="false">QUARTILE(BaselineScores!$M$2:$M$143,3)</f>
        <v>0.18767585359006</v>
      </c>
    </row>
    <row r="18" customFormat="false" ht="15" hidden="false" customHeight="false" outlineLevel="0" collapsed="false">
      <c r="A18" s="5" t="s">
        <v>24</v>
      </c>
      <c r="B18" s="5" t="str">
        <f aca="false">IF($B$4&lt;$B$15,"YES - average below baseline","NO")</f>
        <v>YES - average below baseline</v>
      </c>
    </row>
    <row r="19" customFormat="false" ht="15" hidden="false" customHeight="false" outlineLevel="0" collapsed="false">
      <c r="A19" s="5" t="s">
        <v>25</v>
      </c>
      <c r="B19" s="5" t="str">
        <f aca="false">IF($B$4&lt;=$B$16,"YES - at/below Q1","NO - above Q1")</f>
        <v>NO - above Q1</v>
      </c>
    </row>
    <row r="20" customFormat="false" ht="15" hidden="false" customHeight="false" outlineLevel="0" collapsed="false">
      <c r="A20" s="5" t="s">
        <v>26</v>
      </c>
      <c r="B20" s="5" t="str">
        <f aca="false">IF($B$4&gt;$B$17,"FLAG - above Q3","OK - not above Q3")</f>
        <v>OK - not above Q3</v>
      </c>
    </row>
    <row r="21" customFormat="false" ht="15" hidden="false" customHeight="false" outlineLevel="0" collapsed="false">
      <c r="A21" s="5" t="s">
        <v>27</v>
      </c>
      <c r="B21" s="5" t="s">
        <v>28</v>
      </c>
    </row>
    <row r="22" customFormat="false" ht="15" hidden="false" customHeight="false" outlineLevel="0" collapsed="false">
      <c r="A22" s="3" t="s">
        <v>29</v>
      </c>
    </row>
    <row r="24" customFormat="false" ht="57.45" hidden="false" customHeight="false" outlineLevel="0" collapsed="false">
      <c r="A24" s="5" t="s">
        <v>30</v>
      </c>
      <c r="B24" s="6" t="s">
        <v>31</v>
      </c>
    </row>
    <row r="25" customFormat="false" ht="57.45" hidden="false" customHeight="false" outlineLevel="0" collapsed="false">
      <c r="A25" s="5" t="s">
        <v>32</v>
      </c>
      <c r="B25" s="6" t="s">
        <v>33</v>
      </c>
    </row>
    <row r="27" customFormat="false" ht="15" hidden="false" customHeight="false" outlineLevel="0" collapsed="false">
      <c r="A27" s="3"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0"/>
  </cols>
  <sheetData>
    <row r="1" customFormat="false" ht="17.35" hidden="false" customHeight="false" outlineLevel="0" collapsed="false">
      <c r="A1" s="1" t="s">
        <v>35</v>
      </c>
    </row>
    <row r="3" customFormat="false" ht="17.35" hidden="false" customHeight="false" outlineLevel="0" collapsed="false">
      <c r="A3" s="1" t="s">
        <v>36</v>
      </c>
    </row>
    <row r="4" customFormat="false" ht="15" hidden="false" customHeight="false" outlineLevel="0" collapsed="false">
      <c r="A4" s="5" t="s">
        <v>30</v>
      </c>
      <c r="B4" s="6" t="s">
        <v>31</v>
      </c>
    </row>
    <row r="5" customFormat="false" ht="23.85" hidden="false" customHeight="false" outlineLevel="0" collapsed="false">
      <c r="A5" s="5" t="s">
        <v>32</v>
      </c>
      <c r="B5" s="6" t="s">
        <v>33</v>
      </c>
    </row>
    <row r="7" customFormat="false" ht="35.05" hidden="false" customHeight="false" outlineLevel="0" collapsed="false">
      <c r="A7" s="5" t="s">
        <v>37</v>
      </c>
      <c r="B7" s="6" t="s">
        <v>38</v>
      </c>
    </row>
    <row r="8" customFormat="false" ht="35.05" hidden="false" customHeight="false" outlineLevel="0" collapsed="false">
      <c r="A8" s="5" t="s">
        <v>39</v>
      </c>
      <c r="B8" s="6" t="s">
        <v>40</v>
      </c>
    </row>
    <row r="9" customFormat="false" ht="35.05" hidden="false" customHeight="false" outlineLevel="0" collapsed="false">
      <c r="A9" s="5" t="s">
        <v>41</v>
      </c>
      <c r="B9" s="6" t="s">
        <v>42</v>
      </c>
    </row>
    <row r="10" customFormat="false" ht="46.25" hidden="false" customHeight="false" outlineLevel="0" collapsed="false">
      <c r="A10" s="5" t="s">
        <v>43</v>
      </c>
      <c r="B10" s="6" t="s">
        <v>44</v>
      </c>
    </row>
    <row r="11" customFormat="false" ht="15" hidden="false" customHeight="false" outlineLevel="0" collapsed="false">
      <c r="A11" s="5" t="s">
        <v>45</v>
      </c>
      <c r="B11" s="6" t="s">
        <v>46</v>
      </c>
    </row>
    <row r="12" customFormat="false" ht="46.25" hidden="false" customHeight="false" outlineLevel="0" collapsed="false">
      <c r="A12" s="5" t="s">
        <v>47</v>
      </c>
      <c r="B12" s="6" t="s">
        <v>48</v>
      </c>
    </row>
    <row r="13" customFormat="false" ht="35.05" hidden="false" customHeight="false" outlineLevel="0" collapsed="false">
      <c r="A13" s="5" t="s">
        <v>49</v>
      </c>
      <c r="B13" s="6" t="s">
        <v>50</v>
      </c>
    </row>
    <row r="14" customFormat="false" ht="15" hidden="false" customHeight="false" outlineLevel="0" collapsed="false">
      <c r="A14" s="5" t="s">
        <v>51</v>
      </c>
      <c r="B14" s="6" t="s">
        <v>52</v>
      </c>
    </row>
    <row r="16" customFormat="false" ht="15" hidden="false" customHeight="false" outlineLevel="0" collapsed="false">
      <c r="A16" s="5" t="s">
        <v>53</v>
      </c>
    </row>
    <row r="17" customFormat="false" ht="15" hidden="false" customHeight="false" outlineLevel="0" collapsed="false">
      <c r="A17" s="3" t="s">
        <v>54</v>
      </c>
      <c r="B17" s="7" t="n">
        <v>1</v>
      </c>
      <c r="C17" s="7" t="n">
        <v>12</v>
      </c>
    </row>
    <row r="18" customFormat="false" ht="15" hidden="false" customHeight="false" outlineLevel="0" collapsed="false">
      <c r="A18" s="3" t="s">
        <v>55</v>
      </c>
      <c r="B18" s="7" t="n">
        <v>0.0608789625360231</v>
      </c>
      <c r="C18" s="7" t="n">
        <v>806</v>
      </c>
    </row>
    <row r="19" customFormat="false" ht="15" hidden="false" customHeight="false" outlineLevel="0" collapsed="false">
      <c r="A19" s="3" t="s">
        <v>56</v>
      </c>
      <c r="B19" s="7" t="n">
        <v>0.6</v>
      </c>
      <c r="C19" s="7" t="n">
        <v>4.7</v>
      </c>
    </row>
    <row r="21" customFormat="false" ht="15" hidden="false" customHeight="false" outlineLevel="0" collapsed="false">
      <c r="A21" s="5" t="s">
        <v>57</v>
      </c>
    </row>
    <row r="22" customFormat="false" ht="15" hidden="false" customHeight="true" outlineLevel="0" collapsed="false">
      <c r="A22" s="8" t="s">
        <v>58</v>
      </c>
      <c r="B22" s="8"/>
      <c r="C22" s="8"/>
      <c r="D22" s="8"/>
      <c r="E22" s="8"/>
      <c r="F22" s="8"/>
    </row>
    <row r="23" customFormat="false" ht="15" hidden="false" customHeight="false" outlineLevel="0" collapsed="false">
      <c r="A23" s="8"/>
      <c r="B23" s="8"/>
      <c r="C23" s="8"/>
      <c r="D23" s="8"/>
      <c r="E23" s="8"/>
      <c r="F23" s="8"/>
    </row>
    <row r="24" customFormat="false" ht="15" hidden="false" customHeight="false" outlineLevel="0" collapsed="false">
      <c r="A24" s="8"/>
      <c r="B24" s="8"/>
      <c r="C24" s="8"/>
      <c r="D24" s="8"/>
      <c r="E24" s="8"/>
      <c r="F24" s="8"/>
    </row>
    <row r="25" customFormat="false" ht="15" hidden="false" customHeight="false" outlineLevel="0" collapsed="false">
      <c r="A25" s="8"/>
      <c r="B25" s="8"/>
      <c r="C25" s="8"/>
      <c r="D25" s="8"/>
      <c r="E25" s="8"/>
      <c r="F25" s="8"/>
    </row>
    <row r="26" customFormat="false" ht="15" hidden="false" customHeight="false" outlineLevel="0" collapsed="false">
      <c r="A26" s="8"/>
      <c r="B26" s="8"/>
      <c r="C26" s="8"/>
      <c r="D26" s="8"/>
      <c r="E26" s="8"/>
      <c r="F26" s="8"/>
    </row>
    <row r="27" customFormat="false" ht="15" hidden="false" customHeight="false" outlineLevel="0" collapsed="false">
      <c r="A27" s="8"/>
      <c r="B27" s="8"/>
      <c r="C27" s="8"/>
      <c r="D27" s="8"/>
      <c r="E27" s="8"/>
      <c r="F27" s="8"/>
    </row>
    <row r="28" customFormat="false" ht="15" hidden="false" customHeight="false" outlineLevel="0" collapsed="false">
      <c r="A28" s="8"/>
      <c r="B28" s="8"/>
      <c r="C28" s="8"/>
      <c r="D28" s="8"/>
      <c r="E28" s="8"/>
      <c r="F28" s="8"/>
    </row>
    <row r="29" customFormat="false" ht="15" hidden="false" customHeight="false" outlineLevel="0" collapsed="false">
      <c r="A29" s="8"/>
      <c r="B29" s="8"/>
      <c r="C29" s="8"/>
      <c r="D29" s="8"/>
      <c r="E29" s="8"/>
      <c r="F29" s="8"/>
    </row>
  </sheetData>
  <mergeCells count="1">
    <mergeCell ref="A22: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5" hidden="false" customHeight="false" outlineLevel="0" collapsed="false">
      <c r="A1" s="2" t="s">
        <v>59</v>
      </c>
      <c r="B1" s="2" t="s">
        <v>60</v>
      </c>
      <c r="C1" s="2" t="s">
        <v>61</v>
      </c>
      <c r="D1" s="2" t="s">
        <v>62</v>
      </c>
      <c r="E1" s="2" t="s">
        <v>63</v>
      </c>
      <c r="F1" s="2" t="s">
        <v>64</v>
      </c>
      <c r="G1" s="2" t="s">
        <v>65</v>
      </c>
      <c r="H1" s="2" t="s">
        <v>66</v>
      </c>
      <c r="I1" s="2" t="s">
        <v>67</v>
      </c>
      <c r="J1" s="2" t="s">
        <v>68</v>
      </c>
      <c r="K1" s="2" t="s">
        <v>69</v>
      </c>
      <c r="L1" s="2" t="s">
        <v>70</v>
      </c>
      <c r="M1" s="2" t="s">
        <v>71</v>
      </c>
    </row>
    <row r="2" customFormat="false" ht="15" hidden="false" customHeight="false" outlineLevel="0" collapsed="false">
      <c r="A2" s="3" t="s">
        <v>2</v>
      </c>
      <c r="B2" s="3" t="s">
        <v>72</v>
      </c>
      <c r="C2" s="3" t="s">
        <v>73</v>
      </c>
      <c r="D2" s="3" t="s">
        <v>74</v>
      </c>
      <c r="E2" s="3" t="n">
        <v>4</v>
      </c>
      <c r="F2" s="3" t="n">
        <v>2</v>
      </c>
      <c r="G2" s="3" t="n">
        <v>497</v>
      </c>
      <c r="H2" s="4" t="n">
        <f aca="false">G2/E2</f>
        <v>124.25</v>
      </c>
      <c r="I2" s="3" t="n">
        <v>1.2</v>
      </c>
      <c r="J2" s="4" t="n">
        <f aca="false">(F2-Assumptions!$B$17)/(Assumptions!$C$17-Assumptions!$B$17)</f>
        <v>0.0909090909090909</v>
      </c>
      <c r="K2" s="4" t="n">
        <f aca="false">(H2-Assumptions!$B$18)/(Assumptions!$C$18-Assumptions!$B$18)</f>
        <v>0.15409243427419</v>
      </c>
      <c r="L2" s="4" t="n">
        <f aca="false">(I2-Assumptions!$B$19)/(Assumptions!$C$19-Assumptions!$B$19)</f>
        <v>0.146341463414634</v>
      </c>
      <c r="M2" s="4" t="n">
        <f aca="false">0.4*J2+0.4*K2+0.2*L2</f>
        <v>0.127268902756239</v>
      </c>
    </row>
    <row r="3" customFormat="false" ht="15" hidden="false" customHeight="false" outlineLevel="0" collapsed="false">
      <c r="A3" s="3" t="s">
        <v>2</v>
      </c>
      <c r="B3" s="3" t="s">
        <v>75</v>
      </c>
      <c r="C3" s="3" t="s">
        <v>73</v>
      </c>
      <c r="D3" s="3" t="s">
        <v>74</v>
      </c>
      <c r="E3" s="3" t="n">
        <v>1</v>
      </c>
      <c r="F3" s="3" t="n">
        <v>2</v>
      </c>
      <c r="G3" s="3" t="n">
        <v>497</v>
      </c>
      <c r="H3" s="4" t="n">
        <f aca="false">G3/E3</f>
        <v>497</v>
      </c>
      <c r="I3" s="3" t="n">
        <v>1.2</v>
      </c>
      <c r="J3" s="4" t="n">
        <f aca="false">(F3-Assumptions!$B$17)/(Assumptions!$C$17-Assumptions!$B$17)</f>
        <v>0.0909090909090909</v>
      </c>
      <c r="K3" s="4" t="n">
        <f aca="false">(H3-Assumptions!$B$18)/(Assumptions!$C$18-Assumptions!$B$18)</f>
        <v>0.616596350848148</v>
      </c>
      <c r="L3" s="4" t="n">
        <f aca="false">(I3-Assumptions!$B$19)/(Assumptions!$C$19-Assumptions!$B$19)</f>
        <v>0.146341463414634</v>
      </c>
      <c r="M3" s="4" t="n">
        <f aca="false">0.4*J3+0.4*K3+0.2*L3</f>
        <v>0.312270469385822</v>
      </c>
    </row>
    <row r="4" customFormat="false" ht="15" hidden="false" customHeight="false" outlineLevel="0" collapsed="false">
      <c r="A4" s="3" t="s">
        <v>2</v>
      </c>
      <c r="B4" s="3" t="s">
        <v>76</v>
      </c>
      <c r="C4" s="3" t="s">
        <v>77</v>
      </c>
      <c r="D4" s="3" t="s">
        <v>78</v>
      </c>
      <c r="E4" s="3" t="n">
        <v>1063.5</v>
      </c>
      <c r="F4" s="3" t="n">
        <v>4</v>
      </c>
      <c r="G4" s="3" t="n">
        <v>249</v>
      </c>
      <c r="H4" s="4" t="n">
        <f aca="false">G4/E4</f>
        <v>0.234132581100141</v>
      </c>
      <c r="I4" s="3" t="n">
        <v>1.8</v>
      </c>
      <c r="J4" s="4" t="n">
        <f aca="false">(F4-Assumptions!$B$17)/(Assumptions!$C$17-Assumptions!$B$17)</f>
        <v>0.272727272727273</v>
      </c>
      <c r="K4" s="4" t="n">
        <f aca="false">(H4-Assumptions!$B$18)/(Assumptions!$C$18-Assumptions!$B$18)</f>
        <v>0.000214971098984615</v>
      </c>
      <c r="L4" s="4" t="n">
        <f aca="false">(I4-Assumptions!$B$19)/(Assumptions!$C$19-Assumptions!$B$19)</f>
        <v>0.292682926829268</v>
      </c>
      <c r="M4" s="4" t="n">
        <f aca="false">0.4*J4+0.4*K4+0.2*L4</f>
        <v>0.167713482896357</v>
      </c>
    </row>
    <row r="5" customFormat="false" ht="15" hidden="false" customHeight="false" outlineLevel="0" collapsed="false">
      <c r="A5" s="3" t="s">
        <v>2</v>
      </c>
      <c r="B5" s="3" t="s">
        <v>79</v>
      </c>
      <c r="C5" s="3" t="s">
        <v>77</v>
      </c>
      <c r="D5" s="3" t="s">
        <v>78</v>
      </c>
      <c r="E5" s="3" t="n">
        <v>36</v>
      </c>
      <c r="F5" s="3" t="n">
        <v>4</v>
      </c>
      <c r="G5" s="3" t="n">
        <v>249</v>
      </c>
      <c r="H5" s="4" t="n">
        <f aca="false">G5/E5</f>
        <v>6.91666666666667</v>
      </c>
      <c r="I5" s="3" t="n">
        <v>1.8</v>
      </c>
      <c r="J5" s="4" t="n">
        <f aca="false">(F5-Assumptions!$B$17)/(Assumptions!$C$17-Assumptions!$B$17)</f>
        <v>0.272727272727273</v>
      </c>
      <c r="K5" s="4" t="n">
        <f aca="false">(H5-Assumptions!$B$18)/(Assumptions!$C$18-Assumptions!$B$18)</f>
        <v>0.00850658260056339</v>
      </c>
      <c r="L5" s="4" t="n">
        <f aca="false">(I5-Assumptions!$B$19)/(Assumptions!$C$19-Assumptions!$B$19)</f>
        <v>0.292682926829268</v>
      </c>
      <c r="M5" s="4" t="n">
        <f aca="false">0.4*J5+0.4*K5+0.2*L5</f>
        <v>0.171030127496988</v>
      </c>
    </row>
    <row r="6" customFormat="false" ht="15" hidden="false" customHeight="false" outlineLevel="0" collapsed="false">
      <c r="A6" s="3" t="s">
        <v>2</v>
      </c>
      <c r="B6" s="3" t="s">
        <v>80</v>
      </c>
      <c r="C6" s="3" t="s">
        <v>81</v>
      </c>
      <c r="D6" s="3" t="s">
        <v>82</v>
      </c>
      <c r="E6" s="3" t="n">
        <v>2113.5</v>
      </c>
      <c r="F6" s="3" t="n">
        <v>3</v>
      </c>
      <c r="G6" s="3" t="n">
        <v>712</v>
      </c>
      <c r="H6" s="4" t="n">
        <f aca="false">G6/E6</f>
        <v>0.336881949373078</v>
      </c>
      <c r="I6" s="3" t="n">
        <v>1.5</v>
      </c>
      <c r="J6" s="4" t="n">
        <f aca="false">(F6-Assumptions!$B$17)/(Assumptions!$C$17-Assumptions!$B$17)</f>
        <v>0.181818181818182</v>
      </c>
      <c r="K6" s="4" t="n">
        <f aca="false">(H6-Assumptions!$B$18)/(Assumptions!$C$18-Assumptions!$B$18)</f>
        <v>0.000342461334401739</v>
      </c>
      <c r="L6" s="4" t="n">
        <f aca="false">(I6-Assumptions!$B$19)/(Assumptions!$C$19-Assumptions!$B$19)</f>
        <v>0.219512195121951</v>
      </c>
      <c r="M6" s="4" t="n">
        <f aca="false">0.4*J6+0.4*K6+0.2*L6</f>
        <v>0.116766696285424</v>
      </c>
    </row>
    <row r="7" customFormat="false" ht="15" hidden="false" customHeight="false" outlineLevel="0" collapsed="false">
      <c r="A7" s="3" t="s">
        <v>2</v>
      </c>
      <c r="B7" s="3" t="s">
        <v>83</v>
      </c>
      <c r="C7" s="3" t="s">
        <v>81</v>
      </c>
      <c r="D7" s="3" t="s">
        <v>82</v>
      </c>
      <c r="E7" s="3" t="n">
        <v>4.5</v>
      </c>
      <c r="F7" s="3" t="n">
        <v>3</v>
      </c>
      <c r="G7" s="3" t="n">
        <v>712</v>
      </c>
      <c r="H7" s="4" t="n">
        <f aca="false">G7/E7</f>
        <v>158.222222222222</v>
      </c>
      <c r="I7" s="3" t="n">
        <v>1.5</v>
      </c>
      <c r="J7" s="4" t="n">
        <f aca="false">(F7-Assumptions!$B$17)/(Assumptions!$C$17-Assumptions!$B$17)</f>
        <v>0.181818181818182</v>
      </c>
      <c r="K7" s="4" t="n">
        <f aca="false">(H7-Assumptions!$B$18)/(Assumptions!$C$18-Assumptions!$B$18)</f>
        <v>0.196244777218519</v>
      </c>
      <c r="L7" s="4" t="n">
        <f aca="false">(I7-Assumptions!$B$19)/(Assumptions!$C$19-Assumptions!$B$19)</f>
        <v>0.219512195121951</v>
      </c>
      <c r="M7" s="4" t="n">
        <f aca="false">0.4*J7+0.4*K7+0.2*L7</f>
        <v>0.195127622639071</v>
      </c>
    </row>
    <row r="8" customFormat="false" ht="15" hidden="false" customHeight="false" outlineLevel="0" collapsed="false">
      <c r="A8" s="3" t="s">
        <v>2</v>
      </c>
      <c r="B8" s="3" t="s">
        <v>84</v>
      </c>
      <c r="C8" s="3" t="s">
        <v>85</v>
      </c>
      <c r="D8" s="3" t="s">
        <v>86</v>
      </c>
      <c r="E8" s="3" t="n">
        <v>208</v>
      </c>
      <c r="F8" s="3" t="n">
        <v>4</v>
      </c>
      <c r="G8" s="3" t="n">
        <v>588</v>
      </c>
      <c r="H8" s="4" t="n">
        <f aca="false">G8/E8</f>
        <v>2.82692307692308</v>
      </c>
      <c r="I8" s="3" t="n">
        <v>1.5</v>
      </c>
      <c r="J8" s="4" t="n">
        <f aca="false">(F8-Assumptions!$B$17)/(Assumptions!$C$17-Assumptions!$B$17)</f>
        <v>0.272727272727273</v>
      </c>
      <c r="K8" s="4" t="n">
        <f aca="false">(H8-Assumptions!$B$18)/(Assumptions!$C$18-Assumptions!$B$18)</f>
        <v>0.00343207575136246</v>
      </c>
      <c r="L8" s="4" t="n">
        <f aca="false">(I8-Assumptions!$B$19)/(Assumptions!$C$19-Assumptions!$B$19)</f>
        <v>0.219512195121951</v>
      </c>
      <c r="M8" s="4" t="n">
        <f aca="false">0.4*J8+0.4*K8+0.2*L8</f>
        <v>0.154366178415844</v>
      </c>
    </row>
    <row r="9" customFormat="false" ht="15" hidden="false" customHeight="false" outlineLevel="0" collapsed="false">
      <c r="A9" s="3" t="s">
        <v>2</v>
      </c>
      <c r="B9" s="3" t="s">
        <v>87</v>
      </c>
      <c r="C9" s="3" t="s">
        <v>85</v>
      </c>
      <c r="D9" s="3" t="s">
        <v>86</v>
      </c>
      <c r="E9" s="3" t="n">
        <v>168.5</v>
      </c>
      <c r="F9" s="3" t="n">
        <v>4</v>
      </c>
      <c r="G9" s="3" t="n">
        <v>588</v>
      </c>
      <c r="H9" s="4" t="n">
        <f aca="false">G9/E9</f>
        <v>3.48961424332344</v>
      </c>
      <c r="I9" s="3" t="n">
        <v>1.5</v>
      </c>
      <c r="J9" s="4" t="n">
        <f aca="false">(F9-Assumptions!$B$17)/(Assumptions!$C$17-Assumptions!$B$17)</f>
        <v>0.272727272727273</v>
      </c>
      <c r="K9" s="4" t="n">
        <f aca="false">(H9-Assumptions!$B$18)/(Assumptions!$C$18-Assumptions!$B$18)</f>
        <v>0.00425433533537086</v>
      </c>
      <c r="L9" s="4" t="n">
        <f aca="false">(I9-Assumptions!$B$19)/(Assumptions!$C$19-Assumptions!$B$19)</f>
        <v>0.219512195121951</v>
      </c>
      <c r="M9" s="4" t="n">
        <f aca="false">0.4*J9+0.4*K9+0.2*L9</f>
        <v>0.154695082249448</v>
      </c>
    </row>
    <row r="10" customFormat="false" ht="15" hidden="false" customHeight="false" outlineLevel="0" collapsed="false">
      <c r="A10" s="3" t="s">
        <v>2</v>
      </c>
      <c r="B10" s="3" t="s">
        <v>88</v>
      </c>
      <c r="C10" s="3" t="s">
        <v>85</v>
      </c>
      <c r="D10" s="3" t="s">
        <v>86</v>
      </c>
      <c r="E10" s="3" t="n">
        <v>187</v>
      </c>
      <c r="F10" s="3" t="n">
        <v>4</v>
      </c>
      <c r="G10" s="3" t="n">
        <v>588</v>
      </c>
      <c r="H10" s="4" t="n">
        <f aca="false">G10/E10</f>
        <v>3.14438502673797</v>
      </c>
      <c r="I10" s="3" t="n">
        <v>1.5</v>
      </c>
      <c r="J10" s="4" t="n">
        <f aca="false">(F10-Assumptions!$B$17)/(Assumptions!$C$17-Assumptions!$B$17)</f>
        <v>0.272727272727273</v>
      </c>
      <c r="K10" s="4" t="n">
        <f aca="false">(H10-Assumptions!$B$18)/(Assumptions!$C$18-Assumptions!$B$18)</f>
        <v>0.00382597889060483</v>
      </c>
      <c r="L10" s="4" t="n">
        <f aca="false">(I10-Assumptions!$B$19)/(Assumptions!$C$19-Assumptions!$B$19)</f>
        <v>0.219512195121951</v>
      </c>
      <c r="M10" s="4" t="n">
        <f aca="false">0.4*J10+0.4*K10+0.2*L10</f>
        <v>0.154523739671541</v>
      </c>
    </row>
    <row r="11" customFormat="false" ht="15" hidden="false" customHeight="false" outlineLevel="0" collapsed="false">
      <c r="A11" s="3" t="s">
        <v>2</v>
      </c>
      <c r="B11" s="3" t="s">
        <v>89</v>
      </c>
      <c r="C11" s="3" t="s">
        <v>90</v>
      </c>
      <c r="D11" s="3" t="s">
        <v>91</v>
      </c>
      <c r="E11" s="3" t="n">
        <v>4</v>
      </c>
      <c r="F11" s="3" t="n">
        <v>2</v>
      </c>
      <c r="G11" s="3" t="n">
        <v>545</v>
      </c>
      <c r="H11" s="4" t="n">
        <f aca="false">G11/E11</f>
        <v>136.25</v>
      </c>
      <c r="I11" s="3" t="n">
        <v>1.8</v>
      </c>
      <c r="J11" s="4" t="n">
        <f aca="false">(F11-Assumptions!$B$17)/(Assumptions!$C$17-Assumptions!$B$17)</f>
        <v>0.0909090909090909</v>
      </c>
      <c r="K11" s="4" t="n">
        <f aca="false">(H11-Assumptions!$B$18)/(Assumptions!$C$18-Assumptions!$B$18)</f>
        <v>0.168981896377175</v>
      </c>
      <c r="L11" s="4" t="n">
        <f aca="false">(I11-Assumptions!$B$19)/(Assumptions!$C$19-Assumptions!$B$19)</f>
        <v>0.292682926829268</v>
      </c>
      <c r="M11" s="4" t="n">
        <f aca="false">0.4*J11+0.4*K11+0.2*L11</f>
        <v>0.16249298028036</v>
      </c>
    </row>
    <row r="12" customFormat="false" ht="15" hidden="false" customHeight="false" outlineLevel="0" collapsed="false">
      <c r="A12" s="3" t="s">
        <v>2</v>
      </c>
      <c r="B12" s="3" t="s">
        <v>92</v>
      </c>
      <c r="C12" s="3" t="s">
        <v>90</v>
      </c>
      <c r="D12" s="3" t="s">
        <v>91</v>
      </c>
      <c r="E12" s="3" t="n">
        <v>1395</v>
      </c>
      <c r="F12" s="3" t="n">
        <v>2</v>
      </c>
      <c r="G12" s="3" t="n">
        <v>545</v>
      </c>
      <c r="H12" s="4" t="n">
        <f aca="false">G12/E12</f>
        <v>0.390681003584229</v>
      </c>
      <c r="I12" s="3" t="n">
        <v>1.8</v>
      </c>
      <c r="J12" s="4" t="n">
        <f aca="false">(F12-Assumptions!$B$17)/(Assumptions!$C$17-Assumptions!$B$17)</f>
        <v>0.0909090909090909</v>
      </c>
      <c r="K12" s="4" t="n">
        <f aca="false">(H12-Assumptions!$B$18)/(Assumptions!$C$18-Assumptions!$B$18)</f>
        <v>0.000409214582639519</v>
      </c>
      <c r="L12" s="4" t="n">
        <f aca="false">(I12-Assumptions!$B$19)/(Assumptions!$C$19-Assumptions!$B$19)</f>
        <v>0.292682926829268</v>
      </c>
      <c r="M12" s="4" t="n">
        <f aca="false">0.4*J12+0.4*K12+0.2*L12</f>
        <v>0.0950639075625458</v>
      </c>
    </row>
    <row r="13" customFormat="false" ht="15" hidden="false" customHeight="false" outlineLevel="0" collapsed="false">
      <c r="A13" s="3" t="s">
        <v>2</v>
      </c>
      <c r="B13" s="3" t="s">
        <v>93</v>
      </c>
      <c r="C13" s="3" t="s">
        <v>90</v>
      </c>
      <c r="D13" s="3" t="s">
        <v>91</v>
      </c>
      <c r="E13" s="3" t="n">
        <v>518.5</v>
      </c>
      <c r="F13" s="3" t="n">
        <v>2</v>
      </c>
      <c r="G13" s="3" t="n">
        <v>545</v>
      </c>
      <c r="H13" s="4" t="n">
        <f aca="false">G13/E13</f>
        <v>1.05110896817743</v>
      </c>
      <c r="I13" s="3" t="n">
        <v>1.8</v>
      </c>
      <c r="J13" s="4" t="n">
        <f aca="false">(F13-Assumptions!$B$17)/(Assumptions!$C$17-Assumptions!$B$17)</f>
        <v>0.0909090909090909</v>
      </c>
      <c r="K13" s="4" t="n">
        <f aca="false">(H13-Assumptions!$B$18)/(Assumptions!$C$18-Assumptions!$B$18)</f>
        <v>0.001228666011853</v>
      </c>
      <c r="L13" s="4" t="n">
        <f aca="false">(I13-Assumptions!$B$19)/(Assumptions!$C$19-Assumptions!$B$19)</f>
        <v>0.292682926829268</v>
      </c>
      <c r="M13" s="4" t="n">
        <f aca="false">0.4*J13+0.4*K13+0.2*L13</f>
        <v>0.0953916881342312</v>
      </c>
    </row>
    <row r="14" customFormat="false" ht="15" hidden="false" customHeight="false" outlineLevel="0" collapsed="false">
      <c r="A14" s="3" t="s">
        <v>2</v>
      </c>
      <c r="B14" s="3" t="s">
        <v>94</v>
      </c>
      <c r="C14" s="3" t="s">
        <v>90</v>
      </c>
      <c r="D14" s="3" t="s">
        <v>91</v>
      </c>
      <c r="E14" s="3" t="n">
        <v>451</v>
      </c>
      <c r="F14" s="3" t="n">
        <v>2</v>
      </c>
      <c r="G14" s="3" t="n">
        <v>545</v>
      </c>
      <c r="H14" s="4" t="n">
        <f aca="false">G14/E14</f>
        <v>1.20842572062084</v>
      </c>
      <c r="I14" s="3" t="n">
        <v>1.8</v>
      </c>
      <c r="J14" s="4" t="n">
        <f aca="false">(F14-Assumptions!$B$17)/(Assumptions!$C$17-Assumptions!$B$17)</f>
        <v>0.0909090909090909</v>
      </c>
      <c r="K14" s="4" t="n">
        <f aca="false">(H14-Assumptions!$B$18)/(Assumptions!$C$18-Assumptions!$B$18)</f>
        <v>0.00142386283049223</v>
      </c>
      <c r="L14" s="4" t="n">
        <f aca="false">(I14-Assumptions!$B$19)/(Assumptions!$C$19-Assumptions!$B$19)</f>
        <v>0.292682926829268</v>
      </c>
      <c r="M14" s="4" t="n">
        <f aca="false">0.4*J14+0.4*K14+0.2*L14</f>
        <v>0.0954697668616869</v>
      </c>
    </row>
    <row r="15" customFormat="false" ht="15" hidden="false" customHeight="false" outlineLevel="0" collapsed="false">
      <c r="A15" s="3" t="s">
        <v>2</v>
      </c>
      <c r="B15" s="3" t="s">
        <v>95</v>
      </c>
      <c r="C15" s="3" t="s">
        <v>90</v>
      </c>
      <c r="D15" s="3" t="s">
        <v>91</v>
      </c>
      <c r="E15" s="3" t="n">
        <v>3.5</v>
      </c>
      <c r="F15" s="3" t="n">
        <v>2</v>
      </c>
      <c r="G15" s="3" t="n">
        <v>545</v>
      </c>
      <c r="H15" s="4" t="n">
        <f aca="false">G15/E15</f>
        <v>155.714285714286</v>
      </c>
      <c r="I15" s="3" t="n">
        <v>1.8</v>
      </c>
      <c r="J15" s="4" t="n">
        <f aca="false">(F15-Assumptions!$B$17)/(Assumptions!$C$17-Assumptions!$B$17)</f>
        <v>0.0909090909090909</v>
      </c>
      <c r="K15" s="4" t="n">
        <f aca="false">(H15-Assumptions!$B$18)/(Assumptions!$C$18-Assumptions!$B$18)</f>
        <v>0.193132958419218</v>
      </c>
      <c r="L15" s="4" t="n">
        <f aca="false">(I15-Assumptions!$B$19)/(Assumptions!$C$19-Assumptions!$B$19)</f>
        <v>0.292682926829268</v>
      </c>
      <c r="M15" s="4" t="n">
        <f aca="false">0.4*J15+0.4*K15+0.2*L15</f>
        <v>0.172153405097177</v>
      </c>
    </row>
    <row r="16" customFormat="false" ht="15" hidden="false" customHeight="false" outlineLevel="0" collapsed="false">
      <c r="A16" s="3" t="s">
        <v>2</v>
      </c>
      <c r="B16" s="3" t="s">
        <v>96</v>
      </c>
      <c r="C16" s="3" t="s">
        <v>97</v>
      </c>
      <c r="D16" s="3" t="s">
        <v>98</v>
      </c>
      <c r="E16" s="3" t="n">
        <v>96</v>
      </c>
      <c r="F16" s="3" t="n">
        <v>4</v>
      </c>
      <c r="G16" s="3" t="n">
        <v>237</v>
      </c>
      <c r="H16" s="4" t="n">
        <f aca="false">G16/E16</f>
        <v>2.46875</v>
      </c>
      <c r="I16" s="3" t="n">
        <v>2</v>
      </c>
      <c r="J16" s="4" t="n">
        <f aca="false">(F16-Assumptions!$B$17)/(Assumptions!$C$17-Assumptions!$B$17)</f>
        <v>0.272727272727273</v>
      </c>
      <c r="K16" s="4" t="n">
        <f aca="false">(H16-Assumptions!$B$18)/(Assumptions!$C$18-Assumptions!$B$18)</f>
        <v>0.00298765871343283</v>
      </c>
      <c r="L16" s="4" t="n">
        <f aca="false">(I16-Assumptions!$B$19)/(Assumptions!$C$19-Assumptions!$B$19)</f>
        <v>0.341463414634146</v>
      </c>
      <c r="M16" s="4" t="n">
        <f aca="false">0.4*J16+0.4*K16+0.2*L16</f>
        <v>0.178578655503111</v>
      </c>
    </row>
    <row r="17" customFormat="false" ht="15" hidden="false" customHeight="false" outlineLevel="0" collapsed="false">
      <c r="A17" s="3" t="s">
        <v>2</v>
      </c>
      <c r="B17" s="3" t="s">
        <v>99</v>
      </c>
      <c r="C17" s="3" t="s">
        <v>100</v>
      </c>
      <c r="D17" s="3" t="s">
        <v>101</v>
      </c>
      <c r="E17" s="3" t="n">
        <v>265.5</v>
      </c>
      <c r="F17" s="3" t="n">
        <v>1</v>
      </c>
      <c r="G17" s="3" t="n">
        <v>681</v>
      </c>
      <c r="H17" s="4" t="n">
        <f aca="false">G17/E17</f>
        <v>2.56497175141243</v>
      </c>
      <c r="I17" s="3" t="n">
        <v>0.6</v>
      </c>
      <c r="J17" s="4" t="n">
        <f aca="false">(F17-Assumptions!$B$17)/(Assumptions!$C$17-Assumptions!$B$17)</f>
        <v>0</v>
      </c>
      <c r="K17" s="4" t="n">
        <f aca="false">(H17-Assumptions!$B$18)/(Assumptions!$C$18-Assumptions!$B$18)</f>
        <v>0.00310704955686101</v>
      </c>
      <c r="L17" s="4" t="n">
        <f aca="false">(I17-Assumptions!$B$19)/(Assumptions!$C$19-Assumptions!$B$19)</f>
        <v>0</v>
      </c>
      <c r="M17" s="4" t="n">
        <f aca="false">0.4*J17+0.4*K17+0.2*L17</f>
        <v>0.00124281982274441</v>
      </c>
    </row>
    <row r="18" customFormat="false" ht="15" hidden="false" customHeight="false" outlineLevel="0" collapsed="false">
      <c r="A18" s="3" t="s">
        <v>2</v>
      </c>
      <c r="B18" s="3" t="s">
        <v>102</v>
      </c>
      <c r="C18" s="3" t="s">
        <v>100</v>
      </c>
      <c r="D18" s="3" t="s">
        <v>101</v>
      </c>
      <c r="E18" s="3" t="n">
        <v>4</v>
      </c>
      <c r="F18" s="3" t="n">
        <v>1</v>
      </c>
      <c r="G18" s="3" t="n">
        <v>681</v>
      </c>
      <c r="H18" s="4" t="n">
        <f aca="false">G18/E18</f>
        <v>170.25</v>
      </c>
      <c r="I18" s="3" t="n">
        <v>0.6</v>
      </c>
      <c r="J18" s="4" t="n">
        <f aca="false">(F18-Assumptions!$B$17)/(Assumptions!$C$17-Assumptions!$B$17)</f>
        <v>0</v>
      </c>
      <c r="K18" s="4" t="n">
        <f aca="false">(H18-Assumptions!$B$18)/(Assumptions!$C$18-Assumptions!$B$18)</f>
        <v>0.211168705668964</v>
      </c>
      <c r="L18" s="4" t="n">
        <f aca="false">(I18-Assumptions!$B$19)/(Assumptions!$C$19-Assumptions!$B$19)</f>
        <v>0</v>
      </c>
      <c r="M18" s="4" t="n">
        <f aca="false">0.4*J18+0.4*K18+0.2*L18</f>
        <v>0.0844674822675857</v>
      </c>
    </row>
    <row r="19" customFormat="false" ht="15" hidden="false" customHeight="false" outlineLevel="0" collapsed="false">
      <c r="A19" s="3" t="s">
        <v>2</v>
      </c>
      <c r="B19" s="3" t="s">
        <v>103</v>
      </c>
      <c r="C19" s="3" t="s">
        <v>100</v>
      </c>
      <c r="D19" s="3" t="s">
        <v>101</v>
      </c>
      <c r="E19" s="3" t="n">
        <v>6.5</v>
      </c>
      <c r="F19" s="3" t="n">
        <v>1</v>
      </c>
      <c r="G19" s="3" t="n">
        <v>681</v>
      </c>
      <c r="H19" s="4" t="n">
        <f aca="false">G19/E19</f>
        <v>104.769230769231</v>
      </c>
      <c r="I19" s="3" t="n">
        <v>0.6</v>
      </c>
      <c r="J19" s="4" t="n">
        <f aca="false">(F19-Assumptions!$B$17)/(Assumptions!$C$17-Assumptions!$B$17)</f>
        <v>0</v>
      </c>
      <c r="K19" s="4" t="n">
        <f aca="false">(H19-Assumptions!$B$18)/(Assumptions!$C$18-Assumptions!$B$18)</f>
        <v>0.129920919674313</v>
      </c>
      <c r="L19" s="4" t="n">
        <f aca="false">(I19-Assumptions!$B$19)/(Assumptions!$C$19-Assumptions!$B$19)</f>
        <v>0</v>
      </c>
      <c r="M19" s="4" t="n">
        <f aca="false">0.4*J19+0.4*K19+0.2*L19</f>
        <v>0.0519683678697252</v>
      </c>
    </row>
    <row r="20" customFormat="false" ht="15" hidden="false" customHeight="false" outlineLevel="0" collapsed="false">
      <c r="A20" s="3" t="s">
        <v>2</v>
      </c>
      <c r="B20" s="3" t="s">
        <v>104</v>
      </c>
      <c r="C20" s="3" t="s">
        <v>105</v>
      </c>
      <c r="D20" s="3" t="s">
        <v>106</v>
      </c>
      <c r="E20" s="3" t="n">
        <v>7</v>
      </c>
      <c r="F20" s="3" t="n">
        <v>4</v>
      </c>
      <c r="G20" s="3" t="n">
        <v>328</v>
      </c>
      <c r="H20" s="4" t="n">
        <f aca="false">G20/E20</f>
        <v>46.8571428571429</v>
      </c>
      <c r="I20" s="3" t="n">
        <v>2.3</v>
      </c>
      <c r="J20" s="4" t="n">
        <f aca="false">(F20-Assumptions!$B$17)/(Assumptions!$C$17-Assumptions!$B$17)</f>
        <v>0.272727272727273</v>
      </c>
      <c r="K20" s="4" t="n">
        <f aca="false">(H20-Assumptions!$B$18)/(Assumptions!$C$18-Assumptions!$B$18)</f>
        <v>0.0580642664850011</v>
      </c>
      <c r="L20" s="4" t="n">
        <f aca="false">(I20-Assumptions!$B$19)/(Assumptions!$C$19-Assumptions!$B$19)</f>
        <v>0.414634146341463</v>
      </c>
      <c r="M20" s="4" t="n">
        <f aca="false">0.4*J20+0.4*K20+0.2*L20</f>
        <v>0.215243444953202</v>
      </c>
    </row>
    <row r="21" customFormat="false" ht="15" hidden="false" customHeight="false" outlineLevel="0" collapsed="false">
      <c r="A21" s="3" t="s">
        <v>2</v>
      </c>
      <c r="B21" s="3" t="s">
        <v>107</v>
      </c>
      <c r="C21" s="3" t="s">
        <v>108</v>
      </c>
      <c r="D21" s="3" t="s">
        <v>109</v>
      </c>
      <c r="E21" s="3" t="n">
        <v>334</v>
      </c>
      <c r="F21" s="3" t="n">
        <v>2</v>
      </c>
      <c r="G21" s="3" t="n">
        <v>588</v>
      </c>
      <c r="H21" s="4" t="n">
        <f aca="false">G21/E21</f>
        <v>1.76047904191617</v>
      </c>
      <c r="I21" s="3" t="n">
        <v>1.5</v>
      </c>
      <c r="J21" s="4" t="n">
        <f aca="false">(F21-Assumptions!$B$17)/(Assumptions!$C$17-Assumptions!$B$17)</f>
        <v>0.0909090909090909</v>
      </c>
      <c r="K21" s="4" t="n">
        <f aca="false">(H21-Assumptions!$B$18)/(Assumptions!$C$18-Assumptions!$B$18)</f>
        <v>0.00210884424768002</v>
      </c>
      <c r="L21" s="4" t="n">
        <f aca="false">(I21-Assumptions!$B$19)/(Assumptions!$C$19-Assumptions!$B$19)</f>
        <v>0.219512195121951</v>
      </c>
      <c r="M21" s="4" t="n">
        <f aca="false">0.4*J21+0.4*K21+0.2*L21</f>
        <v>0.0811096130870986</v>
      </c>
    </row>
    <row r="22" customFormat="false" ht="15" hidden="false" customHeight="false" outlineLevel="0" collapsed="false">
      <c r="A22" s="3" t="s">
        <v>2</v>
      </c>
      <c r="B22" s="3" t="s">
        <v>110</v>
      </c>
      <c r="C22" s="3" t="s">
        <v>111</v>
      </c>
      <c r="D22" s="3" t="s">
        <v>112</v>
      </c>
      <c r="E22" s="3" t="n">
        <v>12.5</v>
      </c>
      <c r="F22" s="3" t="n">
        <v>3</v>
      </c>
      <c r="G22" s="3" t="n">
        <v>657</v>
      </c>
      <c r="H22" s="4" t="n">
        <f aca="false">G22/E22</f>
        <v>52.56</v>
      </c>
      <c r="I22" s="3" t="n">
        <v>0.8</v>
      </c>
      <c r="J22" s="4" t="n">
        <f aca="false">(F22-Assumptions!$B$17)/(Assumptions!$C$17-Assumptions!$B$17)</f>
        <v>0.181818181818182</v>
      </c>
      <c r="K22" s="4" t="n">
        <f aca="false">(H22-Assumptions!$B$18)/(Assumptions!$C$18-Assumptions!$B$18)</f>
        <v>0.0651403060939432</v>
      </c>
      <c r="L22" s="4" t="n">
        <f aca="false">(I22-Assumptions!$B$19)/(Assumptions!$C$19-Assumptions!$B$19)</f>
        <v>0.0487804878048781</v>
      </c>
      <c r="M22" s="4" t="n">
        <f aca="false">0.4*J22+0.4*K22+0.2*L22</f>
        <v>0.108539492725826</v>
      </c>
    </row>
    <row r="23" customFormat="false" ht="15" hidden="false" customHeight="false" outlineLevel="0" collapsed="false">
      <c r="A23" s="3" t="s">
        <v>2</v>
      </c>
      <c r="B23" s="3" t="s">
        <v>113</v>
      </c>
      <c r="C23" s="3" t="s">
        <v>111</v>
      </c>
      <c r="D23" s="3" t="s">
        <v>112</v>
      </c>
      <c r="E23" s="3" t="n">
        <v>8.5</v>
      </c>
      <c r="F23" s="3" t="n">
        <v>3</v>
      </c>
      <c r="G23" s="3" t="n">
        <v>657</v>
      </c>
      <c r="H23" s="4" t="n">
        <f aca="false">G23/E23</f>
        <v>77.2941176470588</v>
      </c>
      <c r="I23" s="3" t="n">
        <v>0.8</v>
      </c>
      <c r="J23" s="4" t="n">
        <f aca="false">(F23-Assumptions!$B$17)/(Assumptions!$C$17-Assumptions!$B$17)</f>
        <v>0.181818181818182</v>
      </c>
      <c r="K23" s="4" t="n">
        <f aca="false">(H23-Assumptions!$B$18)/(Assumptions!$C$18-Assumptions!$B$18)</f>
        <v>0.0958301150403302</v>
      </c>
      <c r="L23" s="4" t="n">
        <f aca="false">(I23-Assumptions!$B$19)/(Assumptions!$C$19-Assumptions!$B$19)</f>
        <v>0.0487804878048781</v>
      </c>
      <c r="M23" s="4" t="n">
        <f aca="false">0.4*J23+0.4*K23+0.2*L23</f>
        <v>0.12081541630438</v>
      </c>
    </row>
    <row r="24" customFormat="false" ht="15" hidden="false" customHeight="false" outlineLevel="0" collapsed="false">
      <c r="A24" s="3" t="s">
        <v>2</v>
      </c>
      <c r="B24" s="3" t="s">
        <v>114</v>
      </c>
      <c r="C24" s="3" t="s">
        <v>115</v>
      </c>
      <c r="D24" s="3" t="s">
        <v>116</v>
      </c>
      <c r="E24" s="3" t="n">
        <v>137</v>
      </c>
      <c r="F24" s="3" t="n">
        <v>2</v>
      </c>
      <c r="G24" s="3" t="n">
        <v>552</v>
      </c>
      <c r="H24" s="4" t="n">
        <f aca="false">G24/E24</f>
        <v>4.02919708029197</v>
      </c>
      <c r="I24" s="3" t="n">
        <v>1.5</v>
      </c>
      <c r="J24" s="4" t="n">
        <f aca="false">(F24-Assumptions!$B$17)/(Assumptions!$C$17-Assumptions!$B$17)</f>
        <v>0.0909090909090909</v>
      </c>
      <c r="K24" s="4" t="n">
        <f aca="false">(H24-Assumptions!$B$18)/(Assumptions!$C$18-Assumptions!$B$18)</f>
        <v>0.00492384351890952</v>
      </c>
      <c r="L24" s="4" t="n">
        <f aca="false">(I24-Assumptions!$B$19)/(Assumptions!$C$19-Assumptions!$B$19)</f>
        <v>0.219512195121951</v>
      </c>
      <c r="M24" s="4" t="n">
        <f aca="false">0.4*J24+0.4*K24+0.2*L24</f>
        <v>0.0822356127955904</v>
      </c>
    </row>
    <row r="25" customFormat="false" ht="15" hidden="false" customHeight="false" outlineLevel="0" collapsed="false">
      <c r="A25" s="3" t="s">
        <v>2</v>
      </c>
      <c r="B25" s="3" t="s">
        <v>117</v>
      </c>
      <c r="C25" s="3" t="s">
        <v>115</v>
      </c>
      <c r="D25" s="3" t="s">
        <v>116</v>
      </c>
      <c r="E25" s="3" t="n">
        <v>22</v>
      </c>
      <c r="F25" s="3" t="n">
        <v>2</v>
      </c>
      <c r="G25" s="3" t="n">
        <v>552</v>
      </c>
      <c r="H25" s="4" t="n">
        <f aca="false">G25/E25</f>
        <v>25.0909090909091</v>
      </c>
      <c r="I25" s="3" t="n">
        <v>1.5</v>
      </c>
      <c r="J25" s="4" t="n">
        <f aca="false">(F25-Assumptions!$B$17)/(Assumptions!$C$17-Assumptions!$B$17)</f>
        <v>0.0909090909090909</v>
      </c>
      <c r="K25" s="4" t="n">
        <f aca="false">(H25-Assumptions!$B$18)/(Assumptions!$C$18-Assumptions!$B$18)</f>
        <v>0.0310569737527477</v>
      </c>
      <c r="L25" s="4" t="n">
        <f aca="false">(I25-Assumptions!$B$19)/(Assumptions!$C$19-Assumptions!$B$19)</f>
        <v>0.219512195121951</v>
      </c>
      <c r="M25" s="4" t="n">
        <f aca="false">0.4*J25+0.4*K25+0.2*L25</f>
        <v>0.0926888648891257</v>
      </c>
    </row>
    <row r="26" customFormat="false" ht="15" hidden="false" customHeight="false" outlineLevel="0" collapsed="false">
      <c r="A26" s="3" t="s">
        <v>2</v>
      </c>
      <c r="B26" s="3" t="s">
        <v>118</v>
      </c>
      <c r="C26" s="3" t="s">
        <v>115</v>
      </c>
      <c r="D26" s="3" t="s">
        <v>116</v>
      </c>
      <c r="E26" s="3" t="n">
        <v>2553</v>
      </c>
      <c r="F26" s="3" t="n">
        <v>2</v>
      </c>
      <c r="G26" s="3" t="n">
        <v>552</v>
      </c>
      <c r="H26" s="4" t="n">
        <f aca="false">G26/E26</f>
        <v>0.216216216216216</v>
      </c>
      <c r="I26" s="3" t="n">
        <v>1.5</v>
      </c>
      <c r="J26" s="4" t="n">
        <f aca="false">(F26-Assumptions!$B$17)/(Assumptions!$C$17-Assumptions!$B$17)</f>
        <v>0.0909090909090909</v>
      </c>
      <c r="K26" s="4" t="n">
        <f aca="false">(H26-Assumptions!$B$18)/(Assumptions!$C$18-Assumptions!$B$18)</f>
        <v>0.000192740679321078</v>
      </c>
      <c r="L26" s="4" t="n">
        <f aca="false">(I26-Assumptions!$B$19)/(Assumptions!$C$19-Assumptions!$B$19)</f>
        <v>0.219512195121951</v>
      </c>
      <c r="M26" s="4" t="n">
        <f aca="false">0.4*J26+0.4*K26+0.2*L26</f>
        <v>0.0803431716597551</v>
      </c>
    </row>
    <row r="27" customFormat="false" ht="15" hidden="false" customHeight="false" outlineLevel="0" collapsed="false">
      <c r="A27" s="3" t="s">
        <v>2</v>
      </c>
      <c r="B27" s="3" t="s">
        <v>119</v>
      </c>
      <c r="C27" s="3" t="s">
        <v>115</v>
      </c>
      <c r="D27" s="3" t="s">
        <v>116</v>
      </c>
      <c r="E27" s="3" t="n">
        <v>8</v>
      </c>
      <c r="F27" s="3" t="n">
        <v>2</v>
      </c>
      <c r="G27" s="3" t="n">
        <v>552</v>
      </c>
      <c r="H27" s="4" t="n">
        <f aca="false">G27/E27</f>
        <v>69</v>
      </c>
      <c r="I27" s="3" t="n">
        <v>1.5</v>
      </c>
      <c r="J27" s="4" t="n">
        <f aca="false">(F27-Assumptions!$B$17)/(Assumptions!$C$17-Assumptions!$B$17)</f>
        <v>0.0909090909090909</v>
      </c>
      <c r="K27" s="4" t="n">
        <f aca="false">(H27-Assumptions!$B$18)/(Assumptions!$C$18-Assumptions!$B$18)</f>
        <v>0.0855388691750321</v>
      </c>
      <c r="L27" s="4" t="n">
        <f aca="false">(I27-Assumptions!$B$19)/(Assumptions!$C$19-Assumptions!$B$19)</f>
        <v>0.219512195121951</v>
      </c>
      <c r="M27" s="4" t="n">
        <f aca="false">0.4*J27+0.4*K27+0.2*L27</f>
        <v>0.114481623058039</v>
      </c>
    </row>
    <row r="28" customFormat="false" ht="15" hidden="false" customHeight="false" outlineLevel="0" collapsed="false">
      <c r="A28" s="3" t="s">
        <v>2</v>
      </c>
      <c r="B28" s="3" t="s">
        <v>120</v>
      </c>
      <c r="C28" s="3" t="s">
        <v>115</v>
      </c>
      <c r="D28" s="3" t="s">
        <v>116</v>
      </c>
      <c r="E28" s="3" t="n">
        <v>8</v>
      </c>
      <c r="F28" s="3" t="n">
        <v>2</v>
      </c>
      <c r="G28" s="3" t="n">
        <v>552</v>
      </c>
      <c r="H28" s="4" t="n">
        <f aca="false">G28/E28</f>
        <v>69</v>
      </c>
      <c r="I28" s="3" t="n">
        <v>1.5</v>
      </c>
      <c r="J28" s="4" t="n">
        <f aca="false">(F28-Assumptions!$B$17)/(Assumptions!$C$17-Assumptions!$B$17)</f>
        <v>0.0909090909090909</v>
      </c>
      <c r="K28" s="4" t="n">
        <f aca="false">(H28-Assumptions!$B$18)/(Assumptions!$C$18-Assumptions!$B$18)</f>
        <v>0.0855388691750321</v>
      </c>
      <c r="L28" s="4" t="n">
        <f aca="false">(I28-Assumptions!$B$19)/(Assumptions!$C$19-Assumptions!$B$19)</f>
        <v>0.219512195121951</v>
      </c>
      <c r="M28" s="4" t="n">
        <f aca="false">0.4*J28+0.4*K28+0.2*L28</f>
        <v>0.114481623058039</v>
      </c>
    </row>
    <row r="29" customFormat="false" ht="15" hidden="false" customHeight="false" outlineLevel="0" collapsed="false">
      <c r="A29" s="3" t="s">
        <v>2</v>
      </c>
      <c r="B29" s="3" t="s">
        <v>121</v>
      </c>
      <c r="C29" s="3" t="s">
        <v>122</v>
      </c>
      <c r="D29" s="3" t="s">
        <v>123</v>
      </c>
      <c r="E29" s="3" t="n">
        <v>6.5</v>
      </c>
      <c r="F29" s="3" t="n">
        <v>4</v>
      </c>
      <c r="G29" s="3" t="n">
        <v>273</v>
      </c>
      <c r="H29" s="4" t="n">
        <f aca="false">G29/E29</f>
        <v>42</v>
      </c>
      <c r="I29" s="3" t="n">
        <v>2</v>
      </c>
      <c r="J29" s="4" t="n">
        <f aca="false">(F29-Assumptions!$B$17)/(Assumptions!$C$17-Assumptions!$B$17)</f>
        <v>0.272727272727273</v>
      </c>
      <c r="K29" s="4" t="n">
        <f aca="false">(H29-Assumptions!$B$18)/(Assumptions!$C$18-Assumptions!$B$18)</f>
        <v>0.0520375794433168</v>
      </c>
      <c r="L29" s="4" t="n">
        <f aca="false">(I29-Assumptions!$B$19)/(Assumptions!$C$19-Assumptions!$B$19)</f>
        <v>0.341463414634146</v>
      </c>
      <c r="M29" s="4" t="n">
        <f aca="false">0.4*J29+0.4*K29+0.2*L29</f>
        <v>0.198198623795065</v>
      </c>
    </row>
    <row r="30" customFormat="false" ht="15" hidden="false" customHeight="false" outlineLevel="0" collapsed="false">
      <c r="A30" s="3" t="s">
        <v>2</v>
      </c>
      <c r="B30" s="3" t="s">
        <v>124</v>
      </c>
      <c r="C30" s="3" t="s">
        <v>125</v>
      </c>
      <c r="D30" s="3" t="s">
        <v>126</v>
      </c>
      <c r="E30" s="3" t="n">
        <v>4</v>
      </c>
      <c r="F30" s="3" t="n">
        <v>3</v>
      </c>
      <c r="G30" s="3" t="n">
        <v>712</v>
      </c>
      <c r="H30" s="4" t="n">
        <f aca="false">G30/E30</f>
        <v>178</v>
      </c>
      <c r="I30" s="3" t="n">
        <v>1.5</v>
      </c>
      <c r="J30" s="4" t="n">
        <f aca="false">(F30-Assumptions!$B$17)/(Assumptions!$C$17-Assumptions!$B$17)</f>
        <v>0.181818181818182</v>
      </c>
      <c r="K30" s="4" t="n">
        <f aca="false">(H30-Assumptions!$B$18)/(Assumptions!$C$18-Assumptions!$B$18)</f>
        <v>0.220784816610475</v>
      </c>
      <c r="L30" s="4" t="n">
        <f aca="false">(I30-Assumptions!$B$19)/(Assumptions!$C$19-Assumptions!$B$19)</f>
        <v>0.219512195121951</v>
      </c>
      <c r="M30" s="4" t="n">
        <f aca="false">0.4*J30+0.4*K30+0.2*L30</f>
        <v>0.204943638395853</v>
      </c>
    </row>
    <row r="31" customFormat="false" ht="15" hidden="false" customHeight="false" outlineLevel="0" collapsed="false">
      <c r="A31" s="3" t="s">
        <v>2</v>
      </c>
      <c r="B31" s="3" t="s">
        <v>127</v>
      </c>
      <c r="C31" s="3" t="s">
        <v>128</v>
      </c>
      <c r="D31" s="3" t="s">
        <v>129</v>
      </c>
      <c r="E31" s="3" t="n">
        <v>152.5</v>
      </c>
      <c r="F31" s="3" t="n">
        <v>4</v>
      </c>
      <c r="G31" s="3" t="n">
        <v>557</v>
      </c>
      <c r="H31" s="4" t="n">
        <f aca="false">G31/E31</f>
        <v>3.65245901639344</v>
      </c>
      <c r="I31" s="3" t="n">
        <v>1.1</v>
      </c>
      <c r="J31" s="4" t="n">
        <f aca="false">(F31-Assumptions!$B$17)/(Assumptions!$C$17-Assumptions!$B$17)</f>
        <v>0.272727272727273</v>
      </c>
      <c r="K31" s="4" t="n">
        <f aca="false">(H31-Assumptions!$B$18)/(Assumptions!$C$18-Assumptions!$B$18)</f>
        <v>0.00445639125847877</v>
      </c>
      <c r="L31" s="4" t="n">
        <f aca="false">(I31-Assumptions!$B$19)/(Assumptions!$C$19-Assumptions!$B$19)</f>
        <v>0.121951219512195</v>
      </c>
      <c r="M31" s="4" t="n">
        <f aca="false">0.4*J31+0.4*K31+0.2*L31</f>
        <v>0.13526370949674</v>
      </c>
    </row>
    <row r="32" customFormat="false" ht="15" hidden="false" customHeight="false" outlineLevel="0" collapsed="false">
      <c r="A32" s="3" t="s">
        <v>2</v>
      </c>
      <c r="B32" s="3" t="s">
        <v>130</v>
      </c>
      <c r="C32" s="3" t="s">
        <v>131</v>
      </c>
      <c r="D32" s="3" t="s">
        <v>132</v>
      </c>
      <c r="E32" s="3" t="n">
        <v>2575</v>
      </c>
      <c r="F32" s="3" t="n">
        <v>2</v>
      </c>
      <c r="G32" s="3" t="n">
        <v>569</v>
      </c>
      <c r="H32" s="4" t="n">
        <f aca="false">G32/E32</f>
        <v>0.220970873786408</v>
      </c>
      <c r="I32" s="3" t="n">
        <v>1.2</v>
      </c>
      <c r="J32" s="4" t="n">
        <f aca="false">(F32-Assumptions!$B$17)/(Assumptions!$C$17-Assumptions!$B$17)</f>
        <v>0.0909090909090909</v>
      </c>
      <c r="K32" s="4" t="n">
        <f aca="false">(H32-Assumptions!$B$18)/(Assumptions!$C$18-Assumptions!$B$18)</f>
        <v>0.000198640203796414</v>
      </c>
      <c r="L32" s="4" t="n">
        <f aca="false">(I32-Assumptions!$B$19)/(Assumptions!$C$19-Assumptions!$B$19)</f>
        <v>0.146341463414634</v>
      </c>
      <c r="M32" s="4" t="n">
        <f aca="false">0.4*J32+0.4*K32+0.2*L32</f>
        <v>0.0657113851280818</v>
      </c>
    </row>
    <row r="33" customFormat="false" ht="15" hidden="false" customHeight="false" outlineLevel="0" collapsed="false">
      <c r="A33" s="3" t="s">
        <v>2</v>
      </c>
      <c r="B33" s="3" t="s">
        <v>133</v>
      </c>
      <c r="C33" s="3" t="s">
        <v>131</v>
      </c>
      <c r="D33" s="3" t="s">
        <v>132</v>
      </c>
      <c r="E33" s="3" t="n">
        <v>616</v>
      </c>
      <c r="F33" s="3" t="n">
        <v>2</v>
      </c>
      <c r="G33" s="3" t="n">
        <v>569</v>
      </c>
      <c r="H33" s="4" t="n">
        <f aca="false">G33/E33</f>
        <v>0.923701298701299</v>
      </c>
      <c r="I33" s="3" t="n">
        <v>1.2</v>
      </c>
      <c r="J33" s="4" t="n">
        <f aca="false">(F33-Assumptions!$B$17)/(Assumptions!$C$17-Assumptions!$B$17)</f>
        <v>0.0909090909090909</v>
      </c>
      <c r="K33" s="4" t="n">
        <f aca="false">(H33-Assumptions!$B$18)/(Assumptions!$C$18-Assumptions!$B$18)</f>
        <v>0.00107058003966179</v>
      </c>
      <c r="L33" s="4" t="n">
        <f aca="false">(I33-Assumptions!$B$19)/(Assumptions!$C$19-Assumptions!$B$19)</f>
        <v>0.146341463414634</v>
      </c>
      <c r="M33" s="4" t="n">
        <f aca="false">0.4*J33+0.4*K33+0.2*L33</f>
        <v>0.0660601610624279</v>
      </c>
    </row>
    <row r="34" customFormat="false" ht="15" hidden="false" customHeight="false" outlineLevel="0" collapsed="false">
      <c r="A34" s="3" t="s">
        <v>2</v>
      </c>
      <c r="B34" s="3" t="s">
        <v>134</v>
      </c>
      <c r="C34" s="3" t="s">
        <v>135</v>
      </c>
      <c r="D34" s="3" t="s">
        <v>136</v>
      </c>
      <c r="E34" s="3" t="n">
        <v>3.5</v>
      </c>
      <c r="F34" s="3" t="n">
        <v>2</v>
      </c>
      <c r="G34" s="3" t="n">
        <v>657</v>
      </c>
      <c r="H34" s="4" t="n">
        <f aca="false">G34/E34</f>
        <v>187.714285714286</v>
      </c>
      <c r="I34" s="3" t="n">
        <v>1.3</v>
      </c>
      <c r="J34" s="4" t="n">
        <f aca="false">(F34-Assumptions!$B$17)/(Assumptions!$C$17-Assumptions!$B$17)</f>
        <v>0.0909090909090909</v>
      </c>
      <c r="K34" s="4" t="n">
        <f aca="false">(H34-Assumptions!$B$18)/(Assumptions!$C$18-Assumptions!$B$18)</f>
        <v>0.232838190693844</v>
      </c>
      <c r="L34" s="4" t="n">
        <f aca="false">(I34-Assumptions!$B$19)/(Assumptions!$C$19-Assumptions!$B$19)</f>
        <v>0.170731707317073</v>
      </c>
      <c r="M34" s="4" t="n">
        <f aca="false">0.4*J34+0.4*K34+0.2*L34</f>
        <v>0.163645254104588</v>
      </c>
    </row>
    <row r="35" customFormat="false" ht="15" hidden="false" customHeight="false" outlineLevel="0" collapsed="false">
      <c r="A35" s="3" t="s">
        <v>2</v>
      </c>
      <c r="B35" s="3" t="s">
        <v>137</v>
      </c>
      <c r="C35" s="3" t="s">
        <v>135</v>
      </c>
      <c r="D35" s="3" t="s">
        <v>136</v>
      </c>
      <c r="E35" s="3" t="n">
        <v>20.5</v>
      </c>
      <c r="F35" s="3" t="n">
        <v>2</v>
      </c>
      <c r="G35" s="3" t="n">
        <v>657</v>
      </c>
      <c r="H35" s="4" t="n">
        <f aca="false">G35/E35</f>
        <v>32.0487804878049</v>
      </c>
      <c r="I35" s="3" t="n">
        <v>1.3</v>
      </c>
      <c r="J35" s="4" t="n">
        <f aca="false">(F35-Assumptions!$B$17)/(Assumptions!$C$17-Assumptions!$B$17)</f>
        <v>0.0909090909090909</v>
      </c>
      <c r="K35" s="4" t="n">
        <f aca="false">(H35-Assumptions!$B$18)/(Assumptions!$C$18-Assumptions!$B$18)</f>
        <v>0.0396902206262077</v>
      </c>
      <c r="L35" s="4" t="n">
        <f aca="false">(I35-Assumptions!$B$19)/(Assumptions!$C$19-Assumptions!$B$19)</f>
        <v>0.170731707317073</v>
      </c>
      <c r="M35" s="4" t="n">
        <f aca="false">0.4*J35+0.4*K35+0.2*L35</f>
        <v>0.0863860660775341</v>
      </c>
    </row>
    <row r="36" customFormat="false" ht="15" hidden="false" customHeight="false" outlineLevel="0" collapsed="false">
      <c r="A36" s="3" t="s">
        <v>2</v>
      </c>
      <c r="B36" s="3" t="s">
        <v>138</v>
      </c>
      <c r="C36" s="3" t="s">
        <v>139</v>
      </c>
      <c r="D36" s="3" t="s">
        <v>140</v>
      </c>
      <c r="E36" s="3" t="n">
        <v>115</v>
      </c>
      <c r="F36" s="3" t="n">
        <v>3</v>
      </c>
      <c r="G36" s="3" t="n">
        <v>552</v>
      </c>
      <c r="H36" s="4" t="n">
        <f aca="false">G36/E36</f>
        <v>4.8</v>
      </c>
      <c r="I36" s="3" t="n">
        <v>1.5</v>
      </c>
      <c r="J36" s="4" t="n">
        <f aca="false">(F36-Assumptions!$B$17)/(Assumptions!$C$17-Assumptions!$B$17)</f>
        <v>0.181818181818182</v>
      </c>
      <c r="K36" s="4" t="n">
        <f aca="false">(H36-Assumptions!$B$18)/(Assumptions!$C$18-Assumptions!$B$18)</f>
        <v>0.00588024692406473</v>
      </c>
      <c r="L36" s="4" t="n">
        <f aca="false">(I36-Assumptions!$B$19)/(Assumptions!$C$19-Assumptions!$B$19)</f>
        <v>0.219512195121951</v>
      </c>
      <c r="M36" s="4" t="n">
        <f aca="false">0.4*J36+0.4*K36+0.2*L36</f>
        <v>0.118981810521289</v>
      </c>
    </row>
    <row r="37" customFormat="false" ht="15" hidden="false" customHeight="false" outlineLevel="0" collapsed="false">
      <c r="A37" s="3" t="s">
        <v>2</v>
      </c>
      <c r="B37" s="3" t="s">
        <v>141</v>
      </c>
      <c r="C37" s="3" t="s">
        <v>139</v>
      </c>
      <c r="D37" s="3" t="s">
        <v>140</v>
      </c>
      <c r="E37" s="3" t="n">
        <v>1</v>
      </c>
      <c r="F37" s="3" t="n">
        <v>3</v>
      </c>
      <c r="G37" s="3" t="n">
        <v>552</v>
      </c>
      <c r="H37" s="4" t="n">
        <f aca="false">G37/E37</f>
        <v>552</v>
      </c>
      <c r="I37" s="3" t="n">
        <v>1.5</v>
      </c>
      <c r="J37" s="4" t="n">
        <f aca="false">(F37-Assumptions!$B$17)/(Assumptions!$C$17-Assumptions!$B$17)</f>
        <v>0.181818181818182</v>
      </c>
      <c r="K37" s="4" t="n">
        <f aca="false">(H37-Assumptions!$B$18)/(Assumptions!$C$18-Assumptions!$B$18)</f>
        <v>0.68483971882016</v>
      </c>
      <c r="L37" s="4" t="n">
        <f aca="false">(I37-Assumptions!$B$19)/(Assumptions!$C$19-Assumptions!$B$19)</f>
        <v>0.219512195121951</v>
      </c>
      <c r="M37" s="4" t="n">
        <f aca="false">0.4*J37+0.4*K37+0.2*L37</f>
        <v>0.390565599279727</v>
      </c>
    </row>
    <row r="38" customFormat="false" ht="15" hidden="false" customHeight="false" outlineLevel="0" collapsed="false">
      <c r="A38" s="3" t="s">
        <v>2</v>
      </c>
      <c r="B38" s="3" t="s">
        <v>142</v>
      </c>
      <c r="C38" s="3" t="s">
        <v>139</v>
      </c>
      <c r="D38" s="3" t="s">
        <v>140</v>
      </c>
      <c r="E38" s="3" t="n">
        <v>241</v>
      </c>
      <c r="F38" s="3" t="n">
        <v>3</v>
      </c>
      <c r="G38" s="3" t="n">
        <v>552</v>
      </c>
      <c r="H38" s="4" t="n">
        <f aca="false">G38/E38</f>
        <v>2.29045643153527</v>
      </c>
      <c r="I38" s="3" t="n">
        <v>1.5</v>
      </c>
      <c r="J38" s="4" t="n">
        <f aca="false">(F38-Assumptions!$B$17)/(Assumptions!$C$17-Assumptions!$B$17)</f>
        <v>0.181818181818182</v>
      </c>
      <c r="K38" s="4" t="n">
        <f aca="false">(H38-Assumptions!$B$18)/(Assumptions!$C$18-Assumptions!$B$18)</f>
        <v>0.00276643410252771</v>
      </c>
      <c r="L38" s="4" t="n">
        <f aca="false">(I38-Assumptions!$B$19)/(Assumptions!$C$19-Assumptions!$B$19)</f>
        <v>0.219512195121951</v>
      </c>
      <c r="M38" s="4" t="n">
        <f aca="false">0.4*J38+0.4*K38+0.2*L38</f>
        <v>0.117736285392674</v>
      </c>
    </row>
    <row r="39" customFormat="false" ht="15" hidden="false" customHeight="false" outlineLevel="0" collapsed="false">
      <c r="A39" s="3" t="s">
        <v>2</v>
      </c>
      <c r="B39" s="3" t="s">
        <v>143</v>
      </c>
      <c r="C39" s="3" t="s">
        <v>144</v>
      </c>
      <c r="D39" s="3" t="s">
        <v>145</v>
      </c>
      <c r="E39" s="3" t="n">
        <v>78</v>
      </c>
      <c r="F39" s="3" t="n">
        <v>1</v>
      </c>
      <c r="G39" s="3" t="n">
        <v>645</v>
      </c>
      <c r="H39" s="4" t="n">
        <f aca="false">G39/E39</f>
        <v>8.26923076923077</v>
      </c>
      <c r="I39" s="3" t="n">
        <v>0.6</v>
      </c>
      <c r="J39" s="4" t="n">
        <f aca="false">(F39-Assumptions!$B$17)/(Assumptions!$C$17-Assumptions!$B$17)</f>
        <v>0</v>
      </c>
      <c r="K39" s="4" t="n">
        <f aca="false">(H39-Assumptions!$B$18)/(Assumptions!$C$18-Assumptions!$B$18)</f>
        <v>0.0101848285961455</v>
      </c>
      <c r="L39" s="4" t="n">
        <f aca="false">(I39-Assumptions!$B$19)/(Assumptions!$C$19-Assumptions!$B$19)</f>
        <v>0</v>
      </c>
      <c r="M39" s="4" t="n">
        <f aca="false">0.4*J39+0.4*K39+0.2*L39</f>
        <v>0.00407393143845821</v>
      </c>
    </row>
    <row r="40" customFormat="false" ht="15" hidden="false" customHeight="false" outlineLevel="0" collapsed="false">
      <c r="A40" s="3" t="s">
        <v>2</v>
      </c>
      <c r="B40" s="3" t="s">
        <v>146</v>
      </c>
      <c r="C40" s="3" t="s">
        <v>147</v>
      </c>
      <c r="D40" s="3" t="s">
        <v>148</v>
      </c>
      <c r="E40" s="3" t="n">
        <v>5.5</v>
      </c>
      <c r="F40" s="3" t="n">
        <v>9</v>
      </c>
      <c r="G40" s="3" t="n">
        <v>169</v>
      </c>
      <c r="H40" s="4" t="n">
        <f aca="false">G40/E40</f>
        <v>30.7272727272727</v>
      </c>
      <c r="I40" s="3" t="n">
        <v>2.8</v>
      </c>
      <c r="J40" s="4" t="n">
        <f aca="false">(F40-Assumptions!$B$17)/(Assumptions!$C$17-Assumptions!$B$17)</f>
        <v>0.727272727272727</v>
      </c>
      <c r="K40" s="4" t="n">
        <f aca="false">(H40-Assumptions!$B$18)/(Assumptions!$C$18-Assumptions!$B$18)</f>
        <v>0.0380505089829374</v>
      </c>
      <c r="L40" s="4" t="n">
        <f aca="false">(I40-Assumptions!$B$19)/(Assumptions!$C$19-Assumptions!$B$19)</f>
        <v>0.536585365853658</v>
      </c>
      <c r="M40" s="4" t="n">
        <f aca="false">0.4*J40+0.4*K40+0.2*L40</f>
        <v>0.413446367672998</v>
      </c>
    </row>
    <row r="41" customFormat="false" ht="15" hidden="false" customHeight="false" outlineLevel="0" collapsed="false">
      <c r="A41" s="3" t="s">
        <v>2</v>
      </c>
      <c r="B41" s="3" t="s">
        <v>149</v>
      </c>
      <c r="C41" s="3" t="s">
        <v>150</v>
      </c>
      <c r="D41" s="3" t="s">
        <v>151</v>
      </c>
      <c r="E41" s="3" t="n">
        <v>188</v>
      </c>
      <c r="F41" s="3" t="n">
        <v>4</v>
      </c>
      <c r="G41" s="3" t="n">
        <v>328</v>
      </c>
      <c r="H41" s="4" t="n">
        <f aca="false">G41/E41</f>
        <v>1.74468085106383</v>
      </c>
      <c r="I41" s="3" t="n">
        <v>2.3</v>
      </c>
      <c r="J41" s="4" t="n">
        <f aca="false">(F41-Assumptions!$B$17)/(Assumptions!$C$17-Assumptions!$B$17)</f>
        <v>0.272727272727273</v>
      </c>
      <c r="K41" s="4" t="n">
        <f aca="false">(H41-Assumptions!$B$18)/(Assumptions!$C$18-Assumptions!$B$18)</f>
        <v>0.00208924203401405</v>
      </c>
      <c r="L41" s="4" t="n">
        <f aca="false">(I41-Assumptions!$B$19)/(Assumptions!$C$19-Assumptions!$B$19)</f>
        <v>0.414634146341463</v>
      </c>
      <c r="M41" s="4" t="n">
        <f aca="false">0.4*J41+0.4*K41+0.2*L41</f>
        <v>0.192853435172807</v>
      </c>
    </row>
    <row r="42" customFormat="false" ht="15" hidden="false" customHeight="false" outlineLevel="0" collapsed="false">
      <c r="A42" s="3" t="s">
        <v>2</v>
      </c>
      <c r="B42" s="3" t="s">
        <v>152</v>
      </c>
      <c r="C42" s="3" t="s">
        <v>150</v>
      </c>
      <c r="D42" s="3" t="s">
        <v>151</v>
      </c>
      <c r="E42" s="3" t="n">
        <v>7</v>
      </c>
      <c r="F42" s="3" t="n">
        <v>4</v>
      </c>
      <c r="G42" s="3" t="n">
        <v>328</v>
      </c>
      <c r="H42" s="4" t="n">
        <f aca="false">G42/E42</f>
        <v>46.8571428571429</v>
      </c>
      <c r="I42" s="3" t="n">
        <v>2.3</v>
      </c>
      <c r="J42" s="4" t="n">
        <f aca="false">(F42-Assumptions!$B$17)/(Assumptions!$C$17-Assumptions!$B$17)</f>
        <v>0.272727272727273</v>
      </c>
      <c r="K42" s="4" t="n">
        <f aca="false">(H42-Assumptions!$B$18)/(Assumptions!$C$18-Assumptions!$B$18)</f>
        <v>0.0580642664850011</v>
      </c>
      <c r="L42" s="4" t="n">
        <f aca="false">(I42-Assumptions!$B$19)/(Assumptions!$C$19-Assumptions!$B$19)</f>
        <v>0.414634146341463</v>
      </c>
      <c r="M42" s="4" t="n">
        <f aca="false">0.4*J42+0.4*K42+0.2*L42</f>
        <v>0.215243444953202</v>
      </c>
    </row>
    <row r="43" customFormat="false" ht="15" hidden="false" customHeight="false" outlineLevel="0" collapsed="false">
      <c r="A43" s="3" t="s">
        <v>2</v>
      </c>
      <c r="B43" s="3" t="s">
        <v>153</v>
      </c>
      <c r="C43" s="3" t="s">
        <v>154</v>
      </c>
      <c r="D43" s="3" t="s">
        <v>155</v>
      </c>
      <c r="E43" s="3" t="n">
        <v>4.5</v>
      </c>
      <c r="F43" s="3" t="n">
        <v>2</v>
      </c>
      <c r="G43" s="3" t="n">
        <v>497</v>
      </c>
      <c r="H43" s="4" t="n">
        <f aca="false">G43/E43</f>
        <v>110.444444444444</v>
      </c>
      <c r="I43" s="3" t="n">
        <v>1.2</v>
      </c>
      <c r="J43" s="4" t="n">
        <f aca="false">(F43-Assumptions!$B$17)/(Assumptions!$C$17-Assumptions!$B$17)</f>
        <v>0.0909090909090909</v>
      </c>
      <c r="K43" s="4" t="n">
        <f aca="false">(H43-Assumptions!$B$18)/(Assumptions!$C$18-Assumptions!$B$18)</f>
        <v>0.136962659586266</v>
      </c>
      <c r="L43" s="4" t="n">
        <f aca="false">(I43-Assumptions!$B$19)/(Assumptions!$C$19-Assumptions!$B$19)</f>
        <v>0.146341463414634</v>
      </c>
      <c r="M43" s="4" t="n">
        <f aca="false">0.4*J43+0.4*K43+0.2*L43</f>
        <v>0.12041699288107</v>
      </c>
    </row>
    <row r="44" customFormat="false" ht="15" hidden="false" customHeight="false" outlineLevel="0" collapsed="false">
      <c r="A44" s="3" t="s">
        <v>2</v>
      </c>
      <c r="B44" s="3" t="s">
        <v>156</v>
      </c>
      <c r="C44" s="3" t="s">
        <v>157</v>
      </c>
      <c r="D44" s="3" t="s">
        <v>158</v>
      </c>
      <c r="E44" s="3" t="n">
        <v>406</v>
      </c>
      <c r="F44" s="3" t="n">
        <v>3</v>
      </c>
      <c r="G44" s="3" t="n">
        <v>729</v>
      </c>
      <c r="H44" s="4" t="n">
        <f aca="false">G44/E44</f>
        <v>1.79556650246305</v>
      </c>
      <c r="I44" s="3" t="n">
        <v>0.8</v>
      </c>
      <c r="J44" s="4" t="n">
        <f aca="false">(F44-Assumptions!$B$17)/(Assumptions!$C$17-Assumptions!$B$17)</f>
        <v>0.181818181818182</v>
      </c>
      <c r="K44" s="4" t="n">
        <f aca="false">(H44-Assumptions!$B$18)/(Assumptions!$C$18-Assumptions!$B$18)</f>
        <v>0.00215238036552192</v>
      </c>
      <c r="L44" s="4" t="n">
        <f aca="false">(I44-Assumptions!$B$19)/(Assumptions!$C$19-Assumptions!$B$19)</f>
        <v>0.0487804878048781</v>
      </c>
      <c r="M44" s="4" t="n">
        <f aca="false">0.4*J44+0.4*K44+0.2*L44</f>
        <v>0.0833443224344571</v>
      </c>
    </row>
    <row r="45" customFormat="false" ht="15" hidden="false" customHeight="false" outlineLevel="0" collapsed="false">
      <c r="A45" s="3" t="s">
        <v>2</v>
      </c>
      <c r="B45" s="3" t="s">
        <v>159</v>
      </c>
      <c r="C45" s="3" t="s">
        <v>160</v>
      </c>
      <c r="D45" s="3" t="s">
        <v>161</v>
      </c>
      <c r="E45" s="3" t="n">
        <v>204</v>
      </c>
      <c r="F45" s="3" t="n">
        <v>1</v>
      </c>
      <c r="G45" s="3" t="n">
        <v>693</v>
      </c>
      <c r="H45" s="4" t="n">
        <f aca="false">G45/E45</f>
        <v>3.39705882352941</v>
      </c>
      <c r="I45" s="3" t="n">
        <v>1.3</v>
      </c>
      <c r="J45" s="4" t="n">
        <f aca="false">(F45-Assumptions!$B$17)/(Assumptions!$C$17-Assumptions!$B$17)</f>
        <v>0</v>
      </c>
      <c r="K45" s="4" t="n">
        <f aca="false">(H45-Assumptions!$B$18)/(Assumptions!$C$18-Assumptions!$B$18)</f>
        <v>0.00413949363408344</v>
      </c>
      <c r="L45" s="4" t="n">
        <f aca="false">(I45-Assumptions!$B$19)/(Assumptions!$C$19-Assumptions!$B$19)</f>
        <v>0.170731707317073</v>
      </c>
      <c r="M45" s="4" t="n">
        <f aca="false">0.4*J45+0.4*K45+0.2*L45</f>
        <v>0.035802138917048</v>
      </c>
    </row>
    <row r="46" customFormat="false" ht="15" hidden="false" customHeight="false" outlineLevel="0" collapsed="false">
      <c r="A46" s="3" t="s">
        <v>2</v>
      </c>
      <c r="B46" s="3" t="s">
        <v>162</v>
      </c>
      <c r="C46" s="3" t="s">
        <v>160</v>
      </c>
      <c r="D46" s="3" t="s">
        <v>161</v>
      </c>
      <c r="E46" s="3" t="n">
        <v>2400</v>
      </c>
      <c r="F46" s="3" t="n">
        <v>1</v>
      </c>
      <c r="G46" s="3" t="n">
        <v>693</v>
      </c>
      <c r="H46" s="4" t="n">
        <f aca="false">G46/E46</f>
        <v>0.28875</v>
      </c>
      <c r="I46" s="3" t="n">
        <v>1.3</v>
      </c>
      <c r="J46" s="4" t="n">
        <f aca="false">(F46-Assumptions!$B$17)/(Assumptions!$C$17-Assumptions!$B$17)</f>
        <v>0</v>
      </c>
      <c r="K46" s="4" t="n">
        <f aca="false">(H46-Assumptions!$B$18)/(Assumptions!$C$18-Assumptions!$B$18)</f>
        <v>0.000282739764723972</v>
      </c>
      <c r="L46" s="4" t="n">
        <f aca="false">(I46-Assumptions!$B$19)/(Assumptions!$C$19-Assumptions!$B$19)</f>
        <v>0.170731707317073</v>
      </c>
      <c r="M46" s="4" t="n">
        <f aca="false">0.4*J46+0.4*K46+0.2*L46</f>
        <v>0.0342594373693042</v>
      </c>
    </row>
    <row r="47" customFormat="false" ht="15" hidden="false" customHeight="false" outlineLevel="0" collapsed="false">
      <c r="A47" s="3" t="s">
        <v>2</v>
      </c>
      <c r="B47" s="3" t="s">
        <v>163</v>
      </c>
      <c r="C47" s="3" t="s">
        <v>160</v>
      </c>
      <c r="D47" s="3" t="s">
        <v>161</v>
      </c>
      <c r="E47" s="3" t="n">
        <v>336.5</v>
      </c>
      <c r="F47" s="3" t="n">
        <v>1</v>
      </c>
      <c r="G47" s="3" t="n">
        <v>693</v>
      </c>
      <c r="H47" s="4" t="n">
        <f aca="false">G47/E47</f>
        <v>2.0594353640416</v>
      </c>
      <c r="I47" s="3" t="n">
        <v>1.3</v>
      </c>
      <c r="J47" s="4" t="n">
        <f aca="false">(F47-Assumptions!$B$17)/(Assumptions!$C$17-Assumptions!$B$17)</f>
        <v>0</v>
      </c>
      <c r="K47" s="4" t="n">
        <f aca="false">(H47-Assumptions!$B$18)/(Assumptions!$C$18-Assumptions!$B$18)</f>
        <v>0.00247978581674121</v>
      </c>
      <c r="L47" s="4" t="n">
        <f aca="false">(I47-Assumptions!$B$19)/(Assumptions!$C$19-Assumptions!$B$19)</f>
        <v>0.170731707317073</v>
      </c>
      <c r="M47" s="4" t="n">
        <f aca="false">0.4*J47+0.4*K47+0.2*L47</f>
        <v>0.0351382557901111</v>
      </c>
    </row>
    <row r="48" customFormat="false" ht="15" hidden="false" customHeight="false" outlineLevel="0" collapsed="false">
      <c r="A48" s="3" t="s">
        <v>2</v>
      </c>
      <c r="B48" s="3" t="s">
        <v>164</v>
      </c>
      <c r="C48" s="3" t="s">
        <v>165</v>
      </c>
      <c r="D48" s="3" t="s">
        <v>166</v>
      </c>
      <c r="E48" s="3" t="n">
        <v>4</v>
      </c>
      <c r="F48" s="3" t="n">
        <v>4</v>
      </c>
      <c r="G48" s="3" t="n">
        <v>581</v>
      </c>
      <c r="H48" s="4" t="n">
        <f aca="false">G48/E48</f>
        <v>145.25</v>
      </c>
      <c r="I48" s="3" t="n">
        <v>1.4</v>
      </c>
      <c r="J48" s="4" t="n">
        <f aca="false">(F48-Assumptions!$B$17)/(Assumptions!$C$17-Assumptions!$B$17)</f>
        <v>0.272727272727273</v>
      </c>
      <c r="K48" s="4" t="n">
        <f aca="false">(H48-Assumptions!$B$18)/(Assumptions!$C$18-Assumptions!$B$18)</f>
        <v>0.180148992954413</v>
      </c>
      <c r="L48" s="4" t="n">
        <f aca="false">(I48-Assumptions!$B$19)/(Assumptions!$C$19-Assumptions!$B$19)</f>
        <v>0.195121951219512</v>
      </c>
      <c r="M48" s="4" t="n">
        <f aca="false">0.4*J48+0.4*K48+0.2*L48</f>
        <v>0.220174896516577</v>
      </c>
    </row>
    <row r="49" customFormat="false" ht="15" hidden="false" customHeight="false" outlineLevel="0" collapsed="false">
      <c r="A49" s="3" t="s">
        <v>2</v>
      </c>
      <c r="B49" s="3" t="s">
        <v>167</v>
      </c>
      <c r="C49" s="3" t="s">
        <v>168</v>
      </c>
      <c r="D49" s="3" t="s">
        <v>169</v>
      </c>
      <c r="E49" s="3" t="n">
        <v>1759.5</v>
      </c>
      <c r="F49" s="3" t="n">
        <v>2</v>
      </c>
      <c r="G49" s="3" t="n">
        <v>485</v>
      </c>
      <c r="H49" s="4" t="n">
        <f aca="false">G49/E49</f>
        <v>0.27564649048025</v>
      </c>
      <c r="I49" s="3" t="n">
        <v>1.5</v>
      </c>
      <c r="J49" s="4" t="n">
        <f aca="false">(F49-Assumptions!$B$17)/(Assumptions!$C$17-Assumptions!$B$17)</f>
        <v>0.0909090909090909</v>
      </c>
      <c r="K49" s="4" t="n">
        <f aca="false">(H49-Assumptions!$B$18)/(Assumptions!$C$18-Assumptions!$B$18)</f>
        <v>0.00026648108068977</v>
      </c>
      <c r="L49" s="4" t="n">
        <f aca="false">(I49-Assumptions!$B$19)/(Assumptions!$C$19-Assumptions!$B$19)</f>
        <v>0.219512195121951</v>
      </c>
      <c r="M49" s="4" t="n">
        <f aca="false">0.4*J49+0.4*K49+0.2*L49</f>
        <v>0.0803726678203025</v>
      </c>
    </row>
    <row r="50" customFormat="false" ht="15" hidden="false" customHeight="false" outlineLevel="0" collapsed="false">
      <c r="A50" s="3" t="s">
        <v>2</v>
      </c>
      <c r="B50" s="3" t="s">
        <v>170</v>
      </c>
      <c r="C50" s="3" t="s">
        <v>171</v>
      </c>
      <c r="D50" s="3" t="s">
        <v>172</v>
      </c>
      <c r="E50" s="3" t="n">
        <v>13</v>
      </c>
      <c r="F50" s="3" t="n">
        <v>3</v>
      </c>
      <c r="G50" s="3" t="n">
        <v>552</v>
      </c>
      <c r="H50" s="4" t="n">
        <f aca="false">G50/E50</f>
        <v>42.4615384615385</v>
      </c>
      <c r="I50" s="3" t="n">
        <v>1.5</v>
      </c>
      <c r="J50" s="4" t="n">
        <f aca="false">(F50-Assumptions!$B$17)/(Assumptions!$C$17-Assumptions!$B$17)</f>
        <v>0.181818181818182</v>
      </c>
      <c r="K50" s="4" t="n">
        <f aca="false">(H50-Assumptions!$B$18)/(Assumptions!$C$18-Assumptions!$B$18)</f>
        <v>0.0526102510626624</v>
      </c>
      <c r="L50" s="4" t="n">
        <f aca="false">(I50-Assumptions!$B$19)/(Assumptions!$C$19-Assumptions!$B$19)</f>
        <v>0.219512195121951</v>
      </c>
      <c r="M50" s="4" t="n">
        <f aca="false">0.4*J50+0.4*K50+0.2*L50</f>
        <v>0.137673812176728</v>
      </c>
    </row>
    <row r="51" customFormat="false" ht="15" hidden="false" customHeight="false" outlineLevel="0" collapsed="false">
      <c r="A51" s="3" t="s">
        <v>2</v>
      </c>
      <c r="B51" s="3" t="s">
        <v>173</v>
      </c>
      <c r="C51" s="3" t="s">
        <v>174</v>
      </c>
      <c r="D51" s="3" t="s">
        <v>175</v>
      </c>
      <c r="E51" s="3" t="n">
        <v>12.5</v>
      </c>
      <c r="F51" s="3" t="n">
        <v>1</v>
      </c>
      <c r="G51" s="3" t="n">
        <v>729</v>
      </c>
      <c r="H51" s="4" t="n">
        <f aca="false">G51/E51</f>
        <v>58.32</v>
      </c>
      <c r="I51" s="3" t="n">
        <v>1.3</v>
      </c>
      <c r="J51" s="4" t="n">
        <f aca="false">(F51-Assumptions!$B$17)/(Assumptions!$C$17-Assumptions!$B$17)</f>
        <v>0</v>
      </c>
      <c r="K51" s="4" t="n">
        <f aca="false">(H51-Assumptions!$B$18)/(Assumptions!$C$18-Assumptions!$B$18)</f>
        <v>0.0722872479033758</v>
      </c>
      <c r="L51" s="4" t="n">
        <f aca="false">(I51-Assumptions!$B$19)/(Assumptions!$C$19-Assumptions!$B$19)</f>
        <v>0.170731707317073</v>
      </c>
      <c r="M51" s="4" t="n">
        <f aca="false">0.4*J51+0.4*K51+0.2*L51</f>
        <v>0.063061240624765</v>
      </c>
    </row>
    <row r="52" customFormat="false" ht="15" hidden="false" customHeight="false" outlineLevel="0" collapsed="false">
      <c r="A52" s="3" t="s">
        <v>2</v>
      </c>
      <c r="B52" s="3" t="s">
        <v>176</v>
      </c>
      <c r="C52" s="3" t="s">
        <v>174</v>
      </c>
      <c r="D52" s="3" t="s">
        <v>175</v>
      </c>
      <c r="E52" s="3" t="n">
        <v>255</v>
      </c>
      <c r="F52" s="3" t="n">
        <v>1</v>
      </c>
      <c r="G52" s="3" t="n">
        <v>729</v>
      </c>
      <c r="H52" s="4" t="n">
        <f aca="false">G52/E52</f>
        <v>2.85882352941176</v>
      </c>
      <c r="I52" s="3" t="n">
        <v>1.3</v>
      </c>
      <c r="J52" s="4" t="n">
        <f aca="false">(F52-Assumptions!$B$17)/(Assumptions!$C$17-Assumptions!$B$17)</f>
        <v>0</v>
      </c>
      <c r="K52" s="4" t="n">
        <f aca="false">(H52-Assumptions!$B$18)/(Assumptions!$C$18-Assumptions!$B$18)</f>
        <v>0.00347165746622899</v>
      </c>
      <c r="L52" s="4" t="n">
        <f aca="false">(I52-Assumptions!$B$19)/(Assumptions!$C$19-Assumptions!$B$19)</f>
        <v>0.170731707317073</v>
      </c>
      <c r="M52" s="4" t="n">
        <f aca="false">0.4*J52+0.4*K52+0.2*L52</f>
        <v>0.0355350044499062</v>
      </c>
    </row>
    <row r="53" customFormat="false" ht="15" hidden="false" customHeight="false" outlineLevel="0" collapsed="false">
      <c r="A53" s="3" t="s">
        <v>2</v>
      </c>
      <c r="B53" s="3" t="s">
        <v>177</v>
      </c>
      <c r="C53" s="3" t="s">
        <v>178</v>
      </c>
      <c r="D53" s="3" t="s">
        <v>179</v>
      </c>
      <c r="E53" s="3" t="n">
        <v>154</v>
      </c>
      <c r="F53" s="3" t="n">
        <v>11</v>
      </c>
      <c r="G53" s="3" t="n">
        <v>145</v>
      </c>
      <c r="H53" s="4" t="n">
        <f aca="false">G53/E53</f>
        <v>0.941558441558442</v>
      </c>
      <c r="I53" s="3" t="n">
        <v>2.5</v>
      </c>
      <c r="J53" s="4" t="n">
        <f aca="false">(F53-Assumptions!$B$17)/(Assumptions!$C$17-Assumptions!$B$17)</f>
        <v>0.909090909090909</v>
      </c>
      <c r="K53" s="4" t="n">
        <f aca="false">(H53-Assumptions!$B$18)/(Assumptions!$C$18-Assumptions!$B$18)</f>
        <v>0.00109273697731504</v>
      </c>
      <c r="L53" s="4" t="n">
        <f aca="false">(I53-Assumptions!$B$19)/(Assumptions!$C$19-Assumptions!$B$19)</f>
        <v>0.463414634146341</v>
      </c>
      <c r="M53" s="4" t="n">
        <f aca="false">0.4*J53+0.4*K53+0.2*L53</f>
        <v>0.456756385256558</v>
      </c>
    </row>
    <row r="54" customFormat="false" ht="15" hidden="false" customHeight="false" outlineLevel="0" collapsed="false">
      <c r="A54" s="3" t="s">
        <v>2</v>
      </c>
      <c r="B54" s="3" t="s">
        <v>180</v>
      </c>
      <c r="C54" s="3" t="s">
        <v>181</v>
      </c>
      <c r="D54" s="3" t="s">
        <v>182</v>
      </c>
      <c r="E54" s="3" t="n">
        <v>24</v>
      </c>
      <c r="F54" s="3" t="n">
        <v>1</v>
      </c>
      <c r="G54" s="3" t="n">
        <v>712</v>
      </c>
      <c r="H54" s="4" t="n">
        <f aca="false">G54/E54</f>
        <v>29.6666666666667</v>
      </c>
      <c r="I54" s="3" t="n">
        <v>1.5</v>
      </c>
      <c r="J54" s="4" t="n">
        <f aca="false">(F54-Assumptions!$B$17)/(Assumptions!$C$17-Assumptions!$B$17)</f>
        <v>0</v>
      </c>
      <c r="K54" s="4" t="n">
        <f aca="false">(H54-Assumptions!$B$18)/(Assumptions!$C$18-Assumptions!$B$18)</f>
        <v>0.0367345211708049</v>
      </c>
      <c r="L54" s="4" t="n">
        <f aca="false">(I54-Assumptions!$B$19)/(Assumptions!$C$19-Assumptions!$B$19)</f>
        <v>0.219512195121951</v>
      </c>
      <c r="M54" s="4" t="n">
        <f aca="false">0.4*J54+0.4*K54+0.2*L54</f>
        <v>0.0585962474927122</v>
      </c>
    </row>
    <row r="55" customFormat="false" ht="15" hidden="false" customHeight="false" outlineLevel="0" collapsed="false">
      <c r="A55" s="3" t="s">
        <v>2</v>
      </c>
      <c r="B55" s="3" t="s">
        <v>183</v>
      </c>
      <c r="C55" s="3" t="s">
        <v>181</v>
      </c>
      <c r="D55" s="3" t="s">
        <v>182</v>
      </c>
      <c r="E55" s="3" t="n">
        <v>31</v>
      </c>
      <c r="F55" s="3" t="n">
        <v>1</v>
      </c>
      <c r="G55" s="3" t="n">
        <v>712</v>
      </c>
      <c r="H55" s="4" t="n">
        <f aca="false">G55/E55</f>
        <v>22.9677419354839</v>
      </c>
      <c r="I55" s="3" t="n">
        <v>1.5</v>
      </c>
      <c r="J55" s="4" t="n">
        <f aca="false">(F55-Assumptions!$B$17)/(Assumptions!$C$17-Assumptions!$B$17)</f>
        <v>0</v>
      </c>
      <c r="K55" s="4" t="n">
        <f aca="false">(H55-Assumptions!$B$18)/(Assumptions!$C$18-Assumptions!$B$18)</f>
        <v>0.0284225723444973</v>
      </c>
      <c r="L55" s="4" t="n">
        <f aca="false">(I55-Assumptions!$B$19)/(Assumptions!$C$19-Assumptions!$B$19)</f>
        <v>0.219512195121951</v>
      </c>
      <c r="M55" s="4" t="n">
        <f aca="false">0.4*J55+0.4*K55+0.2*L55</f>
        <v>0.0552714679621891</v>
      </c>
    </row>
    <row r="56" customFormat="false" ht="15" hidden="false" customHeight="false" outlineLevel="0" collapsed="false">
      <c r="A56" s="3" t="s">
        <v>2</v>
      </c>
      <c r="B56" s="3" t="s">
        <v>184</v>
      </c>
      <c r="C56" s="3" t="s">
        <v>185</v>
      </c>
      <c r="D56" s="3" t="s">
        <v>186</v>
      </c>
      <c r="E56" s="3" t="n">
        <v>10.5</v>
      </c>
      <c r="F56" s="3" t="n">
        <v>2</v>
      </c>
      <c r="G56" s="3" t="n">
        <v>717</v>
      </c>
      <c r="H56" s="4" t="n">
        <f aca="false">G56/E56</f>
        <v>68.2857142857143</v>
      </c>
      <c r="I56" s="3" t="n">
        <v>0.6</v>
      </c>
      <c r="J56" s="4" t="n">
        <f aca="false">(F56-Assumptions!$B$17)/(Assumptions!$C$17-Assumptions!$B$17)</f>
        <v>0.0909090909090909</v>
      </c>
      <c r="K56" s="4" t="n">
        <f aca="false">(H56-Assumptions!$B$18)/(Assumptions!$C$18-Assumptions!$B$18)</f>
        <v>0.0846525916689021</v>
      </c>
      <c r="L56" s="4" t="n">
        <f aca="false">(I56-Assumptions!$B$19)/(Assumptions!$C$19-Assumptions!$B$19)</f>
        <v>0</v>
      </c>
      <c r="M56" s="4" t="n">
        <f aca="false">0.4*J56+0.4*K56+0.2*L56</f>
        <v>0.0702246730311972</v>
      </c>
    </row>
    <row r="57" customFormat="false" ht="15" hidden="false" customHeight="false" outlineLevel="0" collapsed="false">
      <c r="A57" s="3" t="s">
        <v>2</v>
      </c>
      <c r="B57" s="3" t="s">
        <v>187</v>
      </c>
      <c r="C57" s="3" t="s">
        <v>188</v>
      </c>
      <c r="D57" s="3" t="s">
        <v>189</v>
      </c>
      <c r="E57" s="3" t="n">
        <v>1838</v>
      </c>
      <c r="F57" s="3" t="n">
        <v>2</v>
      </c>
      <c r="G57" s="3" t="n">
        <v>552</v>
      </c>
      <c r="H57" s="4" t="n">
        <f aca="false">G57/E57</f>
        <v>0.300326441784548</v>
      </c>
      <c r="I57" s="3" t="n">
        <v>1.5</v>
      </c>
      <c r="J57" s="4" t="n">
        <f aca="false">(F57-Assumptions!$B$17)/(Assumptions!$C$17-Assumptions!$B$17)</f>
        <v>0.0909090909090909</v>
      </c>
      <c r="K57" s="4" t="n">
        <f aca="false">(H57-Assumptions!$B$18)/(Assumptions!$C$18-Assumptions!$B$18)</f>
        <v>0.000297103680660508</v>
      </c>
      <c r="L57" s="4" t="n">
        <f aca="false">(I57-Assumptions!$B$19)/(Assumptions!$C$19-Assumptions!$B$19)</f>
        <v>0.219512195121951</v>
      </c>
      <c r="M57" s="4" t="n">
        <f aca="false">0.4*J57+0.4*K57+0.2*L57</f>
        <v>0.0803849168602908</v>
      </c>
    </row>
    <row r="58" customFormat="false" ht="15" hidden="false" customHeight="false" outlineLevel="0" collapsed="false">
      <c r="A58" s="3" t="s">
        <v>2</v>
      </c>
      <c r="B58" s="3" t="s">
        <v>190</v>
      </c>
      <c r="C58" s="3" t="s">
        <v>188</v>
      </c>
      <c r="D58" s="3" t="s">
        <v>189</v>
      </c>
      <c r="E58" s="3" t="n">
        <v>3.5</v>
      </c>
      <c r="F58" s="3" t="n">
        <v>2</v>
      </c>
      <c r="G58" s="3" t="n">
        <v>552</v>
      </c>
      <c r="H58" s="4" t="n">
        <f aca="false">G58/E58</f>
        <v>157.714285714286</v>
      </c>
      <c r="I58" s="3" t="n">
        <v>1.5</v>
      </c>
      <c r="J58" s="4" t="n">
        <f aca="false">(F58-Assumptions!$B$17)/(Assumptions!$C$17-Assumptions!$B$17)</f>
        <v>0.0909090909090909</v>
      </c>
      <c r="K58" s="4" t="n">
        <f aca="false">(H58-Assumptions!$B$18)/(Assumptions!$C$18-Assumptions!$B$18)</f>
        <v>0.195614535436382</v>
      </c>
      <c r="L58" s="4" t="n">
        <f aca="false">(I58-Assumptions!$B$19)/(Assumptions!$C$19-Assumptions!$B$19)</f>
        <v>0.219512195121951</v>
      </c>
      <c r="M58" s="4" t="n">
        <f aca="false">0.4*J58+0.4*K58+0.2*L58</f>
        <v>0.15851188956258</v>
      </c>
    </row>
    <row r="59" customFormat="false" ht="15" hidden="false" customHeight="false" outlineLevel="0" collapsed="false">
      <c r="A59" s="3" t="s">
        <v>2</v>
      </c>
      <c r="B59" s="3" t="s">
        <v>191</v>
      </c>
      <c r="C59" s="3" t="s">
        <v>188</v>
      </c>
      <c r="D59" s="3" t="s">
        <v>189</v>
      </c>
      <c r="E59" s="3" t="n">
        <v>262</v>
      </c>
      <c r="F59" s="3" t="n">
        <v>2</v>
      </c>
      <c r="G59" s="3" t="n">
        <v>552</v>
      </c>
      <c r="H59" s="4" t="n">
        <f aca="false">G59/E59</f>
        <v>2.10687022900763</v>
      </c>
      <c r="I59" s="3" t="n">
        <v>1.5</v>
      </c>
      <c r="J59" s="4" t="n">
        <f aca="false">(F59-Assumptions!$B$17)/(Assumptions!$C$17-Assumptions!$B$17)</f>
        <v>0.0909090909090909</v>
      </c>
      <c r="K59" s="4" t="n">
        <f aca="false">(H59-Assumptions!$B$18)/(Assumptions!$C$18-Assumptions!$B$18)</f>
        <v>0.0025386424520972</v>
      </c>
      <c r="L59" s="4" t="n">
        <f aca="false">(I59-Assumptions!$B$19)/(Assumptions!$C$19-Assumptions!$B$19)</f>
        <v>0.219512195121951</v>
      </c>
      <c r="M59" s="4" t="n">
        <f aca="false">0.4*J59+0.4*K59+0.2*L59</f>
        <v>0.0812815323688655</v>
      </c>
    </row>
    <row r="60" customFormat="false" ht="15" hidden="false" customHeight="false" outlineLevel="0" collapsed="false">
      <c r="A60" s="3" t="s">
        <v>2</v>
      </c>
      <c r="B60" s="3" t="s">
        <v>192</v>
      </c>
      <c r="C60" s="3" t="s">
        <v>193</v>
      </c>
      <c r="D60" s="3" t="s">
        <v>194</v>
      </c>
      <c r="E60" s="3" t="n">
        <v>242.5</v>
      </c>
      <c r="F60" s="3" t="n">
        <v>4</v>
      </c>
      <c r="G60" s="3" t="n">
        <v>321</v>
      </c>
      <c r="H60" s="4" t="n">
        <f aca="false">G60/E60</f>
        <v>1.32371134020619</v>
      </c>
      <c r="I60" s="3" t="n">
        <v>1.8</v>
      </c>
      <c r="J60" s="4" t="n">
        <f aca="false">(F60-Assumptions!$B$17)/(Assumptions!$C$17-Assumptions!$B$17)</f>
        <v>0.272727272727273</v>
      </c>
      <c r="K60" s="4" t="n">
        <f aca="false">(H60-Assumptions!$B$18)/(Assumptions!$C$18-Assumptions!$B$18)</f>
        <v>0.00156690790247848</v>
      </c>
      <c r="L60" s="4" t="n">
        <f aca="false">(I60-Assumptions!$B$19)/(Assumptions!$C$19-Assumptions!$B$19)</f>
        <v>0.292682926829268</v>
      </c>
      <c r="M60" s="4" t="n">
        <f aca="false">0.4*J60+0.4*K60+0.2*L60</f>
        <v>0.168254257617754</v>
      </c>
    </row>
    <row r="61" customFormat="false" ht="15" hidden="false" customHeight="false" outlineLevel="0" collapsed="false">
      <c r="A61" s="3" t="s">
        <v>2</v>
      </c>
      <c r="B61" s="3" t="s">
        <v>195</v>
      </c>
      <c r="C61" s="3" t="s">
        <v>196</v>
      </c>
      <c r="D61" s="3" t="s">
        <v>197</v>
      </c>
      <c r="E61" s="3" t="n">
        <v>6.5</v>
      </c>
      <c r="F61" s="3" t="n">
        <v>3</v>
      </c>
      <c r="G61" s="3" t="n">
        <v>712</v>
      </c>
      <c r="H61" s="4" t="n">
        <f aca="false">G61/E61</f>
        <v>109.538461538462</v>
      </c>
      <c r="I61" s="3" t="n">
        <v>1.5</v>
      </c>
      <c r="J61" s="4" t="n">
        <f aca="false">(F61-Assumptions!$B$17)/(Assumptions!$C$17-Assumptions!$B$17)</f>
        <v>0.181818181818182</v>
      </c>
      <c r="K61" s="4" t="n">
        <f aca="false">(H61-Assumptions!$B$18)/(Assumptions!$C$18-Assumptions!$B$18)</f>
        <v>0.13583852640755</v>
      </c>
      <c r="L61" s="4" t="n">
        <f aca="false">(I61-Assumptions!$B$19)/(Assumptions!$C$19-Assumptions!$B$19)</f>
        <v>0.219512195121951</v>
      </c>
      <c r="M61" s="4" t="n">
        <f aca="false">0.4*J61+0.4*K61+0.2*L61</f>
        <v>0.170965122314683</v>
      </c>
    </row>
    <row r="62" customFormat="false" ht="15" hidden="false" customHeight="false" outlineLevel="0" collapsed="false">
      <c r="A62" s="3" t="s">
        <v>2</v>
      </c>
      <c r="B62" s="3" t="s">
        <v>198</v>
      </c>
      <c r="C62" s="3" t="s">
        <v>199</v>
      </c>
      <c r="D62" s="3" t="s">
        <v>200</v>
      </c>
      <c r="E62" s="3" t="n">
        <v>2776</v>
      </c>
      <c r="F62" s="3" t="n">
        <v>11</v>
      </c>
      <c r="G62" s="3" t="n">
        <v>169</v>
      </c>
      <c r="H62" s="4" t="n">
        <f aca="false">G62/E62</f>
        <v>0.0608789625360231</v>
      </c>
      <c r="I62" s="3" t="n">
        <v>2.8</v>
      </c>
      <c r="J62" s="4" t="n">
        <f aca="false">(F62-Assumptions!$B$17)/(Assumptions!$C$17-Assumptions!$B$17)</f>
        <v>0.909090909090909</v>
      </c>
      <c r="K62" s="4" t="n">
        <f aca="false">(H62-Assumptions!$B$18)/(Assumptions!$C$18-Assumptions!$B$18)</f>
        <v>0</v>
      </c>
      <c r="L62" s="4" t="n">
        <f aca="false">(I62-Assumptions!$B$19)/(Assumptions!$C$19-Assumptions!$B$19)</f>
        <v>0.536585365853658</v>
      </c>
      <c r="M62" s="4" t="n">
        <f aca="false">0.4*J62+0.4*K62+0.2*L62</f>
        <v>0.470953436807095</v>
      </c>
    </row>
    <row r="63" customFormat="false" ht="15" hidden="false" customHeight="false" outlineLevel="0" collapsed="false">
      <c r="A63" s="3" t="s">
        <v>2</v>
      </c>
      <c r="B63" s="3" t="s">
        <v>201</v>
      </c>
      <c r="C63" s="3" t="s">
        <v>202</v>
      </c>
      <c r="D63" s="3" t="s">
        <v>203</v>
      </c>
      <c r="E63" s="3" t="n">
        <v>12</v>
      </c>
      <c r="F63" s="3" t="n">
        <v>4</v>
      </c>
      <c r="G63" s="3" t="n">
        <v>328</v>
      </c>
      <c r="H63" s="4" t="n">
        <f aca="false">G63/E63</f>
        <v>27.3333333333333</v>
      </c>
      <c r="I63" s="3" t="n">
        <v>2.3</v>
      </c>
      <c r="J63" s="4" t="n">
        <f aca="false">(F63-Assumptions!$B$17)/(Assumptions!$C$17-Assumptions!$B$17)</f>
        <v>0.272727272727273</v>
      </c>
      <c r="K63" s="4" t="n">
        <f aca="false">(H63-Assumptions!$B$18)/(Assumptions!$C$18-Assumptions!$B$18)</f>
        <v>0.0338393479841135</v>
      </c>
      <c r="L63" s="4" t="n">
        <f aca="false">(I63-Assumptions!$B$19)/(Assumptions!$C$19-Assumptions!$B$19)</f>
        <v>0.414634146341463</v>
      </c>
      <c r="M63" s="4" t="n">
        <f aca="false">0.4*J63+0.4*K63+0.2*L63</f>
        <v>0.205553477552847</v>
      </c>
    </row>
    <row r="64" customFormat="false" ht="15" hidden="false" customHeight="false" outlineLevel="0" collapsed="false">
      <c r="A64" s="3" t="s">
        <v>2</v>
      </c>
      <c r="B64" s="3" t="s">
        <v>204</v>
      </c>
      <c r="C64" s="3" t="s">
        <v>205</v>
      </c>
      <c r="D64" s="3" t="s">
        <v>206</v>
      </c>
      <c r="E64" s="3" t="n">
        <v>157.5</v>
      </c>
      <c r="F64" s="3" t="n">
        <v>1</v>
      </c>
      <c r="G64" s="3" t="n">
        <v>712</v>
      </c>
      <c r="H64" s="4" t="n">
        <f aca="false">G64/E64</f>
        <v>4.52063492063492</v>
      </c>
      <c r="I64" s="3" t="n">
        <v>1.5</v>
      </c>
      <c r="J64" s="4" t="n">
        <f aca="false">(F64-Assumptions!$B$17)/(Assumptions!$C$17-Assumptions!$B$17)</f>
        <v>0</v>
      </c>
      <c r="K64" s="4" t="n">
        <f aca="false">(H64-Assumptions!$B$18)/(Assumptions!$C$18-Assumptions!$B$18)</f>
        <v>0.00553361394388943</v>
      </c>
      <c r="L64" s="4" t="n">
        <f aca="false">(I64-Assumptions!$B$19)/(Assumptions!$C$19-Assumptions!$B$19)</f>
        <v>0.219512195121951</v>
      </c>
      <c r="M64" s="4" t="n">
        <f aca="false">0.4*J64+0.4*K64+0.2*L64</f>
        <v>0.046115884601946</v>
      </c>
    </row>
    <row r="65" customFormat="false" ht="15" hidden="false" customHeight="false" outlineLevel="0" collapsed="false">
      <c r="A65" s="3" t="s">
        <v>2</v>
      </c>
      <c r="B65" s="3" t="s">
        <v>207</v>
      </c>
      <c r="C65" s="3" t="s">
        <v>205</v>
      </c>
      <c r="D65" s="3" t="s">
        <v>206</v>
      </c>
      <c r="E65" s="3" t="n">
        <v>7.5</v>
      </c>
      <c r="F65" s="3" t="n">
        <v>1</v>
      </c>
      <c r="G65" s="3" t="n">
        <v>712</v>
      </c>
      <c r="H65" s="4" t="n">
        <f aca="false">G65/E65</f>
        <v>94.9333333333333</v>
      </c>
      <c r="I65" s="3" t="n">
        <v>1.5</v>
      </c>
      <c r="J65" s="4" t="n">
        <f aca="false">(F65-Assumptions!$B$17)/(Assumptions!$C$17-Assumptions!$B$17)</f>
        <v>0</v>
      </c>
      <c r="K65" s="4" t="n">
        <f aca="false">(H65-Assumptions!$B$18)/(Assumptions!$C$18-Assumptions!$B$18)</f>
        <v>0.11771665116426</v>
      </c>
      <c r="L65" s="4" t="n">
        <f aca="false">(I65-Assumptions!$B$19)/(Assumptions!$C$19-Assumptions!$B$19)</f>
        <v>0.219512195121951</v>
      </c>
      <c r="M65" s="4" t="n">
        <f aca="false">0.4*J65+0.4*K65+0.2*L65</f>
        <v>0.0909890994900942</v>
      </c>
    </row>
    <row r="66" customFormat="false" ht="15" hidden="false" customHeight="false" outlineLevel="0" collapsed="false">
      <c r="A66" s="3" t="s">
        <v>2</v>
      </c>
      <c r="B66" s="3" t="s">
        <v>208</v>
      </c>
      <c r="C66" s="3" t="s">
        <v>209</v>
      </c>
      <c r="D66" s="3" t="s">
        <v>210</v>
      </c>
      <c r="E66" s="3" t="n">
        <v>459</v>
      </c>
      <c r="F66" s="3" t="n">
        <v>1</v>
      </c>
      <c r="G66" s="3" t="n">
        <v>741</v>
      </c>
      <c r="H66" s="4" t="n">
        <f aca="false">G66/E66</f>
        <v>1.61437908496732</v>
      </c>
      <c r="I66" s="3" t="n">
        <v>0.9</v>
      </c>
      <c r="J66" s="4" t="n">
        <f aca="false">(F66-Assumptions!$B$17)/(Assumptions!$C$17-Assumptions!$B$17)</f>
        <v>0</v>
      </c>
      <c r="K66" s="4" t="n">
        <f aca="false">(H66-Assumptions!$B$18)/(Assumptions!$C$18-Assumptions!$B$18)</f>
        <v>0.00192756509999356</v>
      </c>
      <c r="L66" s="4" t="n">
        <f aca="false">(I66-Assumptions!$B$19)/(Assumptions!$C$19-Assumptions!$B$19)</f>
        <v>0.0731707317073171</v>
      </c>
      <c r="M66" s="4" t="n">
        <f aca="false">0.4*J66+0.4*K66+0.2*L66</f>
        <v>0.0154051723814608</v>
      </c>
    </row>
    <row r="67" customFormat="false" ht="15" hidden="false" customHeight="false" outlineLevel="0" collapsed="false">
      <c r="A67" s="3" t="s">
        <v>2</v>
      </c>
      <c r="B67" s="3" t="s">
        <v>211</v>
      </c>
      <c r="C67" s="3" t="s">
        <v>212</v>
      </c>
      <c r="D67" s="3" t="s">
        <v>213</v>
      </c>
      <c r="E67" s="3" t="n">
        <v>90.5</v>
      </c>
      <c r="F67" s="3" t="n">
        <v>4</v>
      </c>
      <c r="G67" s="3" t="n">
        <v>521</v>
      </c>
      <c r="H67" s="4" t="n">
        <f aca="false">G67/E67</f>
        <v>5.75690607734807</v>
      </c>
      <c r="I67" s="3" t="n">
        <v>1.1</v>
      </c>
      <c r="J67" s="4" t="n">
        <f aca="false">(F67-Assumptions!$B$17)/(Assumptions!$C$17-Assumptions!$B$17)</f>
        <v>0.272727272727273</v>
      </c>
      <c r="K67" s="4" t="n">
        <f aca="false">(H67-Assumptions!$B$18)/(Assumptions!$C$18-Assumptions!$B$18)</f>
        <v>0.00706756498863053</v>
      </c>
      <c r="L67" s="4" t="n">
        <f aca="false">(I67-Assumptions!$B$19)/(Assumptions!$C$19-Assumptions!$B$19)</f>
        <v>0.121951219512195</v>
      </c>
      <c r="M67" s="4" t="n">
        <f aca="false">0.4*J67+0.4*K67+0.2*L67</f>
        <v>0.1363081789888</v>
      </c>
    </row>
    <row r="68" customFormat="false" ht="15" hidden="false" customHeight="false" outlineLevel="0" collapsed="false">
      <c r="A68" s="3" t="s">
        <v>2</v>
      </c>
      <c r="B68" s="3" t="s">
        <v>214</v>
      </c>
      <c r="C68" s="3" t="s">
        <v>212</v>
      </c>
      <c r="D68" s="3" t="s">
        <v>213</v>
      </c>
      <c r="E68" s="3" t="n">
        <v>165</v>
      </c>
      <c r="F68" s="3" t="n">
        <v>4</v>
      </c>
      <c r="G68" s="3" t="n">
        <v>521</v>
      </c>
      <c r="H68" s="4" t="n">
        <f aca="false">G68/E68</f>
        <v>3.15757575757576</v>
      </c>
      <c r="I68" s="3" t="n">
        <v>1.1</v>
      </c>
      <c r="J68" s="4" t="n">
        <f aca="false">(F68-Assumptions!$B$17)/(Assumptions!$C$17-Assumptions!$B$17)</f>
        <v>0.272727272727273</v>
      </c>
      <c r="K68" s="4" t="n">
        <f aca="false">(H68-Assumptions!$B$18)/(Assumptions!$C$18-Assumptions!$B$18)</f>
        <v>0.00384234579784815</v>
      </c>
      <c r="L68" s="4" t="n">
        <f aca="false">(I68-Assumptions!$B$19)/(Assumptions!$C$19-Assumptions!$B$19)</f>
        <v>0.121951219512195</v>
      </c>
      <c r="M68" s="4" t="n">
        <f aca="false">0.4*J68+0.4*K68+0.2*L68</f>
        <v>0.135018091312487</v>
      </c>
    </row>
    <row r="69" customFormat="false" ht="15" hidden="false" customHeight="false" outlineLevel="0" collapsed="false">
      <c r="A69" s="3" t="s">
        <v>2</v>
      </c>
      <c r="B69" s="3" t="s">
        <v>215</v>
      </c>
      <c r="C69" s="3" t="s">
        <v>216</v>
      </c>
      <c r="D69" s="3" t="s">
        <v>217</v>
      </c>
      <c r="E69" s="3" t="n">
        <v>438</v>
      </c>
      <c r="F69" s="3" t="n">
        <v>2</v>
      </c>
      <c r="G69" s="3" t="n">
        <v>741</v>
      </c>
      <c r="H69" s="4" t="n">
        <f aca="false">G69/E69</f>
        <v>1.69178082191781</v>
      </c>
      <c r="I69" s="3" t="n">
        <v>0.9</v>
      </c>
      <c r="J69" s="4" t="n">
        <f aca="false">(F69-Assumptions!$B$17)/(Assumptions!$C$17-Assumptions!$B$17)</f>
        <v>0.0909090909090909</v>
      </c>
      <c r="K69" s="4" t="n">
        <f aca="false">(H69-Assumptions!$B$18)/(Assumptions!$C$18-Assumptions!$B$18)</f>
        <v>0.00202360428574601</v>
      </c>
      <c r="L69" s="4" t="n">
        <f aca="false">(I69-Assumptions!$B$19)/(Assumptions!$C$19-Assumptions!$B$19)</f>
        <v>0.0731707317073171</v>
      </c>
      <c r="M69" s="4" t="n">
        <f aca="false">0.4*J69+0.4*K69+0.2*L69</f>
        <v>0.0518072244193982</v>
      </c>
    </row>
    <row r="70" customFormat="false" ht="15" hidden="false" customHeight="false" outlineLevel="0" collapsed="false">
      <c r="A70" s="3" t="s">
        <v>2</v>
      </c>
      <c r="B70" s="3" t="s">
        <v>218</v>
      </c>
      <c r="C70" s="3" t="s">
        <v>219</v>
      </c>
      <c r="D70" s="3" t="s">
        <v>220</v>
      </c>
      <c r="E70" s="3" t="n">
        <v>4.5</v>
      </c>
      <c r="F70" s="3" t="n">
        <v>11</v>
      </c>
      <c r="G70" s="3" t="n">
        <v>205</v>
      </c>
      <c r="H70" s="4" t="n">
        <f aca="false">G70/E70</f>
        <v>45.5555555555556</v>
      </c>
      <c r="I70" s="3" t="n">
        <v>2.8</v>
      </c>
      <c r="J70" s="4" t="n">
        <f aca="false">(F70-Assumptions!$B$17)/(Assumptions!$C$17-Assumptions!$B$17)</f>
        <v>0.909090909090909</v>
      </c>
      <c r="K70" s="4" t="n">
        <f aca="false">(H70-Assumptions!$B$18)/(Assumptions!$C$18-Assumptions!$B$18)</f>
        <v>0.0564492719182752</v>
      </c>
      <c r="L70" s="4" t="n">
        <f aca="false">(I70-Assumptions!$B$19)/(Assumptions!$C$19-Assumptions!$B$19)</f>
        <v>0.536585365853658</v>
      </c>
      <c r="M70" s="4" t="n">
        <f aca="false">0.4*J70+0.4*K70+0.2*L70</f>
        <v>0.493533145574405</v>
      </c>
    </row>
    <row r="71" customFormat="false" ht="15" hidden="false" customHeight="false" outlineLevel="0" collapsed="false">
      <c r="A71" s="3" t="s">
        <v>2</v>
      </c>
      <c r="B71" s="3" t="s">
        <v>221</v>
      </c>
      <c r="C71" s="3" t="s">
        <v>222</v>
      </c>
      <c r="D71" s="3" t="s">
        <v>223</v>
      </c>
      <c r="E71" s="3" t="n">
        <v>2635</v>
      </c>
      <c r="F71" s="3" t="n">
        <v>1</v>
      </c>
      <c r="G71" s="3" t="n">
        <v>712</v>
      </c>
      <c r="H71" s="4" t="n">
        <f aca="false">G71/E71</f>
        <v>0.270208728652751</v>
      </c>
      <c r="I71" s="3" t="n">
        <v>1.5</v>
      </c>
      <c r="J71" s="4" t="n">
        <f aca="false">(F71-Assumptions!$B$17)/(Assumptions!$C$17-Assumptions!$B$17)</f>
        <v>0</v>
      </c>
      <c r="K71" s="4" t="n">
        <f aca="false">(H71-Assumptions!$B$18)/(Assumptions!$C$18-Assumptions!$B$18)</f>
        <v>0.000259733968301804</v>
      </c>
      <c r="L71" s="4" t="n">
        <f aca="false">(I71-Assumptions!$B$19)/(Assumptions!$C$19-Assumptions!$B$19)</f>
        <v>0.219512195121951</v>
      </c>
      <c r="M71" s="4" t="n">
        <f aca="false">0.4*J71+0.4*K71+0.2*L71</f>
        <v>0.044006332611711</v>
      </c>
    </row>
    <row r="72" customFormat="false" ht="15" hidden="false" customHeight="false" outlineLevel="0" collapsed="false">
      <c r="A72" s="3" t="s">
        <v>2</v>
      </c>
      <c r="B72" s="3" t="s">
        <v>224</v>
      </c>
      <c r="C72" s="3" t="s">
        <v>222</v>
      </c>
      <c r="D72" s="3" t="s">
        <v>223</v>
      </c>
      <c r="E72" s="3" t="n">
        <v>1617</v>
      </c>
      <c r="F72" s="3" t="n">
        <v>1</v>
      </c>
      <c r="G72" s="3" t="n">
        <v>712</v>
      </c>
      <c r="H72" s="4" t="n">
        <f aca="false">G72/E72</f>
        <v>0.440321583178726</v>
      </c>
      <c r="I72" s="3" t="n">
        <v>1.5</v>
      </c>
      <c r="J72" s="4" t="n">
        <f aca="false">(F72-Assumptions!$B$17)/(Assumptions!$C$17-Assumptions!$B$17)</f>
        <v>0</v>
      </c>
      <c r="K72" s="4" t="n">
        <f aca="false">(H72-Assumptions!$B$18)/(Assumptions!$C$18-Assumptions!$B$18)</f>
        <v>0.000470808043359723</v>
      </c>
      <c r="L72" s="4" t="n">
        <f aca="false">(I72-Assumptions!$B$19)/(Assumptions!$C$19-Assumptions!$B$19)</f>
        <v>0.219512195121951</v>
      </c>
      <c r="M72" s="4" t="n">
        <f aca="false">0.4*J72+0.4*K72+0.2*L72</f>
        <v>0.0440907622417341</v>
      </c>
    </row>
    <row r="73" customFormat="false" ht="15" hidden="false" customHeight="false" outlineLevel="0" collapsed="false">
      <c r="A73" s="3" t="s">
        <v>2</v>
      </c>
      <c r="B73" s="3" t="s">
        <v>225</v>
      </c>
      <c r="C73" s="3" t="s">
        <v>226</v>
      </c>
      <c r="D73" s="3" t="s">
        <v>227</v>
      </c>
      <c r="E73" s="3" t="n">
        <v>5</v>
      </c>
      <c r="F73" s="3" t="n">
        <v>2</v>
      </c>
      <c r="G73" s="3" t="n">
        <v>624</v>
      </c>
      <c r="H73" s="4" t="n">
        <f aca="false">G73/E73</f>
        <v>124.8</v>
      </c>
      <c r="I73" s="3" t="n">
        <v>1.5</v>
      </c>
      <c r="J73" s="4" t="n">
        <f aca="false">(F73-Assumptions!$B$17)/(Assumptions!$C$17-Assumptions!$B$17)</f>
        <v>0.0909090909090909</v>
      </c>
      <c r="K73" s="4" t="n">
        <f aca="false">(H73-Assumptions!$B$18)/(Assumptions!$C$18-Assumptions!$B$18)</f>
        <v>0.15477486795391</v>
      </c>
      <c r="L73" s="4" t="n">
        <f aca="false">(I73-Assumptions!$B$19)/(Assumptions!$C$19-Assumptions!$B$19)</f>
        <v>0.219512195121951</v>
      </c>
      <c r="M73" s="4" t="n">
        <f aca="false">0.4*J73+0.4*K73+0.2*L73</f>
        <v>0.142176022569591</v>
      </c>
    </row>
    <row r="74" customFormat="false" ht="15" hidden="false" customHeight="false" outlineLevel="0" collapsed="false">
      <c r="A74" s="3" t="s">
        <v>2</v>
      </c>
      <c r="B74" s="3" t="s">
        <v>228</v>
      </c>
      <c r="C74" s="3" t="s">
        <v>229</v>
      </c>
      <c r="D74" s="3" t="s">
        <v>230</v>
      </c>
      <c r="E74" s="3" t="n">
        <v>8.5</v>
      </c>
      <c r="F74" s="3" t="n">
        <v>1</v>
      </c>
      <c r="G74" s="3" t="n">
        <v>729</v>
      </c>
      <c r="H74" s="4" t="n">
        <f aca="false">G74/E74</f>
        <v>85.7647058823529</v>
      </c>
      <c r="I74" s="3" t="n">
        <v>0.8</v>
      </c>
      <c r="J74" s="4" t="n">
        <f aca="false">(F74-Assumptions!$B$17)/(Assumptions!$C$17-Assumptions!$B$17)</f>
        <v>0</v>
      </c>
      <c r="K74" s="4" t="n">
        <f aca="false">(H74-Assumptions!$B$18)/(Assumptions!$C$18-Assumptions!$B$18)</f>
        <v>0.106340323583613</v>
      </c>
      <c r="L74" s="4" t="n">
        <f aca="false">(I74-Assumptions!$B$19)/(Assumptions!$C$19-Assumptions!$B$19)</f>
        <v>0.0487804878048781</v>
      </c>
      <c r="M74" s="4" t="n">
        <f aca="false">0.4*J74+0.4*K74+0.2*L74</f>
        <v>0.052292226994421</v>
      </c>
    </row>
    <row r="75" customFormat="false" ht="15" hidden="false" customHeight="false" outlineLevel="0" collapsed="false">
      <c r="A75" s="3" t="s">
        <v>2</v>
      </c>
      <c r="B75" s="3" t="s">
        <v>231</v>
      </c>
      <c r="C75" s="3" t="s">
        <v>229</v>
      </c>
      <c r="D75" s="3" t="s">
        <v>230</v>
      </c>
      <c r="E75" s="3" t="n">
        <v>374</v>
      </c>
      <c r="F75" s="3" t="n">
        <v>1</v>
      </c>
      <c r="G75" s="3" t="n">
        <v>729</v>
      </c>
      <c r="H75" s="4" t="n">
        <f aca="false">G75/E75</f>
        <v>1.94919786096257</v>
      </c>
      <c r="I75" s="3" t="n">
        <v>0.8</v>
      </c>
      <c r="J75" s="4" t="n">
        <f aca="false">(F75-Assumptions!$B$17)/(Assumptions!$C$17-Assumptions!$B$17)</f>
        <v>0</v>
      </c>
      <c r="K75" s="4" t="n">
        <f aca="false">(H75-Assumptions!$B$18)/(Assumptions!$C$18-Assumptions!$B$18)</f>
        <v>0.00234300438970596</v>
      </c>
      <c r="L75" s="4" t="n">
        <f aca="false">(I75-Assumptions!$B$19)/(Assumptions!$C$19-Assumptions!$B$19)</f>
        <v>0.0487804878048781</v>
      </c>
      <c r="M75" s="4" t="n">
        <f aca="false">0.4*J75+0.4*K75+0.2*L75</f>
        <v>0.010693299316858</v>
      </c>
    </row>
    <row r="76" customFormat="false" ht="15" hidden="false" customHeight="false" outlineLevel="0" collapsed="false">
      <c r="A76" s="3" t="s">
        <v>2</v>
      </c>
      <c r="B76" s="3" t="s">
        <v>232</v>
      </c>
      <c r="C76" s="3" t="s">
        <v>233</v>
      </c>
      <c r="D76" s="3" t="s">
        <v>234</v>
      </c>
      <c r="E76" s="3" t="n">
        <v>2</v>
      </c>
      <c r="F76" s="3" t="n">
        <v>4</v>
      </c>
      <c r="G76" s="3" t="n">
        <v>292</v>
      </c>
      <c r="H76" s="4" t="n">
        <f aca="false">G76/E76</f>
        <v>146</v>
      </c>
      <c r="I76" s="3" t="n">
        <v>2.3</v>
      </c>
      <c r="J76" s="4" t="n">
        <f aca="false">(F76-Assumptions!$B$17)/(Assumptions!$C$17-Assumptions!$B$17)</f>
        <v>0.272727272727273</v>
      </c>
      <c r="K76" s="4" t="n">
        <f aca="false">(H76-Assumptions!$B$18)/(Assumptions!$C$18-Assumptions!$B$18)</f>
        <v>0.18107958433585</v>
      </c>
      <c r="L76" s="4" t="n">
        <f aca="false">(I76-Assumptions!$B$19)/(Assumptions!$C$19-Assumptions!$B$19)</f>
        <v>0.414634146341463</v>
      </c>
      <c r="M76" s="4" t="n">
        <f aca="false">0.4*J76+0.4*K76+0.2*L76</f>
        <v>0.264449572093542</v>
      </c>
    </row>
    <row r="77" customFormat="false" ht="15" hidden="false" customHeight="false" outlineLevel="0" collapsed="false">
      <c r="A77" s="3" t="s">
        <v>2</v>
      </c>
      <c r="B77" s="3" t="s">
        <v>235</v>
      </c>
      <c r="C77" s="3" t="s">
        <v>233</v>
      </c>
      <c r="D77" s="3" t="s">
        <v>234</v>
      </c>
      <c r="E77" s="3" t="n">
        <v>8.5</v>
      </c>
      <c r="F77" s="3" t="n">
        <v>4</v>
      </c>
      <c r="G77" s="3" t="n">
        <v>292</v>
      </c>
      <c r="H77" s="4" t="n">
        <f aca="false">G77/E77</f>
        <v>34.3529411764706</v>
      </c>
      <c r="I77" s="3" t="n">
        <v>2.3</v>
      </c>
      <c r="J77" s="4" t="n">
        <f aca="false">(F77-Assumptions!$B$17)/(Assumptions!$C$17-Assumptions!$B$17)</f>
        <v>0.272727272727273</v>
      </c>
      <c r="K77" s="4" t="n">
        <f aca="false">(H77-Assumptions!$B$18)/(Assumptions!$C$18-Assumptions!$B$18)</f>
        <v>0.0425491967306306</v>
      </c>
      <c r="L77" s="4" t="n">
        <f aca="false">(I77-Assumptions!$B$19)/(Assumptions!$C$19-Assumptions!$B$19)</f>
        <v>0.414634146341463</v>
      </c>
      <c r="M77" s="4" t="n">
        <f aca="false">0.4*J77+0.4*K77+0.2*L77</f>
        <v>0.209037417051454</v>
      </c>
    </row>
    <row r="78" customFormat="false" ht="15" hidden="false" customHeight="false" outlineLevel="0" collapsed="false">
      <c r="A78" s="3" t="s">
        <v>2</v>
      </c>
      <c r="B78" s="3" t="s">
        <v>236</v>
      </c>
      <c r="C78" s="3" t="s">
        <v>237</v>
      </c>
      <c r="D78" s="3" t="s">
        <v>238</v>
      </c>
      <c r="E78" s="3" t="n">
        <v>401.5</v>
      </c>
      <c r="F78" s="3" t="n">
        <v>2</v>
      </c>
      <c r="G78" s="3" t="n">
        <v>509</v>
      </c>
      <c r="H78" s="4" t="n">
        <f aca="false">G78/E78</f>
        <v>1.26774595267746</v>
      </c>
      <c r="I78" s="3" t="n">
        <v>1.8</v>
      </c>
      <c r="J78" s="4" t="n">
        <f aca="false">(F78-Assumptions!$B$17)/(Assumptions!$C$17-Assumptions!$B$17)</f>
        <v>0.0909090909090909</v>
      </c>
      <c r="K78" s="4" t="n">
        <f aca="false">(H78-Assumptions!$B$18)/(Assumptions!$C$18-Assumptions!$B$18)</f>
        <v>0.0014974666927545</v>
      </c>
      <c r="L78" s="4" t="n">
        <f aca="false">(I78-Assumptions!$B$19)/(Assumptions!$C$19-Assumptions!$B$19)</f>
        <v>0.292682926829268</v>
      </c>
      <c r="M78" s="4" t="n">
        <f aca="false">0.4*J78+0.4*K78+0.2*L78</f>
        <v>0.0954992084065918</v>
      </c>
    </row>
    <row r="79" customFormat="false" ht="15" hidden="false" customHeight="false" outlineLevel="0" collapsed="false">
      <c r="A79" s="3" t="s">
        <v>2</v>
      </c>
      <c r="B79" s="3" t="s">
        <v>239</v>
      </c>
      <c r="C79" s="3" t="s">
        <v>240</v>
      </c>
      <c r="D79" s="3" t="s">
        <v>241</v>
      </c>
      <c r="E79" s="3" t="n">
        <v>42.5</v>
      </c>
      <c r="F79" s="3" t="n">
        <v>2</v>
      </c>
      <c r="G79" s="3" t="n">
        <v>521</v>
      </c>
      <c r="H79" s="4" t="n">
        <f aca="false">G79/E79</f>
        <v>12.2588235294118</v>
      </c>
      <c r="I79" s="3" t="n">
        <v>1.1</v>
      </c>
      <c r="J79" s="4" t="n">
        <f aca="false">(F79-Assumptions!$B$17)/(Assumptions!$C$17-Assumptions!$B$17)</f>
        <v>0.0909090909090909</v>
      </c>
      <c r="K79" s="4" t="n">
        <f aca="false">(H79-Assumptions!$B$18)/(Assumptions!$C$18-Assumptions!$B$18)</f>
        <v>0.0151350694469002</v>
      </c>
      <c r="L79" s="4" t="n">
        <f aca="false">(I79-Assumptions!$B$19)/(Assumptions!$C$19-Assumptions!$B$19)</f>
        <v>0.121951219512195</v>
      </c>
      <c r="M79" s="4" t="n">
        <f aca="false">0.4*J79+0.4*K79+0.2*L79</f>
        <v>0.0668079080448355</v>
      </c>
    </row>
    <row r="80" customFormat="false" ht="15" hidden="false" customHeight="false" outlineLevel="0" collapsed="false">
      <c r="A80" s="3" t="s">
        <v>2</v>
      </c>
      <c r="B80" s="3" t="s">
        <v>242</v>
      </c>
      <c r="C80" s="3" t="s">
        <v>243</v>
      </c>
      <c r="D80" s="3" t="s">
        <v>244</v>
      </c>
      <c r="E80" s="3" t="n">
        <v>21</v>
      </c>
      <c r="F80" s="3" t="n">
        <v>3</v>
      </c>
      <c r="G80" s="3" t="n">
        <v>588</v>
      </c>
      <c r="H80" s="4" t="n">
        <f aca="false">G80/E80</f>
        <v>28</v>
      </c>
      <c r="I80" s="3" t="n">
        <v>1.5</v>
      </c>
      <c r="J80" s="4" t="n">
        <f aca="false">(F80-Assumptions!$B$17)/(Assumptions!$C$17-Assumptions!$B$17)</f>
        <v>0.181818181818182</v>
      </c>
      <c r="K80" s="4" t="n">
        <f aca="false">(H80-Assumptions!$B$18)/(Assumptions!$C$18-Assumptions!$B$18)</f>
        <v>0.0346665403231682</v>
      </c>
      <c r="L80" s="4" t="n">
        <f aca="false">(I80-Assumptions!$B$19)/(Assumptions!$C$19-Assumptions!$B$19)</f>
        <v>0.219512195121951</v>
      </c>
      <c r="M80" s="4" t="n">
        <f aca="false">0.4*J80+0.4*K80+0.2*L80</f>
        <v>0.13049632788093</v>
      </c>
    </row>
    <row r="81" customFormat="false" ht="15" hidden="false" customHeight="false" outlineLevel="0" collapsed="false">
      <c r="A81" s="3" t="s">
        <v>2</v>
      </c>
      <c r="B81" s="3" t="s">
        <v>245</v>
      </c>
      <c r="C81" s="3" t="s">
        <v>243</v>
      </c>
      <c r="D81" s="3" t="s">
        <v>244</v>
      </c>
      <c r="E81" s="3" t="n">
        <v>27.5</v>
      </c>
      <c r="F81" s="3" t="n">
        <v>3</v>
      </c>
      <c r="G81" s="3" t="n">
        <v>588</v>
      </c>
      <c r="H81" s="4" t="n">
        <f aca="false">G81/E81</f>
        <v>21.3818181818182</v>
      </c>
      <c r="I81" s="3" t="n">
        <v>1.5</v>
      </c>
      <c r="J81" s="4" t="n">
        <f aca="false">(F81-Assumptions!$B$17)/(Assumptions!$C$17-Assumptions!$B$17)</f>
        <v>0.181818181818182</v>
      </c>
      <c r="K81" s="4" t="n">
        <f aca="false">(H81-Assumptions!$B$18)/(Assumptions!$C$18-Assumptions!$B$18)</f>
        <v>0.0264547763754616</v>
      </c>
      <c r="L81" s="4" t="n">
        <f aca="false">(I81-Assumptions!$B$19)/(Assumptions!$C$19-Assumptions!$B$19)</f>
        <v>0.219512195121951</v>
      </c>
      <c r="M81" s="4" t="n">
        <f aca="false">0.4*J81+0.4*K81+0.2*L81</f>
        <v>0.127211622301848</v>
      </c>
    </row>
    <row r="82" customFormat="false" ht="15" hidden="false" customHeight="false" outlineLevel="0" collapsed="false">
      <c r="A82" s="3" t="s">
        <v>2</v>
      </c>
      <c r="B82" s="3" t="s">
        <v>246</v>
      </c>
      <c r="C82" s="3" t="s">
        <v>243</v>
      </c>
      <c r="D82" s="3" t="s">
        <v>244</v>
      </c>
      <c r="E82" s="3" t="n">
        <v>20.5</v>
      </c>
      <c r="F82" s="3" t="n">
        <v>3</v>
      </c>
      <c r="G82" s="3" t="n">
        <v>588</v>
      </c>
      <c r="H82" s="4" t="n">
        <f aca="false">G82/E82</f>
        <v>28.6829268292683</v>
      </c>
      <c r="I82" s="3" t="n">
        <v>1.5</v>
      </c>
      <c r="J82" s="4" t="n">
        <f aca="false">(F82-Assumptions!$B$17)/(Assumptions!$C$17-Assumptions!$B$17)</f>
        <v>0.181818181818182</v>
      </c>
      <c r="K82" s="4" t="n">
        <f aca="false">(H82-Assumptions!$B$18)/(Assumptions!$C$18-Assumptions!$B$18)</f>
        <v>0.0355139080851267</v>
      </c>
      <c r="L82" s="4" t="n">
        <f aca="false">(I82-Assumptions!$B$19)/(Assumptions!$C$19-Assumptions!$B$19)</f>
        <v>0.219512195121951</v>
      </c>
      <c r="M82" s="4" t="n">
        <f aca="false">0.4*J82+0.4*K82+0.2*L82</f>
        <v>0.130835274985714</v>
      </c>
    </row>
    <row r="83" customFormat="false" ht="15" hidden="false" customHeight="false" outlineLevel="0" collapsed="false">
      <c r="A83" s="3" t="s">
        <v>2</v>
      </c>
      <c r="B83" s="3" t="s">
        <v>247</v>
      </c>
      <c r="C83" s="3" t="s">
        <v>248</v>
      </c>
      <c r="D83" s="3" t="s">
        <v>249</v>
      </c>
      <c r="E83" s="3" t="n">
        <v>230.5</v>
      </c>
      <c r="F83" s="3" t="n">
        <v>1</v>
      </c>
      <c r="G83" s="3" t="n">
        <v>712</v>
      </c>
      <c r="H83" s="4" t="n">
        <f aca="false">G83/E83</f>
        <v>3.08893709327549</v>
      </c>
      <c r="I83" s="3" t="n">
        <v>1.5</v>
      </c>
      <c r="J83" s="4" t="n">
        <f aca="false">(F83-Assumptions!$B$17)/(Assumptions!$C$17-Assumptions!$B$17)</f>
        <v>0</v>
      </c>
      <c r="K83" s="4" t="n">
        <f aca="false">(H83-Assumptions!$B$18)/(Assumptions!$C$18-Assumptions!$B$18)</f>
        <v>0.00375717973193996</v>
      </c>
      <c r="L83" s="4" t="n">
        <f aca="false">(I83-Assumptions!$B$19)/(Assumptions!$C$19-Assumptions!$B$19)</f>
        <v>0.219512195121951</v>
      </c>
      <c r="M83" s="4" t="n">
        <f aca="false">0.4*J83+0.4*K83+0.2*L83</f>
        <v>0.0454053109171662</v>
      </c>
    </row>
    <row r="84" customFormat="false" ht="15" hidden="false" customHeight="false" outlineLevel="0" collapsed="false">
      <c r="A84" s="3" t="s">
        <v>2</v>
      </c>
      <c r="B84" s="3" t="s">
        <v>250</v>
      </c>
      <c r="C84" s="3" t="s">
        <v>251</v>
      </c>
      <c r="D84" s="3" t="s">
        <v>252</v>
      </c>
      <c r="E84" s="3" t="n">
        <v>2729</v>
      </c>
      <c r="F84" s="3" t="n">
        <v>9</v>
      </c>
      <c r="G84" s="3" t="n">
        <v>181</v>
      </c>
      <c r="H84" s="4" t="n">
        <f aca="false">G84/E84</f>
        <v>0.0663246610480029</v>
      </c>
      <c r="I84" s="3" t="n">
        <v>2.9</v>
      </c>
      <c r="J84" s="4" t="n">
        <f aca="false">(F84-Assumptions!$B$17)/(Assumptions!$C$17-Assumptions!$B$17)</f>
        <v>0.727272727272727</v>
      </c>
      <c r="K84" s="4" t="n">
        <f aca="false">(H84-Assumptions!$B$18)/(Assumptions!$C$18-Assumptions!$B$18)</f>
        <v>6.75696013486698E-006</v>
      </c>
      <c r="L84" s="4" t="n">
        <f aca="false">(I84-Assumptions!$B$19)/(Assumptions!$C$19-Assumptions!$B$19)</f>
        <v>0.560975609756097</v>
      </c>
      <c r="M84" s="4" t="n">
        <f aca="false">0.4*J84+0.4*K84+0.2*L84</f>
        <v>0.403106915644364</v>
      </c>
    </row>
    <row r="85" customFormat="false" ht="15" hidden="false" customHeight="false" outlineLevel="0" collapsed="false">
      <c r="A85" s="3" t="s">
        <v>2</v>
      </c>
      <c r="B85" s="3" t="s">
        <v>253</v>
      </c>
      <c r="C85" s="3" t="s">
        <v>254</v>
      </c>
      <c r="D85" s="3" t="s">
        <v>255</v>
      </c>
      <c r="E85" s="3" t="n">
        <v>67.5</v>
      </c>
      <c r="F85" s="3" t="n">
        <v>4</v>
      </c>
      <c r="G85" s="3" t="n">
        <v>328</v>
      </c>
      <c r="H85" s="4" t="n">
        <f aca="false">G85/E85</f>
        <v>4.85925925925926</v>
      </c>
      <c r="I85" s="3" t="n">
        <v>2.3</v>
      </c>
      <c r="J85" s="4" t="n">
        <f aca="false">(F85-Assumptions!$B$17)/(Assumptions!$C$17-Assumptions!$B$17)</f>
        <v>0.272727272727273</v>
      </c>
      <c r="K85" s="4" t="n">
        <f aca="false">(H85-Assumptions!$B$18)/(Assumptions!$C$18-Assumptions!$B$18)</f>
        <v>0.0059537751319807</v>
      </c>
      <c r="L85" s="4" t="n">
        <f aca="false">(I85-Assumptions!$B$19)/(Assumptions!$C$19-Assumptions!$B$19)</f>
        <v>0.414634146341463</v>
      </c>
      <c r="M85" s="4" t="n">
        <f aca="false">0.4*J85+0.4*K85+0.2*L85</f>
        <v>0.194399248411994</v>
      </c>
    </row>
    <row r="86" customFormat="false" ht="15" hidden="false" customHeight="false" outlineLevel="0" collapsed="false">
      <c r="A86" s="3" t="s">
        <v>2</v>
      </c>
      <c r="B86" s="3" t="s">
        <v>256</v>
      </c>
      <c r="C86" s="3" t="s">
        <v>254</v>
      </c>
      <c r="D86" s="3" t="s">
        <v>255</v>
      </c>
      <c r="E86" s="3" t="n">
        <v>63</v>
      </c>
      <c r="F86" s="3" t="n">
        <v>4</v>
      </c>
      <c r="G86" s="3" t="n">
        <v>328</v>
      </c>
      <c r="H86" s="4" t="n">
        <f aca="false">G86/E86</f>
        <v>5.20634920634921</v>
      </c>
      <c r="I86" s="3" t="n">
        <v>2.3</v>
      </c>
      <c r="J86" s="4" t="n">
        <f aca="false">(F86-Assumptions!$B$17)/(Assumptions!$C$17-Assumptions!$B$17)</f>
        <v>0.272727272727273</v>
      </c>
      <c r="K86" s="4" t="n">
        <f aca="false">(H86-Assumptions!$B$18)/(Assumptions!$C$18-Assumptions!$B$18)</f>
        <v>0.00638444034977426</v>
      </c>
      <c r="L86" s="4" t="n">
        <f aca="false">(I86-Assumptions!$B$19)/(Assumptions!$C$19-Assumptions!$B$19)</f>
        <v>0.414634146341463</v>
      </c>
      <c r="M86" s="4" t="n">
        <f aca="false">0.4*J86+0.4*K86+0.2*L86</f>
        <v>0.194571514499111</v>
      </c>
    </row>
    <row r="87" customFormat="false" ht="15" hidden="false" customHeight="false" outlineLevel="0" collapsed="false">
      <c r="A87" s="3" t="s">
        <v>2</v>
      </c>
      <c r="B87" s="3" t="s">
        <v>257</v>
      </c>
      <c r="C87" s="3" t="s">
        <v>254</v>
      </c>
      <c r="D87" s="3" t="s">
        <v>255</v>
      </c>
      <c r="E87" s="3" t="n">
        <v>3.5</v>
      </c>
      <c r="F87" s="3" t="n">
        <v>4</v>
      </c>
      <c r="G87" s="3" t="n">
        <v>328</v>
      </c>
      <c r="H87" s="4" t="n">
        <f aca="false">G87/E87</f>
        <v>93.7142857142857</v>
      </c>
      <c r="I87" s="3" t="n">
        <v>2.3</v>
      </c>
      <c r="J87" s="4" t="n">
        <f aca="false">(F87-Assumptions!$B$17)/(Assumptions!$C$17-Assumptions!$B$17)</f>
        <v>0.272727272727273</v>
      </c>
      <c r="K87" s="4" t="n">
        <f aca="false">(H87-Assumptions!$B$18)/(Assumptions!$C$18-Assumptions!$B$18)</f>
        <v>0.116204070887131</v>
      </c>
      <c r="L87" s="4" t="n">
        <f aca="false">(I87-Assumptions!$B$19)/(Assumptions!$C$19-Assumptions!$B$19)</f>
        <v>0.414634146341463</v>
      </c>
      <c r="M87" s="4" t="n">
        <f aca="false">0.4*J87+0.4*K87+0.2*L87</f>
        <v>0.238499366714054</v>
      </c>
    </row>
    <row r="88" customFormat="false" ht="15" hidden="false" customHeight="false" outlineLevel="0" collapsed="false">
      <c r="A88" s="3" t="s">
        <v>2</v>
      </c>
      <c r="B88" s="3" t="s">
        <v>258</v>
      </c>
      <c r="C88" s="3" t="s">
        <v>254</v>
      </c>
      <c r="D88" s="3" t="s">
        <v>255</v>
      </c>
      <c r="E88" s="3" t="n">
        <v>1980</v>
      </c>
      <c r="F88" s="3" t="n">
        <v>4</v>
      </c>
      <c r="G88" s="3" t="n">
        <v>328</v>
      </c>
      <c r="H88" s="4" t="n">
        <f aca="false">G88/E88</f>
        <v>0.165656565656566</v>
      </c>
      <c r="I88" s="3" t="n">
        <v>2.3</v>
      </c>
      <c r="J88" s="4" t="n">
        <f aca="false">(F88-Assumptions!$B$17)/(Assumptions!$C$17-Assumptions!$B$17)</f>
        <v>0.272727272727273</v>
      </c>
      <c r="K88" s="4" t="n">
        <f aca="false">(H88-Assumptions!$B$18)/(Assumptions!$C$18-Assumptions!$B$18)</f>
        <v>0.00013000684590874</v>
      </c>
      <c r="L88" s="4" t="n">
        <f aca="false">(I88-Assumptions!$B$19)/(Assumptions!$C$19-Assumptions!$B$19)</f>
        <v>0.414634146341463</v>
      </c>
      <c r="M88" s="4" t="n">
        <f aca="false">0.4*J88+0.4*K88+0.2*L88</f>
        <v>0.192069741097565</v>
      </c>
    </row>
    <row r="89" customFormat="false" ht="15" hidden="false" customHeight="false" outlineLevel="0" collapsed="false">
      <c r="A89" s="3" t="s">
        <v>2</v>
      </c>
      <c r="B89" s="3" t="s">
        <v>259</v>
      </c>
      <c r="C89" s="3" t="s">
        <v>254</v>
      </c>
      <c r="D89" s="3" t="s">
        <v>255</v>
      </c>
      <c r="E89" s="3" t="n">
        <v>4</v>
      </c>
      <c r="F89" s="3" t="n">
        <v>4</v>
      </c>
      <c r="G89" s="3" t="n">
        <v>328</v>
      </c>
      <c r="H89" s="4" t="n">
        <f aca="false">G89/E89</f>
        <v>82</v>
      </c>
      <c r="I89" s="3" t="n">
        <v>2.3</v>
      </c>
      <c r="J89" s="4" t="n">
        <f aca="false">(F89-Assumptions!$B$17)/(Assumptions!$C$17-Assumptions!$B$17)</f>
        <v>0.272727272727273</v>
      </c>
      <c r="K89" s="4" t="n">
        <f aca="false">(H89-Assumptions!$B$18)/(Assumptions!$C$18-Assumptions!$B$18)</f>
        <v>0.101669119786599</v>
      </c>
      <c r="L89" s="4" t="n">
        <f aca="false">(I89-Assumptions!$B$19)/(Assumptions!$C$19-Assumptions!$B$19)</f>
        <v>0.414634146341463</v>
      </c>
      <c r="M89" s="4" t="n">
        <f aca="false">0.4*J89+0.4*K89+0.2*L89</f>
        <v>0.232685386273841</v>
      </c>
    </row>
    <row r="90" customFormat="false" ht="15" hidden="false" customHeight="false" outlineLevel="0" collapsed="false">
      <c r="A90" s="3" t="s">
        <v>2</v>
      </c>
      <c r="B90" s="3" t="s">
        <v>260</v>
      </c>
      <c r="C90" s="3" t="s">
        <v>254</v>
      </c>
      <c r="D90" s="3" t="s">
        <v>255</v>
      </c>
      <c r="E90" s="3" t="n">
        <v>1351</v>
      </c>
      <c r="F90" s="3" t="n">
        <v>4</v>
      </c>
      <c r="G90" s="3" t="n">
        <v>328</v>
      </c>
      <c r="H90" s="4" t="n">
        <f aca="false">G90/E90</f>
        <v>0.242783123612139</v>
      </c>
      <c r="I90" s="3" t="n">
        <v>2.3</v>
      </c>
      <c r="J90" s="4" t="n">
        <f aca="false">(F90-Assumptions!$B$17)/(Assumptions!$C$17-Assumptions!$B$17)</f>
        <v>0.272727272727273</v>
      </c>
      <c r="K90" s="4" t="n">
        <f aca="false">(H90-Assumptions!$B$18)/(Assumptions!$C$18-Assumptions!$B$18)</f>
        <v>0.000225704592726502</v>
      </c>
      <c r="L90" s="4" t="n">
        <f aca="false">(I90-Assumptions!$B$19)/(Assumptions!$C$19-Assumptions!$B$19)</f>
        <v>0.414634146341463</v>
      </c>
      <c r="M90" s="4" t="n">
        <f aca="false">0.4*J90+0.4*K90+0.2*L90</f>
        <v>0.192108020196292</v>
      </c>
    </row>
    <row r="91" customFormat="false" ht="15" hidden="false" customHeight="false" outlineLevel="0" collapsed="false">
      <c r="A91" s="3" t="s">
        <v>2</v>
      </c>
      <c r="B91" s="3" t="s">
        <v>261</v>
      </c>
      <c r="C91" s="3" t="s">
        <v>254</v>
      </c>
      <c r="D91" s="3" t="s">
        <v>255</v>
      </c>
      <c r="E91" s="3" t="n">
        <v>72.5</v>
      </c>
      <c r="F91" s="3" t="n">
        <v>4</v>
      </c>
      <c r="G91" s="3" t="n">
        <v>328</v>
      </c>
      <c r="H91" s="4" t="n">
        <f aca="false">G91/E91</f>
        <v>4.52413793103448</v>
      </c>
      <c r="I91" s="3" t="n">
        <v>2.3</v>
      </c>
      <c r="J91" s="4" t="n">
        <f aca="false">(F91-Assumptions!$B$17)/(Assumptions!$C$17-Assumptions!$B$17)</f>
        <v>0.272727272727273</v>
      </c>
      <c r="K91" s="4" t="n">
        <f aca="false">(H91-Assumptions!$B$18)/(Assumptions!$C$18-Assumptions!$B$18)</f>
        <v>0.00553796043893865</v>
      </c>
      <c r="L91" s="4" t="n">
        <f aca="false">(I91-Assumptions!$B$19)/(Assumptions!$C$19-Assumptions!$B$19)</f>
        <v>0.414634146341463</v>
      </c>
      <c r="M91" s="4" t="n">
        <f aca="false">0.4*J91+0.4*K91+0.2*L91</f>
        <v>0.194232922534777</v>
      </c>
    </row>
    <row r="92" customFormat="false" ht="15" hidden="false" customHeight="false" outlineLevel="0" collapsed="false">
      <c r="A92" s="3" t="s">
        <v>2</v>
      </c>
      <c r="B92" s="3" t="s">
        <v>262</v>
      </c>
      <c r="C92" s="3" t="s">
        <v>254</v>
      </c>
      <c r="D92" s="3" t="s">
        <v>255</v>
      </c>
      <c r="E92" s="3" t="n">
        <v>234</v>
      </c>
      <c r="F92" s="3" t="n">
        <v>4</v>
      </c>
      <c r="G92" s="3" t="n">
        <v>328</v>
      </c>
      <c r="H92" s="4" t="n">
        <f aca="false">G92/E92</f>
        <v>1.4017094017094</v>
      </c>
      <c r="I92" s="3" t="n">
        <v>2.3</v>
      </c>
      <c r="J92" s="4" t="n">
        <f aca="false">(F92-Assumptions!$B$17)/(Assumptions!$C$17-Assumptions!$B$17)</f>
        <v>0.272727272727273</v>
      </c>
      <c r="K92" s="4" t="n">
        <f aca="false">(H92-Assumptions!$B$18)/(Assumptions!$C$18-Assumptions!$B$18)</f>
        <v>0.00166368700088335</v>
      </c>
      <c r="L92" s="4" t="n">
        <f aca="false">(I92-Assumptions!$B$19)/(Assumptions!$C$19-Assumptions!$B$19)</f>
        <v>0.414634146341463</v>
      </c>
      <c r="M92" s="4" t="n">
        <f aca="false">0.4*J92+0.4*K92+0.2*L92</f>
        <v>0.192683213159555</v>
      </c>
    </row>
    <row r="93" customFormat="false" ht="15" hidden="false" customHeight="false" outlineLevel="0" collapsed="false">
      <c r="A93" s="3" t="s">
        <v>2</v>
      </c>
      <c r="B93" s="3" t="s">
        <v>263</v>
      </c>
      <c r="C93" s="3" t="s">
        <v>264</v>
      </c>
      <c r="D93" s="3" t="s">
        <v>161</v>
      </c>
      <c r="E93" s="3" t="n">
        <v>7.5</v>
      </c>
      <c r="F93" s="3" t="n">
        <v>1</v>
      </c>
      <c r="G93" s="3" t="n">
        <v>693</v>
      </c>
      <c r="H93" s="4" t="n">
        <f aca="false">G93/E93</f>
        <v>92.4</v>
      </c>
      <c r="I93" s="3" t="n">
        <v>1.3</v>
      </c>
      <c r="J93" s="4" t="n">
        <f aca="false">(F93-Assumptions!$B$17)/(Assumptions!$C$17-Assumptions!$B$17)</f>
        <v>0</v>
      </c>
      <c r="K93" s="4" t="n">
        <f aca="false">(H93-Assumptions!$B$18)/(Assumptions!$C$18-Assumptions!$B$18)</f>
        <v>0.114573320275852</v>
      </c>
      <c r="L93" s="4" t="n">
        <f aca="false">(I93-Assumptions!$B$19)/(Assumptions!$C$19-Assumptions!$B$19)</f>
        <v>0.170731707317073</v>
      </c>
      <c r="M93" s="4" t="n">
        <f aca="false">0.4*J93+0.4*K93+0.2*L93</f>
        <v>0.0799756695737554</v>
      </c>
    </row>
    <row r="94" customFormat="false" ht="15" hidden="false" customHeight="false" outlineLevel="0" collapsed="false">
      <c r="A94" s="3" t="s">
        <v>2</v>
      </c>
      <c r="B94" s="3" t="s">
        <v>265</v>
      </c>
      <c r="C94" s="3" t="s">
        <v>266</v>
      </c>
      <c r="D94" s="3" t="s">
        <v>267</v>
      </c>
      <c r="E94" s="3" t="n">
        <v>5.5</v>
      </c>
      <c r="F94" s="3" t="n">
        <v>2</v>
      </c>
      <c r="G94" s="3" t="n">
        <v>485</v>
      </c>
      <c r="H94" s="4" t="n">
        <f aca="false">G94/E94</f>
        <v>88.1818181818182</v>
      </c>
      <c r="I94" s="3" t="n">
        <v>1.5</v>
      </c>
      <c r="J94" s="4" t="n">
        <f aca="false">(F94-Assumptions!$B$17)/(Assumptions!$C$17-Assumptions!$B$17)</f>
        <v>0.0909090909090909</v>
      </c>
      <c r="K94" s="4" t="n">
        <f aca="false">(H94-Assumptions!$B$18)/(Assumptions!$C$18-Assumptions!$B$18)</f>
        <v>0.109339448748742</v>
      </c>
      <c r="L94" s="4" t="n">
        <f aca="false">(I94-Assumptions!$B$19)/(Assumptions!$C$19-Assumptions!$B$19)</f>
        <v>0.219512195121951</v>
      </c>
      <c r="M94" s="4" t="n">
        <f aca="false">0.4*J94+0.4*K94+0.2*L94</f>
        <v>0.124001854887524</v>
      </c>
    </row>
    <row r="95" customFormat="false" ht="15" hidden="false" customHeight="false" outlineLevel="0" collapsed="false">
      <c r="A95" s="3" t="s">
        <v>2</v>
      </c>
      <c r="B95" s="3" t="s">
        <v>268</v>
      </c>
      <c r="C95" s="3" t="s">
        <v>266</v>
      </c>
      <c r="D95" s="3" t="s">
        <v>267</v>
      </c>
      <c r="E95" s="3" t="n">
        <v>28</v>
      </c>
      <c r="F95" s="3" t="n">
        <v>2</v>
      </c>
      <c r="G95" s="3" t="n">
        <v>485</v>
      </c>
      <c r="H95" s="4" t="n">
        <f aca="false">G95/E95</f>
        <v>17.3214285714286</v>
      </c>
      <c r="I95" s="3" t="n">
        <v>1.5</v>
      </c>
      <c r="J95" s="4" t="n">
        <f aca="false">(F95-Assumptions!$B$17)/(Assumptions!$C$17-Assumptions!$B$17)</f>
        <v>0.0909090909090909</v>
      </c>
      <c r="K95" s="4" t="n">
        <f aca="false">(H95-Assumptions!$B$18)/(Assumptions!$C$18-Assumptions!$B$18)</f>
        <v>0.0214166916065242</v>
      </c>
      <c r="L95" s="4" t="n">
        <f aca="false">(I95-Assumptions!$B$19)/(Assumptions!$C$19-Assumptions!$B$19)</f>
        <v>0.219512195121951</v>
      </c>
      <c r="M95" s="4" t="n">
        <f aca="false">0.4*J95+0.4*K95+0.2*L95</f>
        <v>0.0888327520306363</v>
      </c>
    </row>
    <row r="96" customFormat="false" ht="15" hidden="false" customHeight="false" outlineLevel="0" collapsed="false">
      <c r="A96" s="3" t="s">
        <v>2</v>
      </c>
      <c r="B96" s="3" t="s">
        <v>269</v>
      </c>
      <c r="C96" s="3" t="s">
        <v>270</v>
      </c>
      <c r="D96" s="3" t="s">
        <v>271</v>
      </c>
      <c r="E96" s="3" t="n">
        <v>389</v>
      </c>
      <c r="F96" s="3" t="n">
        <v>3</v>
      </c>
      <c r="G96" s="3" t="n">
        <v>712</v>
      </c>
      <c r="H96" s="4" t="n">
        <f aca="false">G96/E96</f>
        <v>1.83033419023136</v>
      </c>
      <c r="I96" s="3" t="n">
        <v>1.5</v>
      </c>
      <c r="J96" s="4" t="n">
        <f aca="false">(F96-Assumptions!$B$17)/(Assumptions!$C$17-Assumptions!$B$17)</f>
        <v>0.181818181818182</v>
      </c>
      <c r="K96" s="4" t="n">
        <f aca="false">(H96-Assumptions!$B$18)/(Assumptions!$C$18-Assumptions!$B$18)</f>
        <v>0.00219551971297481</v>
      </c>
      <c r="L96" s="4" t="n">
        <f aca="false">(I96-Assumptions!$B$19)/(Assumptions!$C$19-Assumptions!$B$19)</f>
        <v>0.219512195121951</v>
      </c>
      <c r="M96" s="4" t="n">
        <f aca="false">0.4*J96+0.4*K96+0.2*L96</f>
        <v>0.117507919636853</v>
      </c>
    </row>
    <row r="97" customFormat="false" ht="15" hidden="false" customHeight="false" outlineLevel="0" collapsed="false">
      <c r="A97" s="3" t="s">
        <v>2</v>
      </c>
      <c r="B97" s="3" t="s">
        <v>272</v>
      </c>
      <c r="C97" s="3" t="s">
        <v>273</v>
      </c>
      <c r="D97" s="3" t="s">
        <v>274</v>
      </c>
      <c r="E97" s="3" t="n">
        <v>3.5</v>
      </c>
      <c r="F97" s="3" t="n">
        <v>2</v>
      </c>
      <c r="G97" s="3" t="n">
        <v>521</v>
      </c>
      <c r="H97" s="4" t="n">
        <f aca="false">G97/E97</f>
        <v>148.857142857143</v>
      </c>
      <c r="I97" s="3" t="n">
        <v>1.1</v>
      </c>
      <c r="J97" s="4" t="n">
        <f aca="false">(F97-Assumptions!$B$17)/(Assumptions!$C$17-Assumptions!$B$17)</f>
        <v>0.0909090909090909</v>
      </c>
      <c r="K97" s="4" t="n">
        <f aca="false">(H97-Assumptions!$B$18)/(Assumptions!$C$18-Assumptions!$B$18)</f>
        <v>0.18462469436037</v>
      </c>
      <c r="L97" s="4" t="n">
        <f aca="false">(I97-Assumptions!$B$19)/(Assumptions!$C$19-Assumptions!$B$19)</f>
        <v>0.121951219512195</v>
      </c>
      <c r="M97" s="4" t="n">
        <f aca="false">0.4*J97+0.4*K97+0.2*L97</f>
        <v>0.134603758010223</v>
      </c>
    </row>
    <row r="98" customFormat="false" ht="15" hidden="false" customHeight="false" outlineLevel="0" collapsed="false">
      <c r="A98" s="3" t="s">
        <v>2</v>
      </c>
      <c r="B98" s="3" t="s">
        <v>275</v>
      </c>
      <c r="C98" s="3" t="s">
        <v>276</v>
      </c>
      <c r="D98" s="3" t="s">
        <v>277</v>
      </c>
      <c r="E98" s="3" t="n">
        <v>4</v>
      </c>
      <c r="F98" s="3" t="n">
        <v>2</v>
      </c>
      <c r="G98" s="3" t="n">
        <v>521</v>
      </c>
      <c r="H98" s="4" t="n">
        <f aca="false">G98/E98</f>
        <v>130.25</v>
      </c>
      <c r="I98" s="3" t="n">
        <v>1.1</v>
      </c>
      <c r="J98" s="4" t="n">
        <f aca="false">(F98-Assumptions!$B$17)/(Assumptions!$C$17-Assumptions!$B$17)</f>
        <v>0.0909090909090909</v>
      </c>
      <c r="K98" s="4" t="n">
        <f aca="false">(H98-Assumptions!$B$18)/(Assumptions!$C$18-Assumptions!$B$18)</f>
        <v>0.161537165325682</v>
      </c>
      <c r="L98" s="4" t="n">
        <f aca="false">(I98-Assumptions!$B$19)/(Assumptions!$C$19-Assumptions!$B$19)</f>
        <v>0.121951219512195</v>
      </c>
      <c r="M98" s="4" t="n">
        <f aca="false">0.4*J98+0.4*K98+0.2*L98</f>
        <v>0.125368746396348</v>
      </c>
    </row>
    <row r="99" customFormat="false" ht="15" hidden="false" customHeight="false" outlineLevel="0" collapsed="false">
      <c r="A99" s="3" t="s">
        <v>2</v>
      </c>
      <c r="B99" s="3" t="s">
        <v>278</v>
      </c>
      <c r="C99" s="3" t="s">
        <v>279</v>
      </c>
      <c r="D99" s="3" t="s">
        <v>280</v>
      </c>
      <c r="E99" s="3" t="n">
        <v>1899.5</v>
      </c>
      <c r="F99" s="3" t="n">
        <v>3</v>
      </c>
      <c r="G99" s="3" t="n">
        <v>729</v>
      </c>
      <c r="H99" s="4" t="n">
        <f aca="false">G99/E99</f>
        <v>0.383785206633325</v>
      </c>
      <c r="I99" s="3" t="n">
        <v>1.3</v>
      </c>
      <c r="J99" s="4" t="n">
        <f aca="false">(F99-Assumptions!$B$17)/(Assumptions!$C$17-Assumptions!$B$17)</f>
        <v>0.181818181818182</v>
      </c>
      <c r="K99" s="4" t="n">
        <f aca="false">(H99-Assumptions!$B$18)/(Assumptions!$C$18-Assumptions!$B$18)</f>
        <v>0.000400658357025321</v>
      </c>
      <c r="L99" s="4" t="n">
        <f aca="false">(I99-Assumptions!$B$19)/(Assumptions!$C$19-Assumptions!$B$19)</f>
        <v>0.170731707317073</v>
      </c>
      <c r="M99" s="4" t="n">
        <f aca="false">0.4*J99+0.4*K99+0.2*L99</f>
        <v>0.107033877533498</v>
      </c>
    </row>
    <row r="100" customFormat="false" ht="15" hidden="false" customHeight="false" outlineLevel="0" collapsed="false">
      <c r="A100" s="3" t="s">
        <v>2</v>
      </c>
      <c r="B100" s="3" t="s">
        <v>281</v>
      </c>
      <c r="C100" s="3" t="s">
        <v>282</v>
      </c>
      <c r="D100" s="3" t="s">
        <v>283</v>
      </c>
      <c r="E100" s="3" t="n">
        <v>4.5</v>
      </c>
      <c r="F100" s="3" t="n">
        <v>3</v>
      </c>
      <c r="G100" s="3" t="n">
        <v>624</v>
      </c>
      <c r="H100" s="4" t="n">
        <f aca="false">G100/E100</f>
        <v>138.666666666667</v>
      </c>
      <c r="I100" s="3" t="n">
        <v>1.5</v>
      </c>
      <c r="J100" s="4" t="n">
        <f aca="false">(F100-Assumptions!$B$17)/(Assumptions!$C$17-Assumptions!$B$17)</f>
        <v>0.181818181818182</v>
      </c>
      <c r="K100" s="4" t="n">
        <f aca="false">(H100-Assumptions!$B$18)/(Assumptions!$C$18-Assumptions!$B$18)</f>
        <v>0.171980468606248</v>
      </c>
      <c r="L100" s="4" t="n">
        <f aca="false">(I100-Assumptions!$B$19)/(Assumptions!$C$19-Assumptions!$B$19)</f>
        <v>0.219512195121951</v>
      </c>
      <c r="M100" s="4" t="n">
        <f aca="false">0.4*J100+0.4*K100+0.2*L100</f>
        <v>0.185421899194162</v>
      </c>
    </row>
    <row r="101" customFormat="false" ht="15" hidden="false" customHeight="false" outlineLevel="0" collapsed="false">
      <c r="A101" s="3" t="s">
        <v>2</v>
      </c>
      <c r="B101" s="3" t="s">
        <v>284</v>
      </c>
      <c r="C101" s="3" t="s">
        <v>285</v>
      </c>
      <c r="D101" s="3" t="s">
        <v>286</v>
      </c>
      <c r="E101" s="3" t="n">
        <v>56</v>
      </c>
      <c r="F101" s="3" t="n">
        <v>4</v>
      </c>
      <c r="G101" s="3" t="n">
        <v>225</v>
      </c>
      <c r="H101" s="4" t="n">
        <f aca="false">G101/E101</f>
        <v>4.01785714285714</v>
      </c>
      <c r="I101" s="3" t="n">
        <v>1.4</v>
      </c>
      <c r="J101" s="4" t="n">
        <f aca="false">(F101-Assumptions!$B$17)/(Assumptions!$C$17-Assumptions!$B$17)</f>
        <v>0.272727272727273</v>
      </c>
      <c r="K101" s="4" t="n">
        <f aca="false">(H101-Assumptions!$B$18)/(Assumptions!$C$18-Assumptions!$B$18)</f>
        <v>0.00490977305485234</v>
      </c>
      <c r="L101" s="4" t="n">
        <f aca="false">(I101-Assumptions!$B$19)/(Assumptions!$C$19-Assumptions!$B$19)</f>
        <v>0.195121951219512</v>
      </c>
      <c r="M101" s="4" t="n">
        <f aca="false">0.4*J101+0.4*K101+0.2*L101</f>
        <v>0.150079208556752</v>
      </c>
    </row>
    <row r="102" customFormat="false" ht="15" hidden="false" customHeight="false" outlineLevel="0" collapsed="false">
      <c r="A102" s="3" t="s">
        <v>2</v>
      </c>
      <c r="B102" s="3" t="s">
        <v>287</v>
      </c>
      <c r="C102" s="3" t="s">
        <v>288</v>
      </c>
      <c r="D102" s="3" t="s">
        <v>289</v>
      </c>
      <c r="E102" s="3" t="n">
        <v>61</v>
      </c>
      <c r="F102" s="3" t="n">
        <v>1</v>
      </c>
      <c r="G102" s="3" t="n">
        <v>748</v>
      </c>
      <c r="H102" s="4" t="n">
        <f aca="false">G102/E102</f>
        <v>12.2622950819672</v>
      </c>
      <c r="I102" s="3" t="n">
        <v>1.5</v>
      </c>
      <c r="J102" s="4" t="n">
        <f aca="false">(F102-Assumptions!$B$17)/(Assumptions!$C$17-Assumptions!$B$17)</f>
        <v>0</v>
      </c>
      <c r="K102" s="4" t="n">
        <f aca="false">(H102-Assumptions!$B$18)/(Assumptions!$C$18-Assumptions!$B$18)</f>
        <v>0.015139376909418</v>
      </c>
      <c r="L102" s="4" t="n">
        <f aca="false">(I102-Assumptions!$B$19)/(Assumptions!$C$19-Assumptions!$B$19)</f>
        <v>0.219512195121951</v>
      </c>
      <c r="M102" s="4" t="n">
        <f aca="false">0.4*J102+0.4*K102+0.2*L102</f>
        <v>0.0499581897881574</v>
      </c>
    </row>
    <row r="103" customFormat="false" ht="15" hidden="false" customHeight="false" outlineLevel="0" collapsed="false">
      <c r="A103" s="3" t="s">
        <v>2</v>
      </c>
      <c r="B103" s="3" t="s">
        <v>290</v>
      </c>
      <c r="C103" s="3" t="s">
        <v>288</v>
      </c>
      <c r="D103" s="3" t="s">
        <v>289</v>
      </c>
      <c r="E103" s="3" t="n">
        <v>3438</v>
      </c>
      <c r="F103" s="3" t="n">
        <v>1</v>
      </c>
      <c r="G103" s="3" t="n">
        <v>748</v>
      </c>
      <c r="H103" s="4" t="n">
        <f aca="false">G103/E103</f>
        <v>0.217568353694008</v>
      </c>
      <c r="I103" s="3" t="n">
        <v>1.5</v>
      </c>
      <c r="J103" s="4" t="n">
        <f aca="false">(F103-Assumptions!$B$17)/(Assumptions!$C$17-Assumptions!$B$17)</f>
        <v>0</v>
      </c>
      <c r="K103" s="4" t="n">
        <f aca="false">(H103-Assumptions!$B$18)/(Assumptions!$C$18-Assumptions!$B$18)</f>
        <v>0.000194418395965545</v>
      </c>
      <c r="L103" s="4" t="n">
        <f aca="false">(I103-Assumptions!$B$19)/(Assumptions!$C$19-Assumptions!$B$19)</f>
        <v>0.219512195121951</v>
      </c>
      <c r="M103" s="4" t="n">
        <f aca="false">0.4*J103+0.4*K103+0.2*L103</f>
        <v>0.0439802063827765</v>
      </c>
    </row>
    <row r="104" customFormat="false" ht="15" hidden="false" customHeight="false" outlineLevel="0" collapsed="false">
      <c r="A104" s="3" t="s">
        <v>2</v>
      </c>
      <c r="B104" s="3" t="s">
        <v>291</v>
      </c>
      <c r="C104" s="3" t="s">
        <v>288</v>
      </c>
      <c r="D104" s="3" t="s">
        <v>289</v>
      </c>
      <c r="E104" s="3" t="n">
        <v>12.5</v>
      </c>
      <c r="F104" s="3" t="n">
        <v>1</v>
      </c>
      <c r="G104" s="3" t="n">
        <v>748</v>
      </c>
      <c r="H104" s="4" t="n">
        <f aca="false">G104/E104</f>
        <v>59.84</v>
      </c>
      <c r="I104" s="3" t="n">
        <v>1.5</v>
      </c>
      <c r="J104" s="4" t="n">
        <f aca="false">(F104-Assumptions!$B$17)/(Assumptions!$C$17-Assumptions!$B$17)</f>
        <v>0</v>
      </c>
      <c r="K104" s="4" t="n">
        <f aca="false">(H104-Assumptions!$B$18)/(Assumptions!$C$18-Assumptions!$B$18)</f>
        <v>0.0741732464364205</v>
      </c>
      <c r="L104" s="4" t="n">
        <f aca="false">(I104-Assumptions!$B$19)/(Assumptions!$C$19-Assumptions!$B$19)</f>
        <v>0.219512195121951</v>
      </c>
      <c r="M104" s="4" t="n">
        <f aca="false">0.4*J104+0.4*K104+0.2*L104</f>
        <v>0.0735717375989585</v>
      </c>
    </row>
    <row r="105" customFormat="false" ht="15" hidden="false" customHeight="false" outlineLevel="0" collapsed="false">
      <c r="A105" s="3" t="s">
        <v>2</v>
      </c>
      <c r="B105" s="3" t="s">
        <v>292</v>
      </c>
      <c r="C105" s="3" t="s">
        <v>288</v>
      </c>
      <c r="D105" s="3" t="s">
        <v>289</v>
      </c>
      <c r="E105" s="3" t="n">
        <v>2400</v>
      </c>
      <c r="F105" s="3" t="n">
        <v>1</v>
      </c>
      <c r="G105" s="3" t="n">
        <v>748</v>
      </c>
      <c r="H105" s="4" t="n">
        <f aca="false">G105/E105</f>
        <v>0.311666666666667</v>
      </c>
      <c r="I105" s="3" t="n">
        <v>1.5</v>
      </c>
      <c r="J105" s="4" t="n">
        <f aca="false">(F105-Assumptions!$B$17)/(Assumptions!$C$17-Assumptions!$B$17)</f>
        <v>0</v>
      </c>
      <c r="K105" s="4" t="n">
        <f aca="false">(H105-Assumptions!$B$18)/(Assumptions!$C$18-Assumptions!$B$18)</f>
        <v>0.000311174501378977</v>
      </c>
      <c r="L105" s="4" t="n">
        <f aca="false">(I105-Assumptions!$B$19)/(Assumptions!$C$19-Assumptions!$B$19)</f>
        <v>0.219512195121951</v>
      </c>
      <c r="M105" s="4" t="n">
        <f aca="false">0.4*J105+0.4*K105+0.2*L105</f>
        <v>0.0440269088249418</v>
      </c>
    </row>
    <row r="106" customFormat="false" ht="15" hidden="false" customHeight="false" outlineLevel="0" collapsed="false">
      <c r="A106" s="3" t="s">
        <v>2</v>
      </c>
      <c r="B106" s="3" t="s">
        <v>293</v>
      </c>
      <c r="C106" s="3" t="s">
        <v>288</v>
      </c>
      <c r="D106" s="3" t="s">
        <v>289</v>
      </c>
      <c r="E106" s="3" t="n">
        <v>1133</v>
      </c>
      <c r="F106" s="3" t="n">
        <v>1</v>
      </c>
      <c r="G106" s="3" t="n">
        <v>748</v>
      </c>
      <c r="H106" s="4" t="n">
        <f aca="false">G106/E106</f>
        <v>0.660194174757282</v>
      </c>
      <c r="I106" s="3" t="n">
        <v>1.5</v>
      </c>
      <c r="J106" s="4" t="n">
        <f aca="false">(F106-Assumptions!$B$17)/(Assumptions!$C$17-Assumptions!$B$17)</f>
        <v>0</v>
      </c>
      <c r="K106" s="4" t="n">
        <f aca="false">(H106-Assumptions!$B$18)/(Assumptions!$C$18-Assumptions!$B$18)</f>
        <v>0.000743623428342548</v>
      </c>
      <c r="L106" s="4" t="n">
        <f aca="false">(I106-Assumptions!$B$19)/(Assumptions!$C$19-Assumptions!$B$19)</f>
        <v>0.219512195121951</v>
      </c>
      <c r="M106" s="4" t="n">
        <f aca="false">0.4*J106+0.4*K106+0.2*L106</f>
        <v>0.0441998883957273</v>
      </c>
    </row>
    <row r="107" customFormat="false" ht="15" hidden="false" customHeight="false" outlineLevel="0" collapsed="false">
      <c r="A107" s="3" t="s">
        <v>2</v>
      </c>
      <c r="B107" s="3" t="s">
        <v>294</v>
      </c>
      <c r="C107" s="3" t="s">
        <v>295</v>
      </c>
      <c r="D107" s="3" t="s">
        <v>296</v>
      </c>
      <c r="E107" s="3" t="n">
        <v>1611</v>
      </c>
      <c r="F107" s="3" t="n">
        <v>2</v>
      </c>
      <c r="G107" s="3" t="n">
        <v>712</v>
      </c>
      <c r="H107" s="4" t="n">
        <f aca="false">G107/E107</f>
        <v>0.441961514587213</v>
      </c>
      <c r="I107" s="3" t="n">
        <v>1.5</v>
      </c>
      <c r="J107" s="4" t="n">
        <f aca="false">(F107-Assumptions!$B$17)/(Assumptions!$C$17-Assumptions!$B$17)</f>
        <v>0.0909090909090909</v>
      </c>
      <c r="K107" s="4" t="n">
        <f aca="false">(H107-Assumptions!$B$18)/(Assumptions!$C$18-Assumptions!$B$18)</f>
        <v>0.000472842851406236</v>
      </c>
      <c r="L107" s="4" t="n">
        <f aca="false">(I107-Assumptions!$B$19)/(Assumptions!$C$19-Assumptions!$B$19)</f>
        <v>0.219512195121951</v>
      </c>
      <c r="M107" s="4" t="n">
        <f aca="false">0.4*J107+0.4*K107+0.2*L107</f>
        <v>0.0804552125285891</v>
      </c>
    </row>
    <row r="108" customFormat="false" ht="15" hidden="false" customHeight="false" outlineLevel="0" collapsed="false">
      <c r="A108" s="3" t="s">
        <v>2</v>
      </c>
      <c r="B108" s="3" t="s">
        <v>297</v>
      </c>
      <c r="C108" s="3" t="s">
        <v>298</v>
      </c>
      <c r="D108" s="3" t="s">
        <v>299</v>
      </c>
      <c r="E108" s="3" t="n">
        <v>108.5</v>
      </c>
      <c r="F108" s="3" t="n">
        <v>2</v>
      </c>
      <c r="G108" s="3" t="n">
        <v>509</v>
      </c>
      <c r="H108" s="4" t="n">
        <f aca="false">G108/E108</f>
        <v>4.69124423963134</v>
      </c>
      <c r="I108" s="3" t="n">
        <v>1.8</v>
      </c>
      <c r="J108" s="4" t="n">
        <f aca="false">(F108-Assumptions!$B$17)/(Assumptions!$C$17-Assumptions!$B$17)</f>
        <v>0.0909090909090909</v>
      </c>
      <c r="K108" s="4" t="n">
        <f aca="false">(H108-Assumptions!$B$18)/(Assumptions!$C$18-Assumptions!$B$18)</f>
        <v>0.00574530402635719</v>
      </c>
      <c r="L108" s="4" t="n">
        <f aca="false">(I108-Assumptions!$B$19)/(Assumptions!$C$19-Assumptions!$B$19)</f>
        <v>0.292682926829268</v>
      </c>
      <c r="M108" s="4" t="n">
        <f aca="false">0.4*J108+0.4*K108+0.2*L108</f>
        <v>0.0971983433400329</v>
      </c>
    </row>
    <row r="109" customFormat="false" ht="15" hidden="false" customHeight="false" outlineLevel="0" collapsed="false">
      <c r="A109" s="3" t="s">
        <v>2</v>
      </c>
      <c r="B109" s="3" t="s">
        <v>300</v>
      </c>
      <c r="C109" s="3" t="s">
        <v>301</v>
      </c>
      <c r="D109" s="3" t="s">
        <v>302</v>
      </c>
      <c r="E109" s="3" t="n">
        <v>30.5</v>
      </c>
      <c r="F109" s="3" t="n">
        <v>3</v>
      </c>
      <c r="G109" s="3" t="n">
        <v>521</v>
      </c>
      <c r="H109" s="4" t="n">
        <f aca="false">G109/E109</f>
        <v>17.0819672131148</v>
      </c>
      <c r="I109" s="3" t="n">
        <v>1.1</v>
      </c>
      <c r="J109" s="4" t="n">
        <f aca="false">(F109-Assumptions!$B$17)/(Assumptions!$C$17-Assumptions!$B$17)</f>
        <v>0.181818181818182</v>
      </c>
      <c r="K109" s="4" t="n">
        <f aca="false">(H109-Assumptions!$B$18)/(Assumptions!$C$18-Assumptions!$B$18)</f>
        <v>0.021119570704879</v>
      </c>
      <c r="L109" s="4" t="n">
        <f aca="false">(I109-Assumptions!$B$19)/(Assumptions!$C$19-Assumptions!$B$19)</f>
        <v>0.121951219512195</v>
      </c>
      <c r="M109" s="4" t="n">
        <f aca="false">0.4*J109+0.4*K109+0.2*L109</f>
        <v>0.105565344911663</v>
      </c>
    </row>
    <row r="110" customFormat="false" ht="15" hidden="false" customHeight="false" outlineLevel="0" collapsed="false">
      <c r="A110" s="3" t="s">
        <v>2</v>
      </c>
      <c r="B110" s="3" t="s">
        <v>303</v>
      </c>
      <c r="C110" s="3" t="s">
        <v>304</v>
      </c>
      <c r="D110" s="3" t="s">
        <v>305</v>
      </c>
      <c r="E110" s="3" t="n">
        <v>2.5</v>
      </c>
      <c r="F110" s="3" t="n">
        <v>4</v>
      </c>
      <c r="G110" s="3" t="n">
        <v>285</v>
      </c>
      <c r="H110" s="4" t="n">
        <f aca="false">G110/E110</f>
        <v>114</v>
      </c>
      <c r="I110" s="3" t="n">
        <v>1.8</v>
      </c>
      <c r="J110" s="4" t="n">
        <f aca="false">(F110-Assumptions!$B$17)/(Assumptions!$C$17-Assumptions!$B$17)</f>
        <v>0.272727272727273</v>
      </c>
      <c r="K110" s="4" t="n">
        <f aca="false">(H110-Assumptions!$B$18)/(Assumptions!$C$18-Assumptions!$B$18)</f>
        <v>0.141374352061224</v>
      </c>
      <c r="L110" s="4" t="n">
        <f aca="false">(I110-Assumptions!$B$19)/(Assumptions!$C$19-Assumptions!$B$19)</f>
        <v>0.292682926829268</v>
      </c>
      <c r="M110" s="4" t="n">
        <f aca="false">0.4*J110+0.4*K110+0.2*L110</f>
        <v>0.224177235281252</v>
      </c>
    </row>
    <row r="111" customFormat="false" ht="15" hidden="false" customHeight="false" outlineLevel="0" collapsed="false">
      <c r="A111" s="3" t="s">
        <v>2</v>
      </c>
      <c r="B111" s="3" t="s">
        <v>306</v>
      </c>
      <c r="C111" s="3" t="s">
        <v>307</v>
      </c>
      <c r="D111" s="3" t="s">
        <v>308</v>
      </c>
      <c r="E111" s="3" t="n">
        <v>140</v>
      </c>
      <c r="F111" s="3" t="n">
        <v>1</v>
      </c>
      <c r="G111" s="3" t="n">
        <v>657</v>
      </c>
      <c r="H111" s="4" t="n">
        <f aca="false">G111/E111</f>
        <v>4.69285714285714</v>
      </c>
      <c r="I111" s="3" t="n">
        <v>0.8</v>
      </c>
      <c r="J111" s="4" t="n">
        <f aca="false">(F111-Assumptions!$B$17)/(Assumptions!$C$17-Assumptions!$B$17)</f>
        <v>0</v>
      </c>
      <c r="K111" s="4" t="n">
        <f aca="false">(H111-Assumptions!$B$18)/(Assumptions!$C$18-Assumptions!$B$18)</f>
        <v>0.00574730529814522</v>
      </c>
      <c r="L111" s="4" t="n">
        <f aca="false">(I111-Assumptions!$B$19)/(Assumptions!$C$19-Assumptions!$B$19)</f>
        <v>0.0487804878048781</v>
      </c>
      <c r="M111" s="4" t="n">
        <f aca="false">0.4*J111+0.4*K111+0.2*L111</f>
        <v>0.0120550196802337</v>
      </c>
    </row>
    <row r="112" customFormat="false" ht="15" hidden="false" customHeight="false" outlineLevel="0" collapsed="false">
      <c r="A112" s="3" t="s">
        <v>2</v>
      </c>
      <c r="B112" s="3" t="s">
        <v>309</v>
      </c>
      <c r="C112" s="3" t="s">
        <v>307</v>
      </c>
      <c r="D112" s="3" t="s">
        <v>308</v>
      </c>
      <c r="E112" s="3" t="n">
        <v>11</v>
      </c>
      <c r="F112" s="3" t="n">
        <v>1</v>
      </c>
      <c r="G112" s="3" t="n">
        <v>657</v>
      </c>
      <c r="H112" s="4" t="n">
        <f aca="false">G112/E112</f>
        <v>59.7272727272727</v>
      </c>
      <c r="I112" s="3" t="n">
        <v>0.8</v>
      </c>
      <c r="J112" s="4" t="n">
        <f aca="false">(F112-Assumptions!$B$17)/(Assumptions!$C$17-Assumptions!$B$17)</f>
        <v>0</v>
      </c>
      <c r="K112" s="4" t="n">
        <f aca="false">(H112-Assumptions!$B$18)/(Assumptions!$C$18-Assumptions!$B$18)</f>
        <v>0.0740333757318167</v>
      </c>
      <c r="L112" s="4" t="n">
        <f aca="false">(I112-Assumptions!$B$19)/(Assumptions!$C$19-Assumptions!$B$19)</f>
        <v>0.0487804878048781</v>
      </c>
      <c r="M112" s="4" t="n">
        <f aca="false">0.4*J112+0.4*K112+0.2*L112</f>
        <v>0.0393694478537023</v>
      </c>
    </row>
    <row r="113" customFormat="false" ht="15" hidden="false" customHeight="false" outlineLevel="0" collapsed="false">
      <c r="A113" s="3" t="s">
        <v>2</v>
      </c>
      <c r="B113" s="3" t="s">
        <v>310</v>
      </c>
      <c r="C113" s="3" t="s">
        <v>307</v>
      </c>
      <c r="D113" s="3" t="s">
        <v>308</v>
      </c>
      <c r="E113" s="3" t="n">
        <v>767.5</v>
      </c>
      <c r="F113" s="3" t="n">
        <v>1</v>
      </c>
      <c r="G113" s="3" t="n">
        <v>657</v>
      </c>
      <c r="H113" s="4" t="n">
        <f aca="false">G113/E113</f>
        <v>0.856026058631922</v>
      </c>
      <c r="I113" s="3" t="n">
        <v>0.8</v>
      </c>
      <c r="J113" s="4" t="n">
        <f aca="false">(F113-Assumptions!$B$17)/(Assumptions!$C$17-Assumptions!$B$17)</f>
        <v>0</v>
      </c>
      <c r="K113" s="4" t="n">
        <f aca="false">(H113-Assumptions!$B$18)/(Assumptions!$C$18-Assumptions!$B$18)</f>
        <v>0.000986609379468175</v>
      </c>
      <c r="L113" s="4" t="n">
        <f aca="false">(I113-Assumptions!$B$19)/(Assumptions!$C$19-Assumptions!$B$19)</f>
        <v>0.0487804878048781</v>
      </c>
      <c r="M113" s="4" t="n">
        <f aca="false">0.4*J113+0.4*K113+0.2*L113</f>
        <v>0.0101507413127629</v>
      </c>
    </row>
    <row r="114" customFormat="false" ht="15" hidden="false" customHeight="false" outlineLevel="0" collapsed="false">
      <c r="A114" s="3" t="s">
        <v>2</v>
      </c>
      <c r="B114" s="3" t="s">
        <v>311</v>
      </c>
      <c r="C114" s="3" t="s">
        <v>307</v>
      </c>
      <c r="D114" s="3" t="s">
        <v>308</v>
      </c>
      <c r="E114" s="3" t="n">
        <v>1200</v>
      </c>
      <c r="F114" s="3" t="n">
        <v>1</v>
      </c>
      <c r="G114" s="3" t="n">
        <v>657</v>
      </c>
      <c r="H114" s="4" t="n">
        <f aca="false">G114/E114</f>
        <v>0.5475</v>
      </c>
      <c r="I114" s="3" t="n">
        <v>0.8</v>
      </c>
      <c r="J114" s="4" t="n">
        <f aca="false">(F114-Assumptions!$B$17)/(Assumptions!$C$17-Assumptions!$B$17)</f>
        <v>0</v>
      </c>
      <c r="K114" s="4" t="n">
        <f aca="false">(H114-Assumptions!$B$18)/(Assumptions!$C$18-Assumptions!$B$18)</f>
        <v>0.000603793791319576</v>
      </c>
      <c r="L114" s="4" t="n">
        <f aca="false">(I114-Assumptions!$B$19)/(Assumptions!$C$19-Assumptions!$B$19)</f>
        <v>0.0487804878048781</v>
      </c>
      <c r="M114" s="4" t="n">
        <f aca="false">0.4*J114+0.4*K114+0.2*L114</f>
        <v>0.00999761507750344</v>
      </c>
    </row>
    <row r="115" customFormat="false" ht="15" hidden="false" customHeight="false" outlineLevel="0" collapsed="false">
      <c r="A115" s="3" t="s">
        <v>2</v>
      </c>
      <c r="B115" s="3" t="s">
        <v>312</v>
      </c>
      <c r="C115" s="3" t="s">
        <v>307</v>
      </c>
      <c r="D115" s="3" t="s">
        <v>308</v>
      </c>
      <c r="E115" s="3" t="n">
        <v>91</v>
      </c>
      <c r="F115" s="3" t="n">
        <v>1</v>
      </c>
      <c r="G115" s="3" t="n">
        <v>657</v>
      </c>
      <c r="H115" s="4" t="n">
        <f aca="false">G115/E115</f>
        <v>7.21978021978022</v>
      </c>
      <c r="I115" s="3" t="n">
        <v>0.8</v>
      </c>
      <c r="J115" s="4" t="n">
        <f aca="false">(F115-Assumptions!$B$17)/(Assumptions!$C$17-Assumptions!$B$17)</f>
        <v>0</v>
      </c>
      <c r="K115" s="4" t="n">
        <f aca="false">(H115-Assumptions!$B$18)/(Assumptions!$C$18-Assumptions!$B$18)</f>
        <v>0.00888268241406216</v>
      </c>
      <c r="L115" s="4" t="n">
        <f aca="false">(I115-Assumptions!$B$19)/(Assumptions!$C$19-Assumptions!$B$19)</f>
        <v>0.0487804878048781</v>
      </c>
      <c r="M115" s="4" t="n">
        <f aca="false">0.4*J115+0.4*K115+0.2*L115</f>
        <v>0.0133091705266005</v>
      </c>
    </row>
    <row r="116" customFormat="false" ht="15" hidden="false" customHeight="false" outlineLevel="0" collapsed="false">
      <c r="A116" s="3" t="s">
        <v>2</v>
      </c>
      <c r="B116" s="3" t="s">
        <v>313</v>
      </c>
      <c r="C116" s="3" t="s">
        <v>314</v>
      </c>
      <c r="D116" s="3" t="s">
        <v>148</v>
      </c>
      <c r="E116" s="3" t="n">
        <v>1611</v>
      </c>
      <c r="F116" s="3" t="n">
        <v>9</v>
      </c>
      <c r="G116" s="3" t="n">
        <v>169</v>
      </c>
      <c r="H116" s="4" t="n">
        <f aca="false">G116/E116</f>
        <v>0.104903786468032</v>
      </c>
      <c r="I116" s="3" t="n">
        <v>2.8</v>
      </c>
      <c r="J116" s="4" t="n">
        <f aca="false">(F116-Assumptions!$B$17)/(Assumptions!$C$17-Assumptions!$B$17)</f>
        <v>0.727272727272727</v>
      </c>
      <c r="K116" s="4" t="n">
        <f aca="false">(H116-Assumptions!$B$18)/(Assumptions!$C$18-Assumptions!$B$18)</f>
        <v>5.46254956271849E-005</v>
      </c>
      <c r="L116" s="4" t="n">
        <f aca="false">(I116-Assumptions!$B$19)/(Assumptions!$C$19-Assumptions!$B$19)</f>
        <v>0.536585365853658</v>
      </c>
      <c r="M116" s="4" t="n">
        <f aca="false">0.4*J116+0.4*K116+0.2*L116</f>
        <v>0.398248014278074</v>
      </c>
    </row>
    <row r="117" customFormat="false" ht="15" hidden="false" customHeight="false" outlineLevel="0" collapsed="false">
      <c r="A117" s="3" t="s">
        <v>2</v>
      </c>
      <c r="B117" s="3" t="s">
        <v>315</v>
      </c>
      <c r="C117" s="3" t="s">
        <v>316</v>
      </c>
      <c r="D117" s="3" t="s">
        <v>317</v>
      </c>
      <c r="E117" s="3" t="n">
        <v>497.5</v>
      </c>
      <c r="F117" s="3" t="n">
        <v>4</v>
      </c>
      <c r="G117" s="3" t="n">
        <v>292</v>
      </c>
      <c r="H117" s="4" t="n">
        <f aca="false">G117/E117</f>
        <v>0.586934673366834</v>
      </c>
      <c r="I117" s="3" t="n">
        <v>2.3</v>
      </c>
      <c r="J117" s="4" t="n">
        <f aca="false">(F117-Assumptions!$B$17)/(Assumptions!$C$17-Assumptions!$B$17)</f>
        <v>0.272727272727273</v>
      </c>
      <c r="K117" s="4" t="n">
        <f aca="false">(H117-Assumptions!$B$18)/(Assumptions!$C$18-Assumptions!$B$18)</f>
        <v>0.00065272388087283</v>
      </c>
      <c r="L117" s="4" t="n">
        <f aca="false">(I117-Assumptions!$B$19)/(Assumptions!$C$19-Assumptions!$B$19)</f>
        <v>0.414634146341463</v>
      </c>
      <c r="M117" s="4" t="n">
        <f aca="false">0.4*J117+0.4*K117+0.2*L117</f>
        <v>0.192278827911551</v>
      </c>
    </row>
    <row r="118" customFormat="false" ht="15" hidden="false" customHeight="false" outlineLevel="0" collapsed="false">
      <c r="A118" s="3" t="s">
        <v>2</v>
      </c>
      <c r="B118" s="3" t="s">
        <v>318</v>
      </c>
      <c r="C118" s="3" t="s">
        <v>319</v>
      </c>
      <c r="D118" s="3" t="s">
        <v>277</v>
      </c>
      <c r="E118" s="3" t="n">
        <v>5</v>
      </c>
      <c r="F118" s="3" t="n">
        <v>2</v>
      </c>
      <c r="G118" s="3" t="n">
        <v>521</v>
      </c>
      <c r="H118" s="4" t="n">
        <f aca="false">G118/E118</f>
        <v>104.2</v>
      </c>
      <c r="I118" s="3" t="n">
        <v>1.1</v>
      </c>
      <c r="J118" s="4" t="n">
        <f aca="false">(F118-Assumptions!$B$17)/(Assumptions!$C$17-Assumptions!$B$17)</f>
        <v>0.0909090909090909</v>
      </c>
      <c r="K118" s="4" t="n">
        <f aca="false">(H118-Assumptions!$B$18)/(Assumptions!$C$18-Assumptions!$B$18)</f>
        <v>0.12921462467712</v>
      </c>
      <c r="L118" s="4" t="n">
        <f aca="false">(I118-Assumptions!$B$19)/(Assumptions!$C$19-Assumptions!$B$19)</f>
        <v>0.121951219512195</v>
      </c>
      <c r="M118" s="4" t="n">
        <f aca="false">0.4*J118+0.4*K118+0.2*L118</f>
        <v>0.112439730136923</v>
      </c>
    </row>
    <row r="119" customFormat="false" ht="15" hidden="false" customHeight="false" outlineLevel="0" collapsed="false">
      <c r="A119" s="3" t="s">
        <v>2</v>
      </c>
      <c r="B119" s="3" t="s">
        <v>320</v>
      </c>
      <c r="C119" s="3" t="s">
        <v>321</v>
      </c>
      <c r="D119" s="3" t="s">
        <v>322</v>
      </c>
      <c r="E119" s="3" t="n">
        <v>1020</v>
      </c>
      <c r="F119" s="3" t="n">
        <v>3</v>
      </c>
      <c r="G119" s="3" t="n">
        <v>717</v>
      </c>
      <c r="H119" s="4" t="n">
        <f aca="false">G119/E119</f>
        <v>0.702941176470588</v>
      </c>
      <c r="I119" s="3" t="n">
        <v>1.1</v>
      </c>
      <c r="J119" s="4" t="n">
        <f aca="false">(F119-Assumptions!$B$17)/(Assumptions!$C$17-Assumptions!$B$17)</f>
        <v>0.181818181818182</v>
      </c>
      <c r="K119" s="4" t="n">
        <f aca="false">(H119-Assumptions!$B$18)/(Assumptions!$C$18-Assumptions!$B$18)</f>
        <v>0.000796663416844756</v>
      </c>
      <c r="L119" s="4" t="n">
        <f aca="false">(I119-Assumptions!$B$19)/(Assumptions!$C$19-Assumptions!$B$19)</f>
        <v>0.121951219512195</v>
      </c>
      <c r="M119" s="4" t="n">
        <f aca="false">0.4*J119+0.4*K119+0.2*L119</f>
        <v>0.0974361819964497</v>
      </c>
    </row>
    <row r="120" customFormat="false" ht="15" hidden="false" customHeight="false" outlineLevel="0" collapsed="false">
      <c r="A120" s="3" t="s">
        <v>2</v>
      </c>
      <c r="B120" s="3" t="s">
        <v>323</v>
      </c>
      <c r="C120" s="3" t="s">
        <v>324</v>
      </c>
      <c r="D120" s="3" t="s">
        <v>325</v>
      </c>
      <c r="E120" s="3" t="n">
        <v>139</v>
      </c>
      <c r="F120" s="3" t="n">
        <v>4</v>
      </c>
      <c r="G120" s="3" t="n">
        <v>309</v>
      </c>
      <c r="H120" s="4" t="n">
        <f aca="false">G120/E120</f>
        <v>2.22302158273381</v>
      </c>
      <c r="I120" s="3" t="n">
        <v>2</v>
      </c>
      <c r="J120" s="4" t="n">
        <f aca="false">(F120-Assumptions!$B$17)/(Assumptions!$C$17-Assumptions!$B$17)</f>
        <v>0.272727272727273</v>
      </c>
      <c r="K120" s="4" t="n">
        <f aca="false">(H120-Assumptions!$B$18)/(Assumptions!$C$18-Assumptions!$B$18)</f>
        <v>0.00268276171705689</v>
      </c>
      <c r="L120" s="4" t="n">
        <f aca="false">(I120-Assumptions!$B$19)/(Assumptions!$C$19-Assumptions!$B$19)</f>
        <v>0.341463414634146</v>
      </c>
      <c r="M120" s="4" t="n">
        <f aca="false">0.4*J120+0.4*K120+0.2*L120</f>
        <v>0.178456696704561</v>
      </c>
    </row>
    <row r="121" customFormat="false" ht="15" hidden="false" customHeight="false" outlineLevel="0" collapsed="false">
      <c r="A121" s="3" t="s">
        <v>2</v>
      </c>
      <c r="B121" s="3" t="s">
        <v>326</v>
      </c>
      <c r="C121" s="3" t="s">
        <v>324</v>
      </c>
      <c r="D121" s="3" t="s">
        <v>325</v>
      </c>
      <c r="E121" s="3" t="n">
        <v>342</v>
      </c>
      <c r="F121" s="3" t="n">
        <v>4</v>
      </c>
      <c r="G121" s="3" t="n">
        <v>309</v>
      </c>
      <c r="H121" s="4" t="n">
        <f aca="false">G121/E121</f>
        <v>0.903508771929825</v>
      </c>
      <c r="I121" s="3" t="n">
        <v>2</v>
      </c>
      <c r="J121" s="4" t="n">
        <f aca="false">(F121-Assumptions!$B$17)/(Assumptions!$C$17-Assumptions!$B$17)</f>
        <v>0.272727272727273</v>
      </c>
      <c r="K121" s="4" t="n">
        <f aca="false">(H121-Assumptions!$B$18)/(Assumptions!$C$18-Assumptions!$B$18)</f>
        <v>0.00104552538448451</v>
      </c>
      <c r="L121" s="4" t="n">
        <f aca="false">(I121-Assumptions!$B$19)/(Assumptions!$C$19-Assumptions!$B$19)</f>
        <v>0.341463414634146</v>
      </c>
      <c r="M121" s="4" t="n">
        <f aca="false">0.4*J121+0.4*K121+0.2*L121</f>
        <v>0.177801802171532</v>
      </c>
    </row>
    <row r="122" customFormat="false" ht="15" hidden="false" customHeight="false" outlineLevel="0" collapsed="false">
      <c r="A122" s="3" t="s">
        <v>2</v>
      </c>
      <c r="B122" s="3" t="s">
        <v>327</v>
      </c>
      <c r="C122" s="3" t="s">
        <v>328</v>
      </c>
      <c r="D122" s="3" t="s">
        <v>329</v>
      </c>
      <c r="E122" s="3" t="n">
        <v>13.5</v>
      </c>
      <c r="F122" s="3" t="n">
        <v>3</v>
      </c>
      <c r="G122" s="3" t="n">
        <v>497</v>
      </c>
      <c r="H122" s="4" t="n">
        <f aca="false">G122/E122</f>
        <v>36.8148148148148</v>
      </c>
      <c r="I122" s="3" t="n">
        <v>1.2</v>
      </c>
      <c r="J122" s="4" t="n">
        <f aca="false">(F122-Assumptions!$B$17)/(Assumptions!$C$17-Assumptions!$B$17)</f>
        <v>0.181818181818182</v>
      </c>
      <c r="K122" s="4" t="n">
        <f aca="false">(H122-Assumptions!$B$18)/(Assumptions!$C$18-Assumptions!$B$18)</f>
        <v>0.0456038612506692</v>
      </c>
      <c r="L122" s="4" t="n">
        <f aca="false">(I122-Assumptions!$B$19)/(Assumptions!$C$19-Assumptions!$B$19)</f>
        <v>0.146341463414634</v>
      </c>
      <c r="M122" s="4" t="n">
        <f aca="false">0.4*J122+0.4*K122+0.2*L122</f>
        <v>0.120237109910467</v>
      </c>
    </row>
    <row r="123" customFormat="false" ht="15" hidden="false" customHeight="false" outlineLevel="0" collapsed="false">
      <c r="A123" s="3" t="s">
        <v>2</v>
      </c>
      <c r="B123" s="3" t="s">
        <v>330</v>
      </c>
      <c r="C123" s="3" t="s">
        <v>331</v>
      </c>
      <c r="D123" s="3" t="s">
        <v>332</v>
      </c>
      <c r="E123" s="3" t="n">
        <v>19.5</v>
      </c>
      <c r="F123" s="3" t="n">
        <v>11</v>
      </c>
      <c r="G123" s="3" t="n">
        <v>169</v>
      </c>
      <c r="H123" s="4" t="n">
        <f aca="false">G123/E123</f>
        <v>8.66666666666667</v>
      </c>
      <c r="I123" s="3" t="n">
        <v>2.8</v>
      </c>
      <c r="J123" s="4" t="n">
        <f aca="false">(F123-Assumptions!$B$17)/(Assumptions!$C$17-Assumptions!$B$17)</f>
        <v>0.909090909090909</v>
      </c>
      <c r="K123" s="4" t="n">
        <f aca="false">(H123-Assumptions!$B$18)/(Assumptions!$C$18-Assumptions!$B$18)</f>
        <v>0.010677962490582</v>
      </c>
      <c r="L123" s="4" t="n">
        <f aca="false">(I123-Assumptions!$B$19)/(Assumptions!$C$19-Assumptions!$B$19)</f>
        <v>0.536585365853658</v>
      </c>
      <c r="M123" s="4" t="n">
        <f aca="false">0.4*J123+0.4*K123+0.2*L123</f>
        <v>0.475224621803328</v>
      </c>
    </row>
    <row r="124" customFormat="false" ht="15" hidden="false" customHeight="false" outlineLevel="0" collapsed="false">
      <c r="A124" s="3" t="s">
        <v>2</v>
      </c>
      <c r="B124" s="3" t="s">
        <v>333</v>
      </c>
      <c r="C124" s="3" t="s">
        <v>331</v>
      </c>
      <c r="D124" s="3" t="s">
        <v>332</v>
      </c>
      <c r="E124" s="3" t="n">
        <v>4.5</v>
      </c>
      <c r="F124" s="3" t="n">
        <v>11</v>
      </c>
      <c r="G124" s="3" t="n">
        <v>169</v>
      </c>
      <c r="H124" s="4" t="n">
        <f aca="false">G124/E124</f>
        <v>37.5555555555556</v>
      </c>
      <c r="I124" s="3" t="n">
        <v>2.8</v>
      </c>
      <c r="J124" s="4" t="n">
        <f aca="false">(F124-Assumptions!$B$17)/(Assumptions!$C$17-Assumptions!$B$17)</f>
        <v>0.909090909090909</v>
      </c>
      <c r="K124" s="4" t="n">
        <f aca="false">(H124-Assumptions!$B$18)/(Assumptions!$C$18-Assumptions!$B$18)</f>
        <v>0.0465229638496189</v>
      </c>
      <c r="L124" s="4" t="n">
        <f aca="false">(I124-Assumptions!$B$19)/(Assumptions!$C$19-Assumptions!$B$19)</f>
        <v>0.536585365853658</v>
      </c>
      <c r="M124" s="4" t="n">
        <f aca="false">0.4*J124+0.4*K124+0.2*L124</f>
        <v>0.489562622346943</v>
      </c>
    </row>
    <row r="125" customFormat="false" ht="15" hidden="false" customHeight="false" outlineLevel="0" collapsed="false">
      <c r="A125" s="3" t="s">
        <v>2</v>
      </c>
      <c r="B125" s="3" t="s">
        <v>334</v>
      </c>
      <c r="C125" s="3" t="s">
        <v>335</v>
      </c>
      <c r="D125" s="3" t="s">
        <v>336</v>
      </c>
      <c r="E125" s="3" t="n">
        <v>361</v>
      </c>
      <c r="F125" s="3" t="n">
        <v>4</v>
      </c>
      <c r="G125" s="3" t="n">
        <v>328</v>
      </c>
      <c r="H125" s="4" t="n">
        <f aca="false">G125/E125</f>
        <v>0.908587257617729</v>
      </c>
      <c r="I125" s="3" t="n">
        <v>2.3</v>
      </c>
      <c r="J125" s="4" t="n">
        <f aca="false">(F125-Assumptions!$B$17)/(Assumptions!$C$17-Assumptions!$B$17)</f>
        <v>0.272727272727273</v>
      </c>
      <c r="K125" s="4" t="n">
        <f aca="false">(H125-Assumptions!$B$18)/(Assumptions!$C$18-Assumptions!$B$18)</f>
        <v>0.00105182671116706</v>
      </c>
      <c r="L125" s="4" t="n">
        <f aca="false">(I125-Assumptions!$B$19)/(Assumptions!$C$19-Assumptions!$B$19)</f>
        <v>0.414634146341463</v>
      </c>
      <c r="M125" s="4" t="n">
        <f aca="false">0.4*J125+0.4*K125+0.2*L125</f>
        <v>0.192438469043669</v>
      </c>
    </row>
    <row r="126" customFormat="false" ht="15" hidden="false" customHeight="false" outlineLevel="0" collapsed="false">
      <c r="A126" s="3" t="s">
        <v>2</v>
      </c>
      <c r="B126" s="3" t="s">
        <v>337</v>
      </c>
      <c r="C126" s="3" t="s">
        <v>338</v>
      </c>
      <c r="D126" s="3" t="s">
        <v>339</v>
      </c>
      <c r="E126" s="3" t="n">
        <v>8</v>
      </c>
      <c r="F126" s="3" t="n">
        <v>10</v>
      </c>
      <c r="G126" s="3" t="n">
        <v>248</v>
      </c>
      <c r="H126" s="4" t="n">
        <f aca="false">G126/E126</f>
        <v>31</v>
      </c>
      <c r="I126" s="3" t="n">
        <v>2.9</v>
      </c>
      <c r="J126" s="4" t="n">
        <f aca="false">(F126-Assumptions!$B$17)/(Assumptions!$C$17-Assumptions!$B$17)</f>
        <v>0.818181818181818</v>
      </c>
      <c r="K126" s="4" t="n">
        <f aca="false">(H126-Assumptions!$B$18)/(Assumptions!$C$18-Assumptions!$B$18)</f>
        <v>0.0383889058489143</v>
      </c>
      <c r="L126" s="4" t="n">
        <f aca="false">(I126-Assumptions!$B$19)/(Assumptions!$C$19-Assumptions!$B$19)</f>
        <v>0.560975609756097</v>
      </c>
      <c r="M126" s="4" t="n">
        <f aca="false">0.4*J126+0.4*K126+0.2*L126</f>
        <v>0.454823411563513</v>
      </c>
    </row>
    <row r="127" customFormat="false" ht="15" hidden="false" customHeight="false" outlineLevel="0" collapsed="false">
      <c r="A127" s="3" t="s">
        <v>2</v>
      </c>
      <c r="B127" s="3" t="s">
        <v>340</v>
      </c>
      <c r="C127" s="3" t="s">
        <v>341</v>
      </c>
      <c r="D127" s="3" t="s">
        <v>342</v>
      </c>
      <c r="E127" s="3" t="n">
        <v>1023</v>
      </c>
      <c r="F127" s="3" t="n">
        <v>2</v>
      </c>
      <c r="G127" s="3" t="n">
        <v>748</v>
      </c>
      <c r="H127" s="4" t="n">
        <f aca="false">G127/E127</f>
        <v>0.731182795698925</v>
      </c>
      <c r="I127" s="3" t="n">
        <v>1.5</v>
      </c>
      <c r="J127" s="4" t="n">
        <f aca="false">(F127-Assumptions!$B$17)/(Assumptions!$C$17-Assumptions!$B$17)</f>
        <v>0.0909090909090909</v>
      </c>
      <c r="K127" s="4" t="n">
        <f aca="false">(H127-Assumptions!$B$18)/(Assumptions!$C$18-Assumptions!$B$18)</f>
        <v>0.000831705293447025</v>
      </c>
      <c r="L127" s="4" t="n">
        <f aca="false">(I127-Assumptions!$B$19)/(Assumptions!$C$19-Assumptions!$B$19)</f>
        <v>0.219512195121951</v>
      </c>
      <c r="M127" s="4" t="n">
        <f aca="false">0.4*J127+0.4*K127+0.2*L127</f>
        <v>0.0805987575054054</v>
      </c>
    </row>
    <row r="128" customFormat="false" ht="15" hidden="false" customHeight="false" outlineLevel="0" collapsed="false">
      <c r="A128" s="3" t="s">
        <v>2</v>
      </c>
      <c r="B128" s="3" t="s">
        <v>343</v>
      </c>
      <c r="C128" s="3" t="s">
        <v>344</v>
      </c>
      <c r="D128" s="3" t="s">
        <v>126</v>
      </c>
      <c r="E128" s="3" t="n">
        <v>6.5</v>
      </c>
      <c r="F128" s="3" t="n">
        <v>3</v>
      </c>
      <c r="G128" s="3" t="n">
        <v>712</v>
      </c>
      <c r="H128" s="4" t="n">
        <f aca="false">G128/E128</f>
        <v>109.538461538462</v>
      </c>
      <c r="I128" s="3" t="n">
        <v>1.5</v>
      </c>
      <c r="J128" s="4" t="n">
        <f aca="false">(F128-Assumptions!$B$17)/(Assumptions!$C$17-Assumptions!$B$17)</f>
        <v>0.181818181818182</v>
      </c>
      <c r="K128" s="4" t="n">
        <f aca="false">(H128-Assumptions!$B$18)/(Assumptions!$C$18-Assumptions!$B$18)</f>
        <v>0.13583852640755</v>
      </c>
      <c r="L128" s="4" t="n">
        <f aca="false">(I128-Assumptions!$B$19)/(Assumptions!$C$19-Assumptions!$B$19)</f>
        <v>0.219512195121951</v>
      </c>
      <c r="M128" s="4" t="n">
        <f aca="false">0.4*J128+0.4*K128+0.2*L128</f>
        <v>0.170965122314683</v>
      </c>
    </row>
    <row r="129" customFormat="false" ht="15" hidden="false" customHeight="false" outlineLevel="0" collapsed="false">
      <c r="A129" s="3" t="s">
        <v>2</v>
      </c>
      <c r="B129" s="3" t="s">
        <v>345</v>
      </c>
      <c r="C129" s="3" t="s">
        <v>346</v>
      </c>
      <c r="D129" s="3" t="s">
        <v>238</v>
      </c>
      <c r="E129" s="3" t="n">
        <v>254.5</v>
      </c>
      <c r="F129" s="3" t="n">
        <v>2</v>
      </c>
      <c r="G129" s="3" t="n">
        <v>509</v>
      </c>
      <c r="H129" s="4" t="n">
        <f aca="false">G129/E129</f>
        <v>2</v>
      </c>
      <c r="I129" s="3" t="n">
        <v>1.8</v>
      </c>
      <c r="J129" s="4" t="n">
        <f aca="false">(F129-Assumptions!$B$17)/(Assumptions!$C$17-Assumptions!$B$17)</f>
        <v>0.0909090909090909</v>
      </c>
      <c r="K129" s="4" t="n">
        <f aca="false">(H129-Assumptions!$B$18)/(Assumptions!$C$18-Assumptions!$B$18)</f>
        <v>0.002406039100035</v>
      </c>
      <c r="L129" s="4" t="n">
        <f aca="false">(I129-Assumptions!$B$19)/(Assumptions!$C$19-Assumptions!$B$19)</f>
        <v>0.292682926829268</v>
      </c>
      <c r="M129" s="4" t="n">
        <f aca="false">0.4*J129+0.4*K129+0.2*L129</f>
        <v>0.095862637369504</v>
      </c>
    </row>
    <row r="130" customFormat="false" ht="15" hidden="false" customHeight="false" outlineLevel="0" collapsed="false">
      <c r="A130" s="3" t="s">
        <v>2</v>
      </c>
      <c r="B130" s="3" t="s">
        <v>347</v>
      </c>
      <c r="C130" s="3" t="s">
        <v>348</v>
      </c>
      <c r="D130" s="3" t="s">
        <v>349</v>
      </c>
      <c r="E130" s="3" t="n">
        <v>4.5</v>
      </c>
      <c r="F130" s="3" t="n">
        <v>2</v>
      </c>
      <c r="G130" s="3" t="n">
        <v>497</v>
      </c>
      <c r="H130" s="4" t="n">
        <f aca="false">G130/E130</f>
        <v>110.444444444444</v>
      </c>
      <c r="I130" s="3" t="n">
        <v>1.7</v>
      </c>
      <c r="J130" s="4" t="n">
        <f aca="false">(F130-Assumptions!$B$17)/(Assumptions!$C$17-Assumptions!$B$17)</f>
        <v>0.0909090909090909</v>
      </c>
      <c r="K130" s="4" t="n">
        <f aca="false">(H130-Assumptions!$B$18)/(Assumptions!$C$18-Assumptions!$B$18)</f>
        <v>0.136962659586266</v>
      </c>
      <c r="L130" s="4" t="n">
        <f aca="false">(I130-Assumptions!$B$19)/(Assumptions!$C$19-Assumptions!$B$19)</f>
        <v>0.268292682926829</v>
      </c>
      <c r="M130" s="4" t="n">
        <f aca="false">0.4*J130+0.4*K130+0.2*L130</f>
        <v>0.144807236783509</v>
      </c>
    </row>
    <row r="131" customFormat="false" ht="15" hidden="false" customHeight="false" outlineLevel="0" collapsed="false">
      <c r="A131" s="3" t="s">
        <v>2</v>
      </c>
      <c r="B131" s="3" t="s">
        <v>350</v>
      </c>
      <c r="C131" s="3" t="s">
        <v>351</v>
      </c>
      <c r="D131" s="3" t="s">
        <v>352</v>
      </c>
      <c r="E131" s="3" t="n">
        <v>154.5</v>
      </c>
      <c r="F131" s="3" t="n">
        <v>3</v>
      </c>
      <c r="G131" s="3" t="n">
        <v>552</v>
      </c>
      <c r="H131" s="4" t="n">
        <f aca="false">G131/E131</f>
        <v>3.57281553398058</v>
      </c>
      <c r="I131" s="3" t="n">
        <v>1.5</v>
      </c>
      <c r="J131" s="4" t="n">
        <f aca="false">(F131-Assumptions!$B$17)/(Assumptions!$C$17-Assumptions!$B$17)</f>
        <v>0.181818181818182</v>
      </c>
      <c r="K131" s="4" t="n">
        <f aca="false">(H131-Assumptions!$B$18)/(Assumptions!$C$18-Assumptions!$B$18)</f>
        <v>0.00435757054071744</v>
      </c>
      <c r="L131" s="4" t="n">
        <f aca="false">(I131-Assumptions!$B$19)/(Assumptions!$C$19-Assumptions!$B$19)</f>
        <v>0.219512195121951</v>
      </c>
      <c r="M131" s="4" t="n">
        <f aca="false">0.4*J131+0.4*K131+0.2*L131</f>
        <v>0.11837273996795</v>
      </c>
    </row>
    <row r="132" customFormat="false" ht="15" hidden="false" customHeight="false" outlineLevel="0" collapsed="false">
      <c r="A132" s="3" t="s">
        <v>2</v>
      </c>
      <c r="B132" s="3" t="s">
        <v>353</v>
      </c>
      <c r="C132" s="3" t="s">
        <v>354</v>
      </c>
      <c r="D132" s="3" t="s">
        <v>355</v>
      </c>
      <c r="E132" s="3" t="n">
        <v>64.5</v>
      </c>
      <c r="F132" s="3" t="n">
        <v>1</v>
      </c>
      <c r="G132" s="3" t="n">
        <v>712</v>
      </c>
      <c r="H132" s="4" t="n">
        <f aca="false">G132/E132</f>
        <v>11.0387596899225</v>
      </c>
      <c r="I132" s="3" t="n">
        <v>1.5</v>
      </c>
      <c r="J132" s="4" t="n">
        <f aca="false">(F132-Assumptions!$B$17)/(Assumptions!$C$17-Assumptions!$B$17)</f>
        <v>0</v>
      </c>
      <c r="K132" s="4" t="n">
        <f aca="false">(H132-Assumptions!$B$18)/(Assumptions!$C$18-Assumptions!$B$18)</f>
        <v>0.0136212282551254</v>
      </c>
      <c r="L132" s="4" t="n">
        <f aca="false">(I132-Assumptions!$B$19)/(Assumptions!$C$19-Assumptions!$B$19)</f>
        <v>0.219512195121951</v>
      </c>
      <c r="M132" s="4" t="n">
        <f aca="false">0.4*J132+0.4*K132+0.2*L132</f>
        <v>0.0493509303264404</v>
      </c>
    </row>
    <row r="133" customFormat="false" ht="15" hidden="false" customHeight="false" outlineLevel="0" collapsed="false">
      <c r="A133" s="3" t="s">
        <v>2</v>
      </c>
      <c r="B133" s="3" t="s">
        <v>356</v>
      </c>
      <c r="C133" s="3" t="s">
        <v>357</v>
      </c>
      <c r="D133" s="3" t="s">
        <v>358</v>
      </c>
      <c r="E133" s="3" t="n">
        <v>4.5</v>
      </c>
      <c r="F133" s="3" t="n">
        <v>4</v>
      </c>
      <c r="G133" s="3" t="n">
        <v>328</v>
      </c>
      <c r="H133" s="4" t="n">
        <f aca="false">G133/E133</f>
        <v>72.8888888888889</v>
      </c>
      <c r="I133" s="3" t="n">
        <v>2.3</v>
      </c>
      <c r="J133" s="4" t="n">
        <f aca="false">(F133-Assumptions!$B$17)/(Assumptions!$C$17-Assumptions!$B$17)</f>
        <v>0.272727272727273</v>
      </c>
      <c r="K133" s="4" t="n">
        <f aca="false">(H133-Assumptions!$B$18)/(Assumptions!$C$18-Assumptions!$B$18)</f>
        <v>0.0903641578195178</v>
      </c>
      <c r="L133" s="4" t="n">
        <f aca="false">(I133-Assumptions!$B$19)/(Assumptions!$C$19-Assumptions!$B$19)</f>
        <v>0.414634146341463</v>
      </c>
      <c r="M133" s="4" t="n">
        <f aca="false">0.4*J133+0.4*K133+0.2*L133</f>
        <v>0.228163401487009</v>
      </c>
    </row>
    <row r="134" customFormat="false" ht="15" hidden="false" customHeight="false" outlineLevel="0" collapsed="false">
      <c r="A134" s="3" t="s">
        <v>2</v>
      </c>
      <c r="B134" s="3" t="s">
        <v>359</v>
      </c>
      <c r="C134" s="3" t="s">
        <v>360</v>
      </c>
      <c r="D134" s="3" t="s">
        <v>361</v>
      </c>
      <c r="E134" s="3" t="n">
        <v>335</v>
      </c>
      <c r="F134" s="3" t="n">
        <v>1</v>
      </c>
      <c r="G134" s="3" t="n">
        <v>717</v>
      </c>
      <c r="H134" s="4" t="n">
        <f aca="false">G134/E134</f>
        <v>2.14029850746269</v>
      </c>
      <c r="I134" s="3" t="n">
        <v>0.6</v>
      </c>
      <c r="J134" s="4" t="n">
        <f aca="false">(F134-Assumptions!$B$17)/(Assumptions!$C$17-Assumptions!$B$17)</f>
        <v>0</v>
      </c>
      <c r="K134" s="4" t="n">
        <f aca="false">(H134-Assumptions!$B$18)/(Assumptions!$C$18-Assumptions!$B$18)</f>
        <v>0.00258011987586591</v>
      </c>
      <c r="L134" s="4" t="n">
        <f aca="false">(I134-Assumptions!$B$19)/(Assumptions!$C$19-Assumptions!$B$19)</f>
        <v>0</v>
      </c>
      <c r="M134" s="4" t="n">
        <f aca="false">0.4*J134+0.4*K134+0.2*L134</f>
        <v>0.00103204795034636</v>
      </c>
    </row>
    <row r="135" customFormat="false" ht="15" hidden="false" customHeight="false" outlineLevel="0" collapsed="false">
      <c r="A135" s="3" t="s">
        <v>2</v>
      </c>
      <c r="B135" s="3" t="s">
        <v>362</v>
      </c>
      <c r="C135" s="3" t="s">
        <v>363</v>
      </c>
      <c r="D135" s="3" t="s">
        <v>364</v>
      </c>
      <c r="E135" s="3" t="n">
        <v>15.5</v>
      </c>
      <c r="F135" s="3" t="n">
        <v>2</v>
      </c>
      <c r="G135" s="3" t="n">
        <v>569</v>
      </c>
      <c r="H135" s="4" t="n">
        <f aca="false">G135/E135</f>
        <v>36.7096774193548</v>
      </c>
      <c r="I135" s="3" t="n">
        <v>1.2</v>
      </c>
      <c r="J135" s="4" t="n">
        <f aca="false">(F135-Assumptions!$B$17)/(Assumptions!$C$17-Assumptions!$B$17)</f>
        <v>0.0909090909090909</v>
      </c>
      <c r="K135" s="4" t="n">
        <f aca="false">(H135-Assumptions!$B$18)/(Assumptions!$C$18-Assumptions!$B$18)</f>
        <v>0.0454734079785602</v>
      </c>
      <c r="L135" s="4" t="n">
        <f aca="false">(I135-Assumptions!$B$19)/(Assumptions!$C$19-Assumptions!$B$19)</f>
        <v>0.146341463414634</v>
      </c>
      <c r="M135" s="4" t="n">
        <f aca="false">0.4*J135+0.4*K135+0.2*L135</f>
        <v>0.0838212922379873</v>
      </c>
    </row>
    <row r="136" customFormat="false" ht="15" hidden="false" customHeight="false" outlineLevel="0" collapsed="false">
      <c r="A136" s="3" t="s">
        <v>2</v>
      </c>
      <c r="B136" s="3" t="s">
        <v>365</v>
      </c>
      <c r="C136" s="3" t="s">
        <v>363</v>
      </c>
      <c r="D136" s="3" t="s">
        <v>364</v>
      </c>
      <c r="E136" s="3" t="n">
        <v>9.5</v>
      </c>
      <c r="F136" s="3" t="n">
        <v>2</v>
      </c>
      <c r="G136" s="3" t="n">
        <v>569</v>
      </c>
      <c r="H136" s="4" t="n">
        <f aca="false">G136/E136</f>
        <v>59.8947368421053</v>
      </c>
      <c r="I136" s="3" t="n">
        <v>1.2</v>
      </c>
      <c r="J136" s="4" t="n">
        <f aca="false">(F136-Assumptions!$B$17)/(Assumptions!$C$17-Assumptions!$B$17)</f>
        <v>0.0909090909090909</v>
      </c>
      <c r="K136" s="4" t="n">
        <f aca="false">(H136-Assumptions!$B$18)/(Assumptions!$C$18-Assumptions!$B$18)</f>
        <v>0.0742411632811008</v>
      </c>
      <c r="L136" s="4" t="n">
        <f aca="false">(I136-Assumptions!$B$19)/(Assumptions!$C$19-Assumptions!$B$19)</f>
        <v>0.146341463414634</v>
      </c>
      <c r="M136" s="4" t="n">
        <f aca="false">0.4*J136+0.4*K136+0.2*L136</f>
        <v>0.0953283943590035</v>
      </c>
    </row>
    <row r="137" customFormat="false" ht="15" hidden="false" customHeight="false" outlineLevel="0" collapsed="false">
      <c r="A137" s="3" t="s">
        <v>2</v>
      </c>
      <c r="B137" s="3" t="s">
        <v>366</v>
      </c>
      <c r="C137" s="3" t="s">
        <v>367</v>
      </c>
      <c r="D137" s="3" t="s">
        <v>368</v>
      </c>
      <c r="E137" s="3" t="n">
        <v>455.5</v>
      </c>
      <c r="F137" s="3" t="n">
        <v>4</v>
      </c>
      <c r="G137" s="3" t="n">
        <v>297</v>
      </c>
      <c r="H137" s="4" t="n">
        <f aca="false">G137/E137</f>
        <v>0.652030735455543</v>
      </c>
      <c r="I137" s="3" t="n">
        <v>1.4</v>
      </c>
      <c r="J137" s="4" t="n">
        <f aca="false">(F137-Assumptions!$B$17)/(Assumptions!$C$17-Assumptions!$B$17)</f>
        <v>0.272727272727273</v>
      </c>
      <c r="K137" s="4" t="n">
        <f aca="false">(H137-Assumptions!$B$18)/(Assumptions!$C$18-Assumptions!$B$18)</f>
        <v>0.000733494326666444</v>
      </c>
      <c r="L137" s="4" t="n">
        <f aca="false">(I137-Assumptions!$B$19)/(Assumptions!$C$19-Assumptions!$B$19)</f>
        <v>0.195121951219512</v>
      </c>
      <c r="M137" s="4" t="n">
        <f aca="false">0.4*J137+0.4*K137+0.2*L137</f>
        <v>0.148408697065478</v>
      </c>
    </row>
    <row r="138" customFormat="false" ht="15" hidden="false" customHeight="false" outlineLevel="0" collapsed="false">
      <c r="A138" s="3" t="s">
        <v>2</v>
      </c>
      <c r="B138" s="3" t="s">
        <v>369</v>
      </c>
      <c r="C138" s="3" t="s">
        <v>370</v>
      </c>
      <c r="D138" s="3" t="s">
        <v>371</v>
      </c>
      <c r="E138" s="3" t="n">
        <v>11</v>
      </c>
      <c r="F138" s="3" t="n">
        <v>10</v>
      </c>
      <c r="G138" s="3" t="n">
        <v>229</v>
      </c>
      <c r="H138" s="4" t="n">
        <f aca="false">G138/E138</f>
        <v>20.8181818181818</v>
      </c>
      <c r="I138" s="3" t="n">
        <v>2.6</v>
      </c>
      <c r="J138" s="4" t="n">
        <f aca="false">(F138-Assumptions!$B$17)/(Assumptions!$C$17-Assumptions!$B$17)</f>
        <v>0.818181818181818</v>
      </c>
      <c r="K138" s="4" t="n">
        <f aca="false">(H138-Assumptions!$B$18)/(Assumptions!$C$18-Assumptions!$B$18)</f>
        <v>0.0257554228524426</v>
      </c>
      <c r="L138" s="4" t="n">
        <f aca="false">(I138-Assumptions!$B$19)/(Assumptions!$C$19-Assumptions!$B$19)</f>
        <v>0.48780487804878</v>
      </c>
      <c r="M138" s="4" t="n">
        <f aca="false">0.4*J138+0.4*K138+0.2*L138</f>
        <v>0.43513587202346</v>
      </c>
    </row>
    <row r="139" customFormat="false" ht="15" hidden="false" customHeight="false" outlineLevel="0" collapsed="false">
      <c r="A139" s="3" t="s">
        <v>2</v>
      </c>
      <c r="B139" s="3" t="s">
        <v>372</v>
      </c>
      <c r="C139" s="3" t="s">
        <v>373</v>
      </c>
      <c r="D139" s="3" t="s">
        <v>169</v>
      </c>
      <c r="E139" s="3" t="n">
        <v>392</v>
      </c>
      <c r="F139" s="3" t="n">
        <v>2</v>
      </c>
      <c r="G139" s="3" t="n">
        <v>485</v>
      </c>
      <c r="H139" s="4" t="n">
        <f aca="false">G139/E139</f>
        <v>1.23724489795918</v>
      </c>
      <c r="I139" s="3" t="n">
        <v>1.5</v>
      </c>
      <c r="J139" s="4" t="n">
        <f aca="false">(F139-Assumptions!$B$17)/(Assumptions!$C$17-Assumptions!$B$17)</f>
        <v>0.0909090909090909</v>
      </c>
      <c r="K139" s="4" t="n">
        <f aca="false">(H139-Assumptions!$B$18)/(Assumptions!$C$18-Assumptions!$B$18)</f>
        <v>0.00145962133456043</v>
      </c>
      <c r="L139" s="4" t="n">
        <f aca="false">(I139-Assumptions!$B$19)/(Assumptions!$C$19-Assumptions!$B$19)</f>
        <v>0.219512195121951</v>
      </c>
      <c r="M139" s="4" t="n">
        <f aca="false">0.4*J139+0.4*K139+0.2*L139</f>
        <v>0.0808499239218508</v>
      </c>
    </row>
    <row r="140" customFormat="false" ht="15" hidden="false" customHeight="false" outlineLevel="0" collapsed="false">
      <c r="A140" s="3" t="s">
        <v>2</v>
      </c>
      <c r="B140" s="3" t="s">
        <v>374</v>
      </c>
      <c r="C140" s="3" t="s">
        <v>373</v>
      </c>
      <c r="D140" s="3" t="s">
        <v>169</v>
      </c>
      <c r="E140" s="3" t="n">
        <v>951.5</v>
      </c>
      <c r="F140" s="3" t="n">
        <v>2</v>
      </c>
      <c r="G140" s="3" t="n">
        <v>485</v>
      </c>
      <c r="H140" s="4" t="n">
        <f aca="false">G140/E140</f>
        <v>0.509721492380452</v>
      </c>
      <c r="I140" s="3" t="n">
        <v>1.5</v>
      </c>
      <c r="J140" s="4" t="n">
        <f aca="false">(F140-Assumptions!$B$17)/(Assumptions!$C$17-Assumptions!$B$17)</f>
        <v>0.0909090909090909</v>
      </c>
      <c r="K140" s="4" t="n">
        <f aca="false">(H140-Assumptions!$B$18)/(Assumptions!$C$18-Assumptions!$B$18)</f>
        <v>0.000556918653193861</v>
      </c>
      <c r="L140" s="4" t="n">
        <f aca="false">(I140-Assumptions!$B$19)/(Assumptions!$C$19-Assumptions!$B$19)</f>
        <v>0.219512195121951</v>
      </c>
      <c r="M140" s="4" t="n">
        <f aca="false">0.4*J140+0.4*K140+0.2*L140</f>
        <v>0.0804888428493042</v>
      </c>
    </row>
    <row r="141" customFormat="false" ht="15" hidden="false" customHeight="false" outlineLevel="0" collapsed="false">
      <c r="A141" s="3" t="s">
        <v>2</v>
      </c>
      <c r="B141" s="3" t="s">
        <v>375</v>
      </c>
      <c r="C141" s="3" t="s">
        <v>376</v>
      </c>
      <c r="D141" s="3" t="s">
        <v>377</v>
      </c>
      <c r="E141" s="3" t="n">
        <v>236</v>
      </c>
      <c r="F141" s="3" t="n">
        <v>3</v>
      </c>
      <c r="G141" s="3" t="n">
        <v>552</v>
      </c>
      <c r="H141" s="4" t="n">
        <f aca="false">G141/E141</f>
        <v>2.33898305084746</v>
      </c>
      <c r="I141" s="3" t="n">
        <v>1.5</v>
      </c>
      <c r="J141" s="4" t="n">
        <f aca="false">(F141-Assumptions!$B$17)/(Assumptions!$C$17-Assumptions!$B$17)</f>
        <v>0.181818181818182</v>
      </c>
      <c r="K141" s="4" t="n">
        <f aca="false">(H141-Assumptions!$B$18)/(Assumptions!$C$18-Assumptions!$B$18)</f>
        <v>0.00282664537413061</v>
      </c>
      <c r="L141" s="4" t="n">
        <f aca="false">(I141-Assumptions!$B$19)/(Assumptions!$C$19-Assumptions!$B$19)</f>
        <v>0.219512195121951</v>
      </c>
      <c r="M141" s="4" t="n">
        <f aca="false">0.4*J141+0.4*K141+0.2*L141</f>
        <v>0.117760369901315</v>
      </c>
    </row>
    <row r="142" customFormat="false" ht="15" hidden="false" customHeight="false" outlineLevel="0" collapsed="false">
      <c r="A142" s="3" t="s">
        <v>2</v>
      </c>
      <c r="B142" s="3" t="s">
        <v>378</v>
      </c>
      <c r="C142" s="3" t="s">
        <v>379</v>
      </c>
      <c r="D142" s="3" t="s">
        <v>380</v>
      </c>
      <c r="E142" s="3" t="n">
        <v>402.5</v>
      </c>
      <c r="F142" s="3" t="n">
        <v>1</v>
      </c>
      <c r="G142" s="3" t="n">
        <v>669</v>
      </c>
      <c r="H142" s="4" t="n">
        <f aca="false">G142/E142</f>
        <v>1.66211180124224</v>
      </c>
      <c r="I142" s="3" t="n">
        <v>1.4</v>
      </c>
      <c r="J142" s="4" t="n">
        <f aca="false">(F142-Assumptions!$B$17)/(Assumptions!$C$17-Assumptions!$B$17)</f>
        <v>0</v>
      </c>
      <c r="K142" s="4" t="n">
        <f aca="false">(H142-Assumptions!$B$18)/(Assumptions!$C$18-Assumptions!$B$18)</f>
        <v>0.00198679130583088</v>
      </c>
      <c r="L142" s="4" t="n">
        <f aca="false">(I142-Assumptions!$B$19)/(Assumptions!$C$19-Assumptions!$B$19)</f>
        <v>0.195121951219512</v>
      </c>
      <c r="M142" s="4" t="n">
        <f aca="false">0.4*J142+0.4*K142+0.2*L142</f>
        <v>0.0398191067662348</v>
      </c>
    </row>
    <row r="143" customFormat="false" ht="15" hidden="false" customHeight="false" outlineLevel="0" collapsed="false">
      <c r="A143" s="3" t="s">
        <v>2</v>
      </c>
      <c r="B143" s="3" t="s">
        <v>381</v>
      </c>
      <c r="C143" s="3" t="s">
        <v>382</v>
      </c>
      <c r="D143" s="3" t="s">
        <v>383</v>
      </c>
      <c r="E143" s="3" t="n">
        <v>65</v>
      </c>
      <c r="F143" s="3" t="n">
        <v>1</v>
      </c>
      <c r="G143" s="3" t="n">
        <v>712</v>
      </c>
      <c r="H143" s="4" t="n">
        <f aca="false">G143/E143</f>
        <v>10.9538461538462</v>
      </c>
      <c r="I143" s="3" t="n">
        <v>1.5</v>
      </c>
      <c r="J143" s="4" t="n">
        <f aca="false">(F143-Assumptions!$B$17)/(Assumptions!$C$17-Assumptions!$B$17)</f>
        <v>0</v>
      </c>
      <c r="K143" s="4" t="n">
        <f aca="false">(H143-Assumptions!$B$18)/(Assumptions!$C$18-Assumptions!$B$18)</f>
        <v>0.0135158685153389</v>
      </c>
      <c r="L143" s="4" t="n">
        <f aca="false">(I143-Assumptions!$B$19)/(Assumptions!$C$19-Assumptions!$B$19)</f>
        <v>0.219512195121951</v>
      </c>
      <c r="M143" s="4" t="n">
        <f aca="false">0.4*J143+0.4*K143+0.2*L143</f>
        <v>0.0493087864305258</v>
      </c>
    </row>
    <row r="144" customFormat="false" ht="15" hidden="false" customHeight="false" outlineLevel="0" collapsed="false">
      <c r="A144" s="3" t="s">
        <v>2</v>
      </c>
      <c r="B144" s="3" t="s">
        <v>384</v>
      </c>
      <c r="C144" s="3" t="s">
        <v>385</v>
      </c>
      <c r="D144" s="3" t="s">
        <v>386</v>
      </c>
      <c r="E144" s="3" t="n">
        <v>663</v>
      </c>
      <c r="F144" s="3" t="n">
        <v>2</v>
      </c>
      <c r="G144" s="3" t="n">
        <v>552</v>
      </c>
      <c r="H144" s="4" t="n">
        <f aca="false">G144/E144</f>
        <v>0.832579185520362</v>
      </c>
      <c r="I144" s="3" t="n">
        <v>1.5</v>
      </c>
      <c r="J144" s="4" t="n">
        <f aca="false">(F144-Assumptions!$B$17)/(Assumptions!$C$17-Assumptions!$B$17)</f>
        <v>0.0909090909090909</v>
      </c>
      <c r="K144" s="4" t="n">
        <f aca="false">(H144-Assumptions!$B$18)/(Assumptions!$C$18-Assumptions!$B$18)</f>
        <v>0.00095751676874917</v>
      </c>
      <c r="L144" s="4" t="n">
        <f aca="false">(I144-Assumptions!$B$19)/(Assumptions!$C$19-Assumptions!$B$19)</f>
        <v>0.219512195121951</v>
      </c>
      <c r="M144" s="4" t="n">
        <f aca="false">0.4*J144+0.4*K144+0.2*L144</f>
        <v>0.0806490820955263</v>
      </c>
    </row>
    <row r="145" customFormat="false" ht="15" hidden="false" customHeight="false" outlineLevel="0" collapsed="false">
      <c r="A145" s="3" t="s">
        <v>2</v>
      </c>
      <c r="B145" s="3" t="s">
        <v>387</v>
      </c>
      <c r="C145" s="3" t="s">
        <v>388</v>
      </c>
      <c r="D145" s="3" t="s">
        <v>389</v>
      </c>
      <c r="E145" s="3" t="n">
        <v>4.5</v>
      </c>
      <c r="F145" s="3" t="n">
        <v>2</v>
      </c>
      <c r="G145" s="3" t="n">
        <v>645</v>
      </c>
      <c r="H145" s="4" t="n">
        <f aca="false">G145/E145</f>
        <v>143.333333333333</v>
      </c>
      <c r="I145" s="3" t="n">
        <v>0.6</v>
      </c>
      <c r="J145" s="4" t="n">
        <f aca="false">(F145-Assumptions!$B$17)/(Assumptions!$C$17-Assumptions!$B$17)</f>
        <v>0.0909090909090909</v>
      </c>
      <c r="K145" s="4" t="n">
        <f aca="false">(H145-Assumptions!$B$18)/(Assumptions!$C$18-Assumptions!$B$18)</f>
        <v>0.177770814979631</v>
      </c>
      <c r="L145" s="4" t="n">
        <f aca="false">(I145-Assumptions!$B$19)/(Assumptions!$C$19-Assumptions!$B$19)</f>
        <v>0</v>
      </c>
      <c r="M145" s="4" t="n">
        <f aca="false">0.4*J145+0.4*K145+0.2*L145</f>
        <v>0.107471962355489</v>
      </c>
    </row>
    <row r="146" customFormat="false" ht="15" hidden="false" customHeight="false" outlineLevel="0" collapsed="false">
      <c r="A146" s="3" t="s">
        <v>2</v>
      </c>
      <c r="B146" s="3" t="s">
        <v>390</v>
      </c>
      <c r="C146" s="3" t="s">
        <v>391</v>
      </c>
      <c r="D146" s="3" t="s">
        <v>392</v>
      </c>
      <c r="E146" s="3" t="n">
        <v>29.5</v>
      </c>
      <c r="F146" s="3" t="n">
        <v>4</v>
      </c>
      <c r="G146" s="3" t="n">
        <v>261</v>
      </c>
      <c r="H146" s="4" t="n">
        <f aca="false">G146/E146</f>
        <v>8.84745762711864</v>
      </c>
      <c r="I146" s="3" t="n">
        <v>1.9</v>
      </c>
      <c r="J146" s="4" t="n">
        <f aca="false">(F146-Assumptions!$B$17)/(Assumptions!$C$17-Assumptions!$B$17)</f>
        <v>0.272727272727273</v>
      </c>
      <c r="K146" s="4" t="n">
        <f aca="false">(H146-Assumptions!$B$18)/(Assumptions!$C$18-Assumptions!$B$18)</f>
        <v>0.0109022858367663</v>
      </c>
      <c r="L146" s="4" t="n">
        <f aca="false">(I146-Assumptions!$B$19)/(Assumptions!$C$19-Assumptions!$B$19)</f>
        <v>0.317073170731707</v>
      </c>
      <c r="M146" s="4" t="n">
        <f aca="false">0.4*J146+0.4*K146+0.2*L146</f>
        <v>0.176866457571957</v>
      </c>
    </row>
    <row r="147" customFormat="false" ht="15" hidden="false" customHeight="false" outlineLevel="0" collapsed="false">
      <c r="A147" s="3" t="s">
        <v>2</v>
      </c>
      <c r="B147" s="3" t="s">
        <v>393</v>
      </c>
      <c r="C147" s="3" t="s">
        <v>391</v>
      </c>
      <c r="D147" s="3" t="s">
        <v>392</v>
      </c>
      <c r="E147" s="3" t="n">
        <v>19.5</v>
      </c>
      <c r="F147" s="3" t="n">
        <v>4</v>
      </c>
      <c r="G147" s="3" t="n">
        <v>261</v>
      </c>
      <c r="H147" s="4" t="n">
        <f aca="false">G147/E147</f>
        <v>13.3846153846154</v>
      </c>
      <c r="I147" s="3" t="n">
        <v>1.9</v>
      </c>
      <c r="J147" s="4" t="n">
        <f aca="false">(F147-Assumptions!$B$17)/(Assumptions!$C$17-Assumptions!$B$17)</f>
        <v>0.272727272727273</v>
      </c>
      <c r="K147" s="4" t="n">
        <f aca="false">(H147-Assumptions!$B$18)/(Assumptions!$C$18-Assumptions!$B$18)</f>
        <v>0.0165319390438921</v>
      </c>
      <c r="L147" s="4" t="n">
        <f aca="false">(I147-Assumptions!$B$19)/(Assumptions!$C$19-Assumptions!$B$19)</f>
        <v>0.317073170731707</v>
      </c>
      <c r="M147" s="4" t="n">
        <f aca="false">0.4*J147+0.4*K147+0.2*L147</f>
        <v>0.179118318854807</v>
      </c>
    </row>
    <row r="148" customFormat="false" ht="15" hidden="false" customHeight="false" outlineLevel="0" collapsed="false">
      <c r="A148" s="3" t="s">
        <v>2</v>
      </c>
      <c r="B148" s="3" t="s">
        <v>394</v>
      </c>
      <c r="C148" s="3" t="s">
        <v>391</v>
      </c>
      <c r="D148" s="3" t="s">
        <v>392</v>
      </c>
      <c r="E148" s="3" t="n">
        <v>4</v>
      </c>
      <c r="F148" s="3" t="n">
        <v>4</v>
      </c>
      <c r="G148" s="3" t="n">
        <v>261</v>
      </c>
      <c r="H148" s="4" t="n">
        <f aca="false">G148/E148</f>
        <v>65.25</v>
      </c>
      <c r="I148" s="3" t="n">
        <v>1.9</v>
      </c>
      <c r="J148" s="4" t="n">
        <f aca="false">(F148-Assumptions!$B$17)/(Assumptions!$C$17-Assumptions!$B$17)</f>
        <v>0.272727272727273</v>
      </c>
      <c r="K148" s="4" t="n">
        <f aca="false">(H148-Assumptions!$B$18)/(Assumptions!$C$18-Assumptions!$B$18)</f>
        <v>0.0808859122678494</v>
      </c>
      <c r="L148" s="4" t="n">
        <f aca="false">(I148-Assumptions!$B$19)/(Assumptions!$C$19-Assumptions!$B$19)</f>
        <v>0.317073170731707</v>
      </c>
      <c r="M148" s="4" t="n">
        <f aca="false">0.4*J148+0.4*K148+0.2*L148</f>
        <v>0.20485990814439</v>
      </c>
    </row>
    <row r="149" customFormat="false" ht="15" hidden="false" customHeight="false" outlineLevel="0" collapsed="false">
      <c r="A149" s="3" t="s">
        <v>2</v>
      </c>
      <c r="B149" s="3" t="s">
        <v>395</v>
      </c>
      <c r="C149" s="3" t="s">
        <v>391</v>
      </c>
      <c r="D149" s="3" t="s">
        <v>392</v>
      </c>
      <c r="E149" s="3" t="n">
        <v>6</v>
      </c>
      <c r="F149" s="3" t="n">
        <v>4</v>
      </c>
      <c r="G149" s="3" t="n">
        <v>261</v>
      </c>
      <c r="H149" s="4" t="n">
        <f aca="false">G149/E149</f>
        <v>43.5</v>
      </c>
      <c r="I149" s="3" t="n">
        <v>1.9</v>
      </c>
      <c r="J149" s="4" t="n">
        <f aca="false">(F149-Assumptions!$B$17)/(Assumptions!$C$17-Assumptions!$B$17)</f>
        <v>0.272727272727273</v>
      </c>
      <c r="K149" s="4" t="n">
        <f aca="false">(H149-Assumptions!$B$18)/(Assumptions!$C$18-Assumptions!$B$18)</f>
        <v>0.0538987622061899</v>
      </c>
      <c r="L149" s="4" t="n">
        <f aca="false">(I149-Assumptions!$B$19)/(Assumptions!$C$19-Assumptions!$B$19)</f>
        <v>0.317073170731707</v>
      </c>
      <c r="M149" s="4" t="n">
        <f aca="false">0.4*J149+0.4*K149+0.2*L149</f>
        <v>0.194065048119727</v>
      </c>
    </row>
    <row r="150" customFormat="false" ht="15" hidden="false" customHeight="false" outlineLevel="0" collapsed="false">
      <c r="A150" s="3" t="s">
        <v>2</v>
      </c>
      <c r="B150" s="3" t="s">
        <v>396</v>
      </c>
      <c r="C150" s="3" t="s">
        <v>391</v>
      </c>
      <c r="D150" s="3" t="s">
        <v>392</v>
      </c>
      <c r="E150" s="3" t="n">
        <v>29.5</v>
      </c>
      <c r="F150" s="3" t="n">
        <v>4</v>
      </c>
      <c r="G150" s="3" t="n">
        <v>261</v>
      </c>
      <c r="H150" s="4" t="n">
        <f aca="false">G150/E150</f>
        <v>8.84745762711864</v>
      </c>
      <c r="I150" s="3" t="n">
        <v>1.9</v>
      </c>
      <c r="J150" s="4" t="n">
        <f aca="false">(F150-Assumptions!$B$17)/(Assumptions!$C$17-Assumptions!$B$17)</f>
        <v>0.272727272727273</v>
      </c>
      <c r="K150" s="4" t="n">
        <f aca="false">(H150-Assumptions!$B$18)/(Assumptions!$C$18-Assumptions!$B$18)</f>
        <v>0.0109022858367663</v>
      </c>
      <c r="L150" s="4" t="n">
        <f aca="false">(I150-Assumptions!$B$19)/(Assumptions!$C$19-Assumptions!$B$19)</f>
        <v>0.317073170731707</v>
      </c>
      <c r="M150" s="4" t="n">
        <f aca="false">0.4*J150+0.4*K150+0.2*L150</f>
        <v>0.176866457571957</v>
      </c>
    </row>
    <row r="151" customFormat="false" ht="15" hidden="false" customHeight="false" outlineLevel="0" collapsed="false">
      <c r="A151" s="3" t="s">
        <v>2</v>
      </c>
      <c r="B151" s="3" t="s">
        <v>397</v>
      </c>
      <c r="C151" s="3" t="s">
        <v>391</v>
      </c>
      <c r="D151" s="3" t="s">
        <v>392</v>
      </c>
      <c r="E151" s="3" t="n">
        <v>411</v>
      </c>
      <c r="F151" s="3" t="n">
        <v>4</v>
      </c>
      <c r="G151" s="3" t="n">
        <v>261</v>
      </c>
      <c r="H151" s="4" t="n">
        <f aca="false">G151/E151</f>
        <v>0.635036496350365</v>
      </c>
      <c r="I151" s="3" t="n">
        <v>1.9</v>
      </c>
      <c r="J151" s="4" t="n">
        <f aca="false">(F151-Assumptions!$B$17)/(Assumptions!$C$17-Assumptions!$B$17)</f>
        <v>0.272727272727273</v>
      </c>
      <c r="K151" s="4" t="n">
        <f aca="false">(H151-Assumptions!$B$18)/(Assumptions!$C$18-Assumptions!$B$18)</f>
        <v>0.000712408070072643</v>
      </c>
      <c r="L151" s="4" t="n">
        <f aca="false">(I151-Assumptions!$B$19)/(Assumptions!$C$19-Assumptions!$B$19)</f>
        <v>0.317073170731707</v>
      </c>
      <c r="M151" s="4" t="n">
        <f aca="false">0.4*J151+0.4*K151+0.2*L151</f>
        <v>0.17279050646528</v>
      </c>
    </row>
    <row r="152" customFormat="false" ht="15" hidden="false" customHeight="false" outlineLevel="0" collapsed="false">
      <c r="A152" s="3" t="s">
        <v>2</v>
      </c>
      <c r="B152" s="3" t="s">
        <v>398</v>
      </c>
      <c r="C152" s="3" t="s">
        <v>399</v>
      </c>
      <c r="D152" s="3" t="s">
        <v>400</v>
      </c>
      <c r="E152" s="3" t="n">
        <v>177</v>
      </c>
      <c r="F152" s="3" t="n">
        <v>9</v>
      </c>
      <c r="G152" s="3" t="n">
        <v>193</v>
      </c>
      <c r="H152" s="4" t="n">
        <f aca="false">G152/E152</f>
        <v>1.09039548022599</v>
      </c>
      <c r="I152" s="3" t="n">
        <v>3</v>
      </c>
      <c r="J152" s="4" t="n">
        <f aca="false">(F152-Assumptions!$B$17)/(Assumptions!$C$17-Assumptions!$B$17)</f>
        <v>0.727272727272727</v>
      </c>
      <c r="K152" s="4" t="n">
        <f aca="false">(H152-Assumptions!$B$18)/(Assumptions!$C$18-Assumptions!$B$18)</f>
        <v>0.00127741226454511</v>
      </c>
      <c r="L152" s="4" t="n">
        <f aca="false">(I152-Assumptions!$B$19)/(Assumptions!$C$19-Assumptions!$B$19)</f>
        <v>0.585365853658536</v>
      </c>
      <c r="M152" s="4" t="n">
        <f aca="false">0.4*J152+0.4*K152+0.2*L152</f>
        <v>0.408493226546616</v>
      </c>
    </row>
    <row r="153" customFormat="false" ht="15" hidden="false" customHeight="false" outlineLevel="0" collapsed="false">
      <c r="A153" s="3" t="s">
        <v>2</v>
      </c>
      <c r="B153" s="3" t="s">
        <v>401</v>
      </c>
      <c r="C153" s="3" t="s">
        <v>402</v>
      </c>
      <c r="D153" s="3" t="s">
        <v>403</v>
      </c>
      <c r="E153" s="3" t="n">
        <v>6.5</v>
      </c>
      <c r="F153" s="3" t="n">
        <v>5</v>
      </c>
      <c r="G153" s="3" t="n">
        <v>292</v>
      </c>
      <c r="H153" s="4" t="n">
        <f aca="false">G153/E153</f>
        <v>44.9230769230769</v>
      </c>
      <c r="I153" s="3" t="n">
        <v>2.3</v>
      </c>
      <c r="J153" s="4" t="n">
        <f aca="false">(F153-Assumptions!$B$17)/(Assumptions!$C$17-Assumptions!$B$17)</f>
        <v>0.363636363636364</v>
      </c>
      <c r="K153" s="4" t="n">
        <f aca="false">(H153-Assumptions!$B$18)/(Assumptions!$C$18-Assumptions!$B$18)</f>
        <v>0.055664499699172</v>
      </c>
      <c r="L153" s="4" t="n">
        <f aca="false">(I153-Assumptions!$B$19)/(Assumptions!$C$19-Assumptions!$B$19)</f>
        <v>0.414634146341463</v>
      </c>
      <c r="M153" s="4" t="n">
        <f aca="false">0.4*J153+0.4*K153+0.2*L153</f>
        <v>0.250647174602507</v>
      </c>
    </row>
    <row r="154" customFormat="false" ht="15" hidden="false" customHeight="false" outlineLevel="0" collapsed="false">
      <c r="A154" s="3" t="s">
        <v>2</v>
      </c>
      <c r="B154" s="3" t="s">
        <v>404</v>
      </c>
      <c r="C154" s="3" t="s">
        <v>402</v>
      </c>
      <c r="D154" s="3" t="s">
        <v>403</v>
      </c>
      <c r="E154" s="3" t="n">
        <v>27.5</v>
      </c>
      <c r="F154" s="3" t="n">
        <v>5</v>
      </c>
      <c r="G154" s="3" t="n">
        <v>292</v>
      </c>
      <c r="H154" s="4" t="n">
        <f aca="false">G154/E154</f>
        <v>10.6181818181818</v>
      </c>
      <c r="I154" s="3" t="n">
        <v>2.3</v>
      </c>
      <c r="J154" s="4" t="n">
        <f aca="false">(F154-Assumptions!$B$17)/(Assumptions!$C$17-Assumptions!$B$17)</f>
        <v>0.363636363636364</v>
      </c>
      <c r="K154" s="4" t="n">
        <f aca="false">(H154-Assumptions!$B$18)/(Assumptions!$C$18-Assumptions!$B$18)</f>
        <v>0.0130993800649057</v>
      </c>
      <c r="L154" s="4" t="n">
        <f aca="false">(I154-Assumptions!$B$19)/(Assumptions!$C$19-Assumptions!$B$19)</f>
        <v>0.414634146341463</v>
      </c>
      <c r="M154" s="4" t="n">
        <f aca="false">0.4*J154+0.4*K154+0.2*L154</f>
        <v>0.2336211267488</v>
      </c>
    </row>
    <row r="155" customFormat="false" ht="15" hidden="false" customHeight="false" outlineLevel="0" collapsed="false">
      <c r="A155" s="3" t="s">
        <v>2</v>
      </c>
      <c r="B155" s="3" t="s">
        <v>405</v>
      </c>
      <c r="C155" s="3" t="s">
        <v>402</v>
      </c>
      <c r="D155" s="3" t="s">
        <v>403</v>
      </c>
      <c r="E155" s="3" t="n">
        <v>8</v>
      </c>
      <c r="F155" s="3" t="n">
        <v>5</v>
      </c>
      <c r="G155" s="3" t="n">
        <v>292</v>
      </c>
      <c r="H155" s="4" t="n">
        <f aca="false">G155/E155</f>
        <v>36.5</v>
      </c>
      <c r="I155" s="3" t="n">
        <v>2.3</v>
      </c>
      <c r="J155" s="4" t="n">
        <f aca="false">(F155-Assumptions!$B$17)/(Assumptions!$C$17-Assumptions!$B$17)</f>
        <v>0.363636363636364</v>
      </c>
      <c r="K155" s="4" t="n">
        <f aca="false">(H155-Assumptions!$B$18)/(Assumptions!$C$18-Assumptions!$B$18)</f>
        <v>0.0452132426461156</v>
      </c>
      <c r="L155" s="4" t="n">
        <f aca="false">(I155-Assumptions!$B$19)/(Assumptions!$C$19-Assumptions!$B$19)</f>
        <v>0.414634146341463</v>
      </c>
      <c r="M155" s="4" t="n">
        <f aca="false">0.4*J155+0.4*K155+0.2*L155</f>
        <v>0.246466671781284</v>
      </c>
    </row>
    <row r="156" customFormat="false" ht="15" hidden="false" customHeight="false" outlineLevel="0" collapsed="false">
      <c r="A156" s="3" t="s">
        <v>2</v>
      </c>
      <c r="B156" s="3" t="s">
        <v>406</v>
      </c>
      <c r="C156" s="3" t="s">
        <v>402</v>
      </c>
      <c r="D156" s="3" t="s">
        <v>403</v>
      </c>
      <c r="E156" s="3" t="n">
        <v>5</v>
      </c>
      <c r="F156" s="3" t="n">
        <v>5</v>
      </c>
      <c r="G156" s="3" t="n">
        <v>292</v>
      </c>
      <c r="H156" s="4" t="n">
        <f aca="false">G156/E156</f>
        <v>58.4</v>
      </c>
      <c r="I156" s="3" t="n">
        <v>2.3</v>
      </c>
      <c r="J156" s="4" t="n">
        <f aca="false">(F156-Assumptions!$B$17)/(Assumptions!$C$17-Assumptions!$B$17)</f>
        <v>0.363636363636364</v>
      </c>
      <c r="K156" s="4" t="n">
        <f aca="false">(H156-Assumptions!$B$18)/(Assumptions!$C$18-Assumptions!$B$18)</f>
        <v>0.0723865109840624</v>
      </c>
      <c r="L156" s="4" t="n">
        <f aca="false">(I156-Assumptions!$B$19)/(Assumptions!$C$19-Assumptions!$B$19)</f>
        <v>0.414634146341463</v>
      </c>
      <c r="M156" s="4" t="n">
        <f aca="false">0.4*J156+0.4*K156+0.2*L156</f>
        <v>0.257335979116463</v>
      </c>
    </row>
    <row r="157" customFormat="false" ht="15" hidden="false" customHeight="false" outlineLevel="0" collapsed="false">
      <c r="A157" s="3" t="s">
        <v>2</v>
      </c>
      <c r="B157" s="3" t="s">
        <v>407</v>
      </c>
      <c r="C157" s="3" t="s">
        <v>402</v>
      </c>
      <c r="D157" s="3" t="s">
        <v>403</v>
      </c>
      <c r="E157" s="3" t="n">
        <v>1</v>
      </c>
      <c r="F157" s="3" t="n">
        <v>5</v>
      </c>
      <c r="G157" s="3" t="n">
        <v>292</v>
      </c>
      <c r="H157" s="4" t="n">
        <f aca="false">G157/E157</f>
        <v>292</v>
      </c>
      <c r="I157" s="3" t="n">
        <v>2.3</v>
      </c>
      <c r="J157" s="4" t="n">
        <f aca="false">(F157-Assumptions!$B$17)/(Assumptions!$C$17-Assumptions!$B$17)</f>
        <v>0.363636363636364</v>
      </c>
      <c r="K157" s="4" t="n">
        <f aca="false">(H157-Assumptions!$B$18)/(Assumptions!$C$18-Assumptions!$B$18)</f>
        <v>0.362234706588828</v>
      </c>
      <c r="L157" s="4" t="n">
        <f aca="false">(I157-Assumptions!$B$19)/(Assumptions!$C$19-Assumptions!$B$19)</f>
        <v>0.414634146341463</v>
      </c>
      <c r="M157" s="4" t="n">
        <f aca="false">0.4*J157+0.4*K157+0.2*L157</f>
        <v>0.373275257358369</v>
      </c>
    </row>
    <row r="158" customFormat="false" ht="15" hidden="false" customHeight="false" outlineLevel="0" collapsed="false">
      <c r="A158" s="3" t="s">
        <v>2</v>
      </c>
      <c r="B158" s="3" t="s">
        <v>408</v>
      </c>
      <c r="C158" s="3" t="s">
        <v>409</v>
      </c>
      <c r="D158" s="3" t="s">
        <v>410</v>
      </c>
      <c r="E158" s="3" t="n">
        <v>3.5</v>
      </c>
      <c r="F158" s="3" t="n">
        <v>1</v>
      </c>
      <c r="G158" s="3" t="n">
        <v>693</v>
      </c>
      <c r="H158" s="4" t="n">
        <f aca="false">G158/E158</f>
        <v>198</v>
      </c>
      <c r="I158" s="3" t="n">
        <v>0.8</v>
      </c>
      <c r="J158" s="4" t="n">
        <f aca="false">(F158-Assumptions!$B$17)/(Assumptions!$C$17-Assumptions!$B$17)</f>
        <v>0</v>
      </c>
      <c r="K158" s="4" t="n">
        <f aca="false">(H158-Assumptions!$B$18)/(Assumptions!$C$18-Assumptions!$B$18)</f>
        <v>0.245600586782116</v>
      </c>
      <c r="L158" s="4" t="n">
        <f aca="false">(I158-Assumptions!$B$19)/(Assumptions!$C$19-Assumptions!$B$19)</f>
        <v>0.0487804878048781</v>
      </c>
      <c r="M158" s="4" t="n">
        <f aca="false">0.4*J158+0.4*K158+0.2*L158</f>
        <v>0.107996332273822</v>
      </c>
    </row>
    <row r="159" customFormat="false" ht="15" hidden="false" customHeight="false" outlineLevel="0" collapsed="false">
      <c r="A159" s="3" t="s">
        <v>2</v>
      </c>
      <c r="B159" s="3" t="s">
        <v>411</v>
      </c>
      <c r="C159" s="3" t="s">
        <v>409</v>
      </c>
      <c r="D159" s="3" t="s">
        <v>410</v>
      </c>
      <c r="E159" s="3" t="n">
        <v>40.5</v>
      </c>
      <c r="F159" s="3" t="n">
        <v>1</v>
      </c>
      <c r="G159" s="3" t="n">
        <v>693</v>
      </c>
      <c r="H159" s="4" t="n">
        <f aca="false">G159/E159</f>
        <v>17.1111111111111</v>
      </c>
      <c r="I159" s="3" t="n">
        <v>0.8</v>
      </c>
      <c r="J159" s="4" t="n">
        <f aca="false">(F159-Assumptions!$B$17)/(Assumptions!$C$17-Assumptions!$B$17)</f>
        <v>0</v>
      </c>
      <c r="K159" s="4" t="n">
        <f aca="false">(H159-Assumptions!$B$18)/(Assumptions!$C$18-Assumptions!$B$18)</f>
        <v>0.0211557321186081</v>
      </c>
      <c r="L159" s="4" t="n">
        <f aca="false">(I159-Assumptions!$B$19)/(Assumptions!$C$19-Assumptions!$B$19)</f>
        <v>0.0487804878048781</v>
      </c>
      <c r="M159" s="4" t="n">
        <f aca="false">0.4*J159+0.4*K159+0.2*L159</f>
        <v>0.0182183904084189</v>
      </c>
    </row>
    <row r="160" customFormat="false" ht="15" hidden="false" customHeight="false" outlineLevel="0" collapsed="false">
      <c r="A160" s="3" t="s">
        <v>2</v>
      </c>
      <c r="B160" s="3" t="s">
        <v>412</v>
      </c>
      <c r="C160" s="3" t="s">
        <v>409</v>
      </c>
      <c r="D160" s="3" t="s">
        <v>410</v>
      </c>
      <c r="E160" s="3" t="n">
        <v>20.5</v>
      </c>
      <c r="F160" s="3" t="n">
        <v>1</v>
      </c>
      <c r="G160" s="3" t="n">
        <v>693</v>
      </c>
      <c r="H160" s="4" t="n">
        <f aca="false">G160/E160</f>
        <v>33.8048780487805</v>
      </c>
      <c r="I160" s="3" t="n">
        <v>0.8</v>
      </c>
      <c r="J160" s="4" t="n">
        <f aca="false">(F160-Assumptions!$B$17)/(Assumptions!$C$17-Assumptions!$B$17)</f>
        <v>0</v>
      </c>
      <c r="K160" s="4" t="n">
        <f aca="false">(H160-Assumptions!$B$18)/(Assumptions!$C$18-Assumptions!$B$18)</f>
        <v>0.0418691662998152</v>
      </c>
      <c r="L160" s="4" t="n">
        <f aca="false">(I160-Assumptions!$B$19)/(Assumptions!$C$19-Assumptions!$B$19)</f>
        <v>0.0487804878048781</v>
      </c>
      <c r="M160" s="4" t="n">
        <f aca="false">0.4*J160+0.4*K160+0.2*L160</f>
        <v>0.0265037640809017</v>
      </c>
    </row>
    <row r="161" customFormat="false" ht="15" hidden="false" customHeight="false" outlineLevel="0" collapsed="false">
      <c r="A161" s="3" t="s">
        <v>2</v>
      </c>
      <c r="B161" s="3" t="s">
        <v>413</v>
      </c>
      <c r="C161" s="3" t="s">
        <v>409</v>
      </c>
      <c r="D161" s="3" t="s">
        <v>410</v>
      </c>
      <c r="E161" s="3" t="n">
        <v>7</v>
      </c>
      <c r="F161" s="3" t="n">
        <v>1</v>
      </c>
      <c r="G161" s="3" t="n">
        <v>693</v>
      </c>
      <c r="H161" s="4" t="n">
        <f aca="false">G161/E161</f>
        <v>99</v>
      </c>
      <c r="I161" s="3" t="n">
        <v>0.8</v>
      </c>
      <c r="J161" s="4" t="n">
        <f aca="false">(F161-Assumptions!$B$17)/(Assumptions!$C$17-Assumptions!$B$17)</f>
        <v>0</v>
      </c>
      <c r="K161" s="4" t="n">
        <f aca="false">(H161-Assumptions!$B$18)/(Assumptions!$C$18-Assumptions!$B$18)</f>
        <v>0.122762524432493</v>
      </c>
      <c r="L161" s="4" t="n">
        <f aca="false">(I161-Assumptions!$B$19)/(Assumptions!$C$19-Assumptions!$B$19)</f>
        <v>0.0487804878048781</v>
      </c>
      <c r="M161" s="4" t="n">
        <f aca="false">0.4*J161+0.4*K161+0.2*L161</f>
        <v>0.058861107333973</v>
      </c>
    </row>
    <row r="162" customFormat="false" ht="15" hidden="false" customHeight="false" outlineLevel="0" collapsed="false">
      <c r="A162" s="3" t="s">
        <v>2</v>
      </c>
      <c r="B162" s="3" t="s">
        <v>414</v>
      </c>
      <c r="C162" s="3" t="s">
        <v>415</v>
      </c>
      <c r="D162" s="3" t="s">
        <v>416</v>
      </c>
      <c r="E162" s="3" t="n">
        <v>165.5</v>
      </c>
      <c r="F162" s="3" t="n">
        <v>2</v>
      </c>
      <c r="G162" s="3" t="n">
        <v>545</v>
      </c>
      <c r="H162" s="4" t="n">
        <f aca="false">G162/E162</f>
        <v>3.29305135951662</v>
      </c>
      <c r="I162" s="3" t="n">
        <v>1.4</v>
      </c>
      <c r="J162" s="4" t="n">
        <f aca="false">(F162-Assumptions!$B$17)/(Assumptions!$C$17-Assumptions!$B$17)</f>
        <v>0.0909090909090909</v>
      </c>
      <c r="K162" s="4" t="n">
        <f aca="false">(H162-Assumptions!$B$18)/(Assumptions!$C$18-Assumptions!$B$18)</f>
        <v>0.00401044236792961</v>
      </c>
      <c r="L162" s="4" t="n">
        <f aca="false">(I162-Assumptions!$B$19)/(Assumptions!$C$19-Assumptions!$B$19)</f>
        <v>0.195121951219512</v>
      </c>
      <c r="M162" s="4" t="n">
        <f aca="false">0.4*J162+0.4*K162+0.2*L162</f>
        <v>0.0769922035547107</v>
      </c>
    </row>
    <row r="163" customFormat="false" ht="15" hidden="false" customHeight="false" outlineLevel="0" collapsed="false">
      <c r="A163" s="3" t="s">
        <v>2</v>
      </c>
      <c r="B163" s="3" t="s">
        <v>417</v>
      </c>
      <c r="C163" s="3" t="s">
        <v>415</v>
      </c>
      <c r="D163" s="3" t="s">
        <v>416</v>
      </c>
      <c r="E163" s="3" t="n">
        <v>762</v>
      </c>
      <c r="F163" s="3" t="n">
        <v>2</v>
      </c>
      <c r="G163" s="3" t="n">
        <v>545</v>
      </c>
      <c r="H163" s="4" t="n">
        <f aca="false">G163/E163</f>
        <v>0.715223097112861</v>
      </c>
      <c r="I163" s="3" t="n">
        <v>1.4</v>
      </c>
      <c r="J163" s="4" t="n">
        <f aca="false">(F163-Assumptions!$B$17)/(Assumptions!$C$17-Assumptions!$B$17)</f>
        <v>0.0909090909090909</v>
      </c>
      <c r="K163" s="4" t="n">
        <f aca="false">(H163-Assumptions!$B$18)/(Assumptions!$C$18-Assumptions!$B$18)</f>
        <v>0.000811902682841004</v>
      </c>
      <c r="L163" s="4" t="n">
        <f aca="false">(I163-Assumptions!$B$19)/(Assumptions!$C$19-Assumptions!$B$19)</f>
        <v>0.195121951219512</v>
      </c>
      <c r="M163" s="4" t="n">
        <f aca="false">0.4*J163+0.4*K163+0.2*L163</f>
        <v>0.0757127876806752</v>
      </c>
    </row>
    <row r="164" customFormat="false" ht="15" hidden="false" customHeight="false" outlineLevel="0" collapsed="false">
      <c r="A164" s="3" t="s">
        <v>2</v>
      </c>
      <c r="B164" s="3" t="s">
        <v>418</v>
      </c>
      <c r="C164" s="3" t="s">
        <v>415</v>
      </c>
      <c r="D164" s="3" t="s">
        <v>416</v>
      </c>
      <c r="E164" s="3" t="n">
        <v>152</v>
      </c>
      <c r="F164" s="3" t="n">
        <v>2</v>
      </c>
      <c r="G164" s="3" t="n">
        <v>545</v>
      </c>
      <c r="H164" s="4" t="n">
        <f aca="false">G164/E164</f>
        <v>3.58552631578947</v>
      </c>
      <c r="I164" s="3" t="n">
        <v>1.4</v>
      </c>
      <c r="J164" s="4" t="n">
        <f aca="false">(F164-Assumptions!$B$17)/(Assumptions!$C$17-Assumptions!$B$17)</f>
        <v>0.0909090909090909</v>
      </c>
      <c r="K164" s="4" t="n">
        <f aca="false">(H164-Assumptions!$B$18)/(Assumptions!$C$18-Assumptions!$B$18)</f>
        <v>0.00437334193272101</v>
      </c>
      <c r="L164" s="4" t="n">
        <f aca="false">(I164-Assumptions!$B$19)/(Assumptions!$C$19-Assumptions!$B$19)</f>
        <v>0.195121951219512</v>
      </c>
      <c r="M164" s="4" t="n">
        <f aca="false">0.4*J164+0.4*K164+0.2*L164</f>
        <v>0.0771373633806272</v>
      </c>
    </row>
    <row r="165" customFormat="false" ht="15" hidden="false" customHeight="false" outlineLevel="0" collapsed="false">
      <c r="A165" s="3" t="s">
        <v>2</v>
      </c>
      <c r="B165" s="3" t="s">
        <v>419</v>
      </c>
      <c r="C165" s="3" t="s">
        <v>420</v>
      </c>
      <c r="D165" s="3" t="s">
        <v>421</v>
      </c>
      <c r="E165" s="3" t="n">
        <v>32</v>
      </c>
      <c r="F165" s="3" t="n">
        <v>1</v>
      </c>
      <c r="G165" s="3" t="n">
        <v>748</v>
      </c>
      <c r="H165" s="4" t="n">
        <f aca="false">G165/E165</f>
        <v>23.375</v>
      </c>
      <c r="I165" s="3" t="n">
        <v>1.5</v>
      </c>
      <c r="J165" s="4" t="n">
        <f aca="false">(F165-Assumptions!$B$17)/(Assumptions!$C$17-Assumptions!$B$17)</f>
        <v>0</v>
      </c>
      <c r="K165" s="4" t="n">
        <f aca="false">(H165-Assumptions!$B$18)/(Assumptions!$C$18-Assumptions!$B$18)</f>
        <v>0.0289278934709762</v>
      </c>
      <c r="L165" s="4" t="n">
        <f aca="false">(I165-Assumptions!$B$19)/(Assumptions!$C$19-Assumptions!$B$19)</f>
        <v>0.219512195121951</v>
      </c>
      <c r="M165" s="4" t="n">
        <f aca="false">0.4*J165+0.4*K165+0.2*L165</f>
        <v>0.0554735964127807</v>
      </c>
    </row>
    <row r="166" customFormat="false" ht="15" hidden="false" customHeight="false" outlineLevel="0" collapsed="false">
      <c r="A166" s="3" t="s">
        <v>2</v>
      </c>
      <c r="B166" s="3" t="s">
        <v>422</v>
      </c>
      <c r="C166" s="3" t="s">
        <v>423</v>
      </c>
      <c r="D166" s="3" t="s">
        <v>424</v>
      </c>
      <c r="E166" s="3" t="n">
        <v>839.5</v>
      </c>
      <c r="F166" s="3" t="n">
        <v>2</v>
      </c>
      <c r="G166" s="3" t="n">
        <v>552</v>
      </c>
      <c r="H166" s="4" t="n">
        <f aca="false">G166/E166</f>
        <v>0.657534246575342</v>
      </c>
      <c r="I166" s="3" t="n">
        <v>1.5</v>
      </c>
      <c r="J166" s="4" t="n">
        <f aca="false">(F166-Assumptions!$B$17)/(Assumptions!$C$17-Assumptions!$B$17)</f>
        <v>0.0909090909090909</v>
      </c>
      <c r="K166" s="4" t="n">
        <f aca="false">(H166-Assumptions!$B$18)/(Assumptions!$C$18-Assumptions!$B$18)</f>
        <v>0.000740323020020744</v>
      </c>
      <c r="L166" s="4" t="n">
        <f aca="false">(I166-Assumptions!$B$19)/(Assumptions!$C$19-Assumptions!$B$19)</f>
        <v>0.219512195121951</v>
      </c>
      <c r="M166" s="4" t="n">
        <f aca="false">0.4*J166+0.4*K166+0.2*L166</f>
        <v>0.0805622045960349</v>
      </c>
    </row>
    <row r="167" customFormat="false" ht="15" hidden="false" customHeight="false" outlineLevel="0" collapsed="false">
      <c r="A167" s="3" t="s">
        <v>2</v>
      </c>
      <c r="B167" s="3" t="s">
        <v>425</v>
      </c>
      <c r="C167" s="3" t="s">
        <v>426</v>
      </c>
      <c r="D167" s="3" t="s">
        <v>427</v>
      </c>
      <c r="E167" s="3" t="n">
        <v>78</v>
      </c>
      <c r="F167" s="3" t="n">
        <v>2</v>
      </c>
      <c r="G167" s="3" t="n">
        <v>712</v>
      </c>
      <c r="H167" s="4" t="n">
        <f aca="false">G167/E167</f>
        <v>9.12820512820513</v>
      </c>
      <c r="I167" s="3" t="n">
        <v>1.5</v>
      </c>
      <c r="J167" s="4" t="n">
        <f aca="false">(F167-Assumptions!$B$17)/(Assumptions!$C$17-Assumptions!$B$17)</f>
        <v>0.0909090909090909</v>
      </c>
      <c r="K167" s="4" t="n">
        <f aca="false">(H167-Assumptions!$B$18)/(Assumptions!$C$18-Assumptions!$B$18)</f>
        <v>0.0112506341099275</v>
      </c>
      <c r="L167" s="4" t="n">
        <f aca="false">(I167-Assumptions!$B$19)/(Assumptions!$C$19-Assumptions!$B$19)</f>
        <v>0.219512195121951</v>
      </c>
      <c r="M167" s="4" t="n">
        <f aca="false">0.4*J167+0.4*K167+0.2*L167</f>
        <v>0.0847663290319976</v>
      </c>
    </row>
    <row r="168" customFormat="false" ht="15" hidden="false" customHeight="false" outlineLevel="0" collapsed="false">
      <c r="A168" s="3" t="s">
        <v>3</v>
      </c>
      <c r="B168" s="3" t="s">
        <v>72</v>
      </c>
      <c r="C168" s="3" t="s">
        <v>73</v>
      </c>
      <c r="D168" s="3" t="s">
        <v>428</v>
      </c>
      <c r="E168" s="3" t="n">
        <v>4</v>
      </c>
      <c r="F168" s="3" t="n">
        <v>6</v>
      </c>
      <c r="G168" s="3" t="n">
        <v>394</v>
      </c>
      <c r="H168" s="4" t="n">
        <f aca="false">G168/E168</f>
        <v>98.5</v>
      </c>
      <c r="I168" s="3" t="n">
        <v>3.2</v>
      </c>
      <c r="J168" s="4" t="n">
        <f aca="false">(F168-Assumptions!$B$17)/(Assumptions!$C$17-Assumptions!$B$17)</f>
        <v>0.454545454545455</v>
      </c>
      <c r="K168" s="4" t="n">
        <f aca="false">(H168-Assumptions!$B$18)/(Assumptions!$C$18-Assumptions!$B$18)</f>
        <v>0.122142130178202</v>
      </c>
      <c r="L168" s="4" t="n">
        <f aca="false">(I168-Assumptions!$B$19)/(Assumptions!$C$19-Assumptions!$B$19)</f>
        <v>0.634146341463415</v>
      </c>
      <c r="M168" s="4" t="n">
        <f aca="false">0.4*J168+0.4*K168+0.2*L168</f>
        <v>0.357504302182146</v>
      </c>
    </row>
    <row r="169" customFormat="false" ht="15" hidden="false" customHeight="false" outlineLevel="0" collapsed="false">
      <c r="A169" s="3" t="s">
        <v>3</v>
      </c>
      <c r="B169" s="3" t="s">
        <v>75</v>
      </c>
      <c r="C169" s="3" t="s">
        <v>73</v>
      </c>
      <c r="D169" s="3" t="s">
        <v>428</v>
      </c>
      <c r="E169" s="3" t="n">
        <v>1</v>
      </c>
      <c r="F169" s="3" t="n">
        <v>6</v>
      </c>
      <c r="G169" s="3" t="n">
        <v>394</v>
      </c>
      <c r="H169" s="4" t="n">
        <f aca="false">G169/E169</f>
        <v>394</v>
      </c>
      <c r="I169" s="3" t="n">
        <v>3.2</v>
      </c>
      <c r="J169" s="4" t="n">
        <f aca="false">(F169-Assumptions!$B$17)/(Assumptions!$C$17-Assumptions!$B$17)</f>
        <v>0.454545454545455</v>
      </c>
      <c r="K169" s="4" t="n">
        <f aca="false">(H169-Assumptions!$B$18)/(Assumptions!$C$18-Assumptions!$B$18)</f>
        <v>0.488795134464197</v>
      </c>
      <c r="L169" s="4" t="n">
        <f aca="false">(I169-Assumptions!$B$19)/(Assumptions!$C$19-Assumptions!$B$19)</f>
        <v>0.634146341463415</v>
      </c>
      <c r="M169" s="4" t="n">
        <f aca="false">0.4*J169+0.4*K169+0.2*L169</f>
        <v>0.504165503896544</v>
      </c>
    </row>
    <row r="170" customFormat="false" ht="15" hidden="false" customHeight="false" outlineLevel="0" collapsed="false">
      <c r="A170" s="3" t="s">
        <v>3</v>
      </c>
      <c r="B170" s="3" t="s">
        <v>76</v>
      </c>
      <c r="C170" s="3" t="s">
        <v>77</v>
      </c>
      <c r="D170" s="3" t="s">
        <v>429</v>
      </c>
      <c r="E170" s="3" t="n">
        <v>1063.5</v>
      </c>
      <c r="F170" s="3" t="n">
        <v>11</v>
      </c>
      <c r="G170" s="3" t="n">
        <v>386</v>
      </c>
      <c r="H170" s="4" t="n">
        <f aca="false">G170/E170</f>
        <v>0.362952515279737</v>
      </c>
      <c r="I170" s="3" t="n">
        <v>4.7</v>
      </c>
      <c r="J170" s="4" t="n">
        <f aca="false">(F170-Assumptions!$B$17)/(Assumptions!$C$17-Assumptions!$B$17)</f>
        <v>0.909090909090909</v>
      </c>
      <c r="K170" s="4" t="n">
        <f aca="false">(H170-Assumptions!$B$18)/(Assumptions!$C$18-Assumptions!$B$18)</f>
        <v>0.000374809392990953</v>
      </c>
      <c r="L170" s="4" t="n">
        <f aca="false">(I170-Assumptions!$B$19)/(Assumptions!$C$19-Assumptions!$B$19)</f>
        <v>1</v>
      </c>
      <c r="M170" s="4" t="n">
        <f aca="false">0.4*J170+0.4*K170+0.2*L170</f>
        <v>0.56378628739356</v>
      </c>
    </row>
    <row r="171" customFormat="false" ht="15" hidden="false" customHeight="false" outlineLevel="0" collapsed="false">
      <c r="A171" s="3" t="s">
        <v>3</v>
      </c>
      <c r="B171" s="3" t="s">
        <v>79</v>
      </c>
      <c r="C171" s="3" t="s">
        <v>77</v>
      </c>
      <c r="D171" s="3" t="s">
        <v>429</v>
      </c>
      <c r="E171" s="3" t="n">
        <v>36</v>
      </c>
      <c r="F171" s="3" t="n">
        <v>11</v>
      </c>
      <c r="G171" s="3" t="n">
        <v>386</v>
      </c>
      <c r="H171" s="4" t="n">
        <f aca="false">G171/E171</f>
        <v>10.7222222222222</v>
      </c>
      <c r="I171" s="3" t="n">
        <v>4.7</v>
      </c>
      <c r="J171" s="4" t="n">
        <f aca="false">(F171-Assumptions!$B$17)/(Assumptions!$C$17-Assumptions!$B$17)</f>
        <v>0.909090909090909</v>
      </c>
      <c r="K171" s="4" t="n">
        <f aca="false">(H171-Assumptions!$B$18)/(Assumptions!$C$18-Assumptions!$B$18)</f>
        <v>0.0132284722026673</v>
      </c>
      <c r="L171" s="4" t="n">
        <f aca="false">(I171-Assumptions!$B$19)/(Assumptions!$C$19-Assumptions!$B$19)</f>
        <v>1</v>
      </c>
      <c r="M171" s="4" t="n">
        <f aca="false">0.4*J171+0.4*K171+0.2*L171</f>
        <v>0.568927752517431</v>
      </c>
    </row>
    <row r="172" customFormat="false" ht="15" hidden="false" customHeight="false" outlineLevel="0" collapsed="false">
      <c r="A172" s="3" t="s">
        <v>3</v>
      </c>
      <c r="B172" s="3" t="s">
        <v>80</v>
      </c>
      <c r="C172" s="3" t="s">
        <v>81</v>
      </c>
      <c r="D172" s="3" t="s">
        <v>430</v>
      </c>
      <c r="E172" s="3" t="n">
        <v>2113.5</v>
      </c>
      <c r="F172" s="3" t="n">
        <v>4</v>
      </c>
      <c r="G172" s="3" t="n">
        <v>654</v>
      </c>
      <c r="H172" s="4" t="n">
        <f aca="false">G172/E172</f>
        <v>0.30943931866572</v>
      </c>
      <c r="I172" s="3" t="n">
        <v>3.3</v>
      </c>
      <c r="J172" s="4" t="n">
        <f aca="false">(F172-Assumptions!$B$17)/(Assumptions!$C$17-Assumptions!$B$17)</f>
        <v>0.272727272727273</v>
      </c>
      <c r="K172" s="4" t="n">
        <f aca="false">(H172-Assumptions!$B$18)/(Assumptions!$C$18-Assumptions!$B$18)</f>
        <v>0.000308410833574789</v>
      </c>
      <c r="L172" s="4" t="n">
        <f aca="false">(I172-Assumptions!$B$19)/(Assumptions!$C$19-Assumptions!$B$19)</f>
        <v>0.658536585365854</v>
      </c>
      <c r="M172" s="4" t="n">
        <f aca="false">0.4*J172+0.4*K172+0.2*L172</f>
        <v>0.24092159049751</v>
      </c>
    </row>
    <row r="173" customFormat="false" ht="15" hidden="false" customHeight="false" outlineLevel="0" collapsed="false">
      <c r="A173" s="3" t="s">
        <v>3</v>
      </c>
      <c r="B173" s="3" t="s">
        <v>83</v>
      </c>
      <c r="C173" s="3" t="s">
        <v>81</v>
      </c>
      <c r="D173" s="3" t="s">
        <v>430</v>
      </c>
      <c r="E173" s="3" t="n">
        <v>4.5</v>
      </c>
      <c r="F173" s="3" t="n">
        <v>4</v>
      </c>
      <c r="G173" s="3" t="n">
        <v>654</v>
      </c>
      <c r="H173" s="4" t="n">
        <f aca="false">G173/E173</f>
        <v>145.333333333333</v>
      </c>
      <c r="I173" s="3" t="n">
        <v>3.3</v>
      </c>
      <c r="J173" s="4" t="n">
        <f aca="false">(F173-Assumptions!$B$17)/(Assumptions!$C$17-Assumptions!$B$17)</f>
        <v>0.272727272727273</v>
      </c>
      <c r="K173" s="4" t="n">
        <f aca="false">(H173-Assumptions!$B$18)/(Assumptions!$C$18-Assumptions!$B$18)</f>
        <v>0.180252391996795</v>
      </c>
      <c r="L173" s="4" t="n">
        <f aca="false">(I173-Assumptions!$B$19)/(Assumptions!$C$19-Assumptions!$B$19)</f>
        <v>0.658536585365854</v>
      </c>
      <c r="M173" s="4" t="n">
        <f aca="false">0.4*J173+0.4*K173+0.2*L173</f>
        <v>0.312899182962798</v>
      </c>
    </row>
    <row r="174" customFormat="false" ht="15" hidden="false" customHeight="false" outlineLevel="0" collapsed="false">
      <c r="A174" s="3" t="s">
        <v>3</v>
      </c>
      <c r="B174" s="3" t="s">
        <v>84</v>
      </c>
      <c r="C174" s="3" t="s">
        <v>85</v>
      </c>
      <c r="D174" s="3" t="s">
        <v>431</v>
      </c>
      <c r="E174" s="3" t="n">
        <v>208</v>
      </c>
      <c r="F174" s="3" t="n">
        <v>6</v>
      </c>
      <c r="G174" s="3" t="n">
        <v>430</v>
      </c>
      <c r="H174" s="4" t="n">
        <f aca="false">G174/E174</f>
        <v>2.06730769230769</v>
      </c>
      <c r="I174" s="3" t="n">
        <v>3.2</v>
      </c>
      <c r="J174" s="4" t="n">
        <f aca="false">(F174-Assumptions!$B$17)/(Assumptions!$C$17-Assumptions!$B$17)</f>
        <v>0.454545454545455</v>
      </c>
      <c r="K174" s="4" t="n">
        <f aca="false">(H174-Assumptions!$B$18)/(Assumptions!$C$18-Assumptions!$B$18)</f>
        <v>0.00248955371118956</v>
      </c>
      <c r="L174" s="4" t="n">
        <f aca="false">(I174-Assumptions!$B$19)/(Assumptions!$C$19-Assumptions!$B$19)</f>
        <v>0.634146341463415</v>
      </c>
      <c r="M174" s="4" t="n">
        <f aca="false">0.4*J174+0.4*K174+0.2*L174</f>
        <v>0.309643271595341</v>
      </c>
    </row>
    <row r="175" customFormat="false" ht="15" hidden="false" customHeight="false" outlineLevel="0" collapsed="false">
      <c r="A175" s="3" t="s">
        <v>3</v>
      </c>
      <c r="B175" s="3" t="s">
        <v>87</v>
      </c>
      <c r="C175" s="3" t="s">
        <v>85</v>
      </c>
      <c r="D175" s="3" t="s">
        <v>431</v>
      </c>
      <c r="E175" s="3" t="n">
        <v>168.5</v>
      </c>
      <c r="F175" s="3" t="n">
        <v>6</v>
      </c>
      <c r="G175" s="3" t="n">
        <v>430</v>
      </c>
      <c r="H175" s="4" t="n">
        <f aca="false">G175/E175</f>
        <v>2.55192878338279</v>
      </c>
      <c r="I175" s="3" t="n">
        <v>3.2</v>
      </c>
      <c r="J175" s="4" t="n">
        <f aca="false">(F175-Assumptions!$B$17)/(Assumptions!$C$17-Assumptions!$B$17)</f>
        <v>0.454545454545455</v>
      </c>
      <c r="K175" s="4" t="n">
        <f aca="false">(H175-Assumptions!$B$18)/(Assumptions!$C$18-Assumptions!$B$18)</f>
        <v>0.00309086599201203</v>
      </c>
      <c r="L175" s="4" t="n">
        <f aca="false">(I175-Assumptions!$B$19)/(Assumptions!$C$19-Assumptions!$B$19)</f>
        <v>0.634146341463415</v>
      </c>
      <c r="M175" s="4" t="n">
        <f aca="false">0.4*J175+0.4*K175+0.2*L175</f>
        <v>0.30988379650767</v>
      </c>
    </row>
    <row r="176" customFormat="false" ht="15" hidden="false" customHeight="false" outlineLevel="0" collapsed="false">
      <c r="A176" s="3" t="s">
        <v>3</v>
      </c>
      <c r="B176" s="3" t="s">
        <v>88</v>
      </c>
      <c r="C176" s="3" t="s">
        <v>85</v>
      </c>
      <c r="D176" s="3" t="s">
        <v>431</v>
      </c>
      <c r="E176" s="3" t="n">
        <v>187</v>
      </c>
      <c r="F176" s="3" t="n">
        <v>6</v>
      </c>
      <c r="G176" s="3" t="n">
        <v>430</v>
      </c>
      <c r="H176" s="4" t="n">
        <f aca="false">G176/E176</f>
        <v>2.29946524064171</v>
      </c>
      <c r="I176" s="3" t="n">
        <v>3.2</v>
      </c>
      <c r="J176" s="4" t="n">
        <f aca="false">(F176-Assumptions!$B$17)/(Assumptions!$C$17-Assumptions!$B$17)</f>
        <v>0.454545454545455</v>
      </c>
      <c r="K176" s="4" t="n">
        <f aca="false">(H176-Assumptions!$B$18)/(Assumptions!$C$18-Assumptions!$B$18)</f>
        <v>0.00277761212934299</v>
      </c>
      <c r="L176" s="4" t="n">
        <f aca="false">(I176-Assumptions!$B$19)/(Assumptions!$C$19-Assumptions!$B$19)</f>
        <v>0.634146341463415</v>
      </c>
      <c r="M176" s="4" t="n">
        <f aca="false">0.4*J176+0.4*K176+0.2*L176</f>
        <v>0.309758494962602</v>
      </c>
    </row>
    <row r="177" customFormat="false" ht="15" hidden="false" customHeight="false" outlineLevel="0" collapsed="false">
      <c r="A177" s="3" t="s">
        <v>3</v>
      </c>
      <c r="B177" s="3" t="s">
        <v>89</v>
      </c>
      <c r="C177" s="3" t="s">
        <v>90</v>
      </c>
      <c r="D177" s="3" t="s">
        <v>432</v>
      </c>
      <c r="E177" s="3" t="n">
        <v>4</v>
      </c>
      <c r="F177" s="3" t="n">
        <v>4</v>
      </c>
      <c r="G177" s="3" t="n">
        <v>850</v>
      </c>
      <c r="H177" s="4" t="n">
        <f aca="false">G177/E177</f>
        <v>212.5</v>
      </c>
      <c r="I177" s="3" t="n">
        <v>2.4</v>
      </c>
      <c r="J177" s="4" t="n">
        <f aca="false">(F177-Assumptions!$B$17)/(Assumptions!$C$17-Assumptions!$B$17)</f>
        <v>0.272727272727273</v>
      </c>
      <c r="K177" s="4" t="n">
        <f aca="false">(H177-Assumptions!$B$18)/(Assumptions!$C$18-Assumptions!$B$18)</f>
        <v>0.263592020156556</v>
      </c>
      <c r="L177" s="4" t="n">
        <f aca="false">(I177-Assumptions!$B$19)/(Assumptions!$C$19-Assumptions!$B$19)</f>
        <v>0.439024390243902</v>
      </c>
      <c r="M177" s="4" t="n">
        <f aca="false">0.4*J177+0.4*K177+0.2*L177</f>
        <v>0.302332595202312</v>
      </c>
    </row>
    <row r="178" customFormat="false" ht="15" hidden="false" customHeight="false" outlineLevel="0" collapsed="false">
      <c r="A178" s="3" t="s">
        <v>3</v>
      </c>
      <c r="B178" s="3" t="s">
        <v>92</v>
      </c>
      <c r="C178" s="3" t="s">
        <v>90</v>
      </c>
      <c r="D178" s="3" t="s">
        <v>432</v>
      </c>
      <c r="E178" s="3" t="n">
        <v>1395</v>
      </c>
      <c r="F178" s="3" t="n">
        <v>4</v>
      </c>
      <c r="G178" s="3" t="n">
        <v>850</v>
      </c>
      <c r="H178" s="4" t="n">
        <f aca="false">G178/E178</f>
        <v>0.609318996415771</v>
      </c>
      <c r="I178" s="3" t="n">
        <v>2.4</v>
      </c>
      <c r="J178" s="4" t="n">
        <f aca="false">(F178-Assumptions!$B$17)/(Assumptions!$C$17-Assumptions!$B$17)</f>
        <v>0.272727272727273</v>
      </c>
      <c r="K178" s="4" t="n">
        <f aca="false">(H178-Assumptions!$B$18)/(Assumptions!$C$18-Assumptions!$B$18)</f>
        <v>0.000680498091684339</v>
      </c>
      <c r="L178" s="4" t="n">
        <f aca="false">(I178-Assumptions!$B$19)/(Assumptions!$C$19-Assumptions!$B$19)</f>
        <v>0.439024390243902</v>
      </c>
      <c r="M178" s="4" t="n">
        <f aca="false">0.4*J178+0.4*K178+0.2*L178</f>
        <v>0.197167986376363</v>
      </c>
    </row>
    <row r="179" customFormat="false" ht="15" hidden="false" customHeight="false" outlineLevel="0" collapsed="false">
      <c r="A179" s="3" t="s">
        <v>3</v>
      </c>
      <c r="B179" s="3" t="s">
        <v>93</v>
      </c>
      <c r="C179" s="3" t="s">
        <v>90</v>
      </c>
      <c r="D179" s="3" t="s">
        <v>432</v>
      </c>
      <c r="E179" s="3" t="n">
        <v>518.5</v>
      </c>
      <c r="F179" s="3" t="n">
        <v>4</v>
      </c>
      <c r="G179" s="3" t="n">
        <v>850</v>
      </c>
      <c r="H179" s="4" t="n">
        <f aca="false">G179/E179</f>
        <v>1.63934426229508</v>
      </c>
      <c r="I179" s="3" t="n">
        <v>2.4</v>
      </c>
      <c r="J179" s="4" t="n">
        <f aca="false">(F179-Assumptions!$B$17)/(Assumptions!$C$17-Assumptions!$B$17)</f>
        <v>0.272727272727273</v>
      </c>
      <c r="K179" s="4" t="n">
        <f aca="false">(H179-Assumptions!$B$18)/(Assumptions!$C$18-Assumptions!$B$18)</f>
        <v>0.00195854160513656</v>
      </c>
      <c r="L179" s="4" t="n">
        <f aca="false">(I179-Assumptions!$B$19)/(Assumptions!$C$19-Assumptions!$B$19)</f>
        <v>0.439024390243902</v>
      </c>
      <c r="M179" s="4" t="n">
        <f aca="false">0.4*J179+0.4*K179+0.2*L179</f>
        <v>0.197679203781744</v>
      </c>
    </row>
    <row r="180" customFormat="false" ht="15" hidden="false" customHeight="false" outlineLevel="0" collapsed="false">
      <c r="A180" s="3" t="s">
        <v>3</v>
      </c>
      <c r="B180" s="3" t="s">
        <v>94</v>
      </c>
      <c r="C180" s="3" t="s">
        <v>90</v>
      </c>
      <c r="D180" s="3" t="s">
        <v>432</v>
      </c>
      <c r="E180" s="3" t="n">
        <v>451</v>
      </c>
      <c r="F180" s="3" t="n">
        <v>4</v>
      </c>
      <c r="G180" s="3" t="n">
        <v>850</v>
      </c>
      <c r="H180" s="4" t="n">
        <f aca="false">G180/E180</f>
        <v>1.88470066518847</v>
      </c>
      <c r="I180" s="3" t="n">
        <v>2.4</v>
      </c>
      <c r="J180" s="4" t="n">
        <f aca="false">(F180-Assumptions!$B$17)/(Assumptions!$C$17-Assumptions!$B$17)</f>
        <v>0.272727272727273</v>
      </c>
      <c r="K180" s="4" t="n">
        <f aca="false">(H180-Assumptions!$B$18)/(Assumptions!$C$18-Assumptions!$B$18)</f>
        <v>0.0022629770103537</v>
      </c>
      <c r="L180" s="4" t="n">
        <f aca="false">(I180-Assumptions!$B$19)/(Assumptions!$C$19-Assumptions!$B$19)</f>
        <v>0.439024390243902</v>
      </c>
      <c r="M180" s="4" t="n">
        <f aca="false">0.4*J180+0.4*K180+0.2*L180</f>
        <v>0.197800977943831</v>
      </c>
    </row>
    <row r="181" customFormat="false" ht="15" hidden="false" customHeight="false" outlineLevel="0" collapsed="false">
      <c r="A181" s="3" t="s">
        <v>3</v>
      </c>
      <c r="B181" s="3" t="s">
        <v>95</v>
      </c>
      <c r="C181" s="3" t="s">
        <v>90</v>
      </c>
      <c r="D181" s="3" t="s">
        <v>432</v>
      </c>
      <c r="E181" s="3" t="n">
        <v>3.5</v>
      </c>
      <c r="F181" s="3" t="n">
        <v>4</v>
      </c>
      <c r="G181" s="3" t="n">
        <v>850</v>
      </c>
      <c r="H181" s="4" t="n">
        <f aca="false">G181/E181</f>
        <v>242.857142857143</v>
      </c>
      <c r="I181" s="3" t="n">
        <v>2.4</v>
      </c>
      <c r="J181" s="4" t="n">
        <f aca="false">(F181-Assumptions!$B$17)/(Assumptions!$C$17-Assumptions!$B$17)</f>
        <v>0.272727272727273</v>
      </c>
      <c r="K181" s="4" t="n">
        <f aca="false">(H181-Assumptions!$B$18)/(Assumptions!$C$18-Assumptions!$B$18)</f>
        <v>0.301258814167082</v>
      </c>
      <c r="L181" s="4" t="n">
        <f aca="false">(I181-Assumptions!$B$19)/(Assumptions!$C$19-Assumptions!$B$19)</f>
        <v>0.439024390243902</v>
      </c>
      <c r="M181" s="4" t="n">
        <f aca="false">0.4*J181+0.4*K181+0.2*L181</f>
        <v>0.317399312806522</v>
      </c>
    </row>
    <row r="182" customFormat="false" ht="15" hidden="false" customHeight="false" outlineLevel="0" collapsed="false">
      <c r="A182" s="3" t="s">
        <v>3</v>
      </c>
      <c r="B182" s="3" t="s">
        <v>96</v>
      </c>
      <c r="C182" s="3" t="s">
        <v>97</v>
      </c>
      <c r="D182" s="3" t="s">
        <v>433</v>
      </c>
      <c r="E182" s="3" t="n">
        <v>96</v>
      </c>
      <c r="F182" s="3" t="n">
        <v>12</v>
      </c>
      <c r="G182" s="3" t="n">
        <v>314</v>
      </c>
      <c r="H182" s="4" t="n">
        <f aca="false">G182/E182</f>
        <v>3.27083333333333</v>
      </c>
      <c r="I182" s="3" t="n">
        <v>4.7</v>
      </c>
      <c r="J182" s="4" t="n">
        <f aca="false">(F182-Assumptions!$B$17)/(Assumptions!$C$17-Assumptions!$B$17)</f>
        <v>1</v>
      </c>
      <c r="K182" s="4" t="n">
        <f aca="false">(H182-Assumptions!$B$18)/(Assumptions!$C$18-Assumptions!$B$18)</f>
        <v>0.00398287449635801</v>
      </c>
      <c r="L182" s="4" t="n">
        <f aca="false">(I182-Assumptions!$B$19)/(Assumptions!$C$19-Assumptions!$B$19)</f>
        <v>1</v>
      </c>
      <c r="M182" s="4" t="n">
        <f aca="false">0.4*J182+0.4*K182+0.2*L182</f>
        <v>0.601593149798543</v>
      </c>
    </row>
    <row r="183" customFormat="false" ht="15" hidden="false" customHeight="false" outlineLevel="0" collapsed="false">
      <c r="A183" s="3" t="s">
        <v>3</v>
      </c>
      <c r="B183" s="3" t="s">
        <v>99</v>
      </c>
      <c r="C183" s="3" t="s">
        <v>100</v>
      </c>
      <c r="D183" s="3" t="s">
        <v>434</v>
      </c>
      <c r="E183" s="3" t="n">
        <v>265.5</v>
      </c>
      <c r="F183" s="3" t="n">
        <v>4</v>
      </c>
      <c r="G183" s="3" t="n">
        <v>654</v>
      </c>
      <c r="H183" s="4" t="n">
        <f aca="false">G183/E183</f>
        <v>2.46327683615819</v>
      </c>
      <c r="I183" s="3" t="n">
        <v>3.3</v>
      </c>
      <c r="J183" s="4" t="n">
        <f aca="false">(F183-Assumptions!$B$17)/(Assumptions!$C$17-Assumptions!$B$17)</f>
        <v>0.272727272727273</v>
      </c>
      <c r="K183" s="4" t="n">
        <f aca="false">(H183-Assumptions!$B$18)/(Assumptions!$C$18-Assumptions!$B$18)</f>
        <v>0.00298086767463233</v>
      </c>
      <c r="L183" s="4" t="n">
        <f aca="false">(I183-Assumptions!$B$19)/(Assumptions!$C$19-Assumptions!$B$19)</f>
        <v>0.658536585365854</v>
      </c>
      <c r="M183" s="4" t="n">
        <f aca="false">0.4*J183+0.4*K183+0.2*L183</f>
        <v>0.241990573233933</v>
      </c>
    </row>
    <row r="184" customFormat="false" ht="15" hidden="false" customHeight="false" outlineLevel="0" collapsed="false">
      <c r="A184" s="3" t="s">
        <v>3</v>
      </c>
      <c r="B184" s="3" t="s">
        <v>102</v>
      </c>
      <c r="C184" s="3" t="s">
        <v>100</v>
      </c>
      <c r="D184" s="3" t="s">
        <v>434</v>
      </c>
      <c r="E184" s="3" t="n">
        <v>4</v>
      </c>
      <c r="F184" s="3" t="n">
        <v>4</v>
      </c>
      <c r="G184" s="3" t="n">
        <v>654</v>
      </c>
      <c r="H184" s="4" t="n">
        <f aca="false">G184/E184</f>
        <v>163.5</v>
      </c>
      <c r="I184" s="3" t="n">
        <v>3.3</v>
      </c>
      <c r="J184" s="4" t="n">
        <f aca="false">(F184-Assumptions!$B$17)/(Assumptions!$C$17-Assumptions!$B$17)</f>
        <v>0.272727272727273</v>
      </c>
      <c r="K184" s="4" t="n">
        <f aca="false">(H184-Assumptions!$B$18)/(Assumptions!$C$18-Assumptions!$B$18)</f>
        <v>0.202793383236035</v>
      </c>
      <c r="L184" s="4" t="n">
        <f aca="false">(I184-Assumptions!$B$19)/(Assumptions!$C$19-Assumptions!$B$19)</f>
        <v>0.658536585365854</v>
      </c>
      <c r="M184" s="4" t="n">
        <f aca="false">0.4*J184+0.4*K184+0.2*L184</f>
        <v>0.321915579458494</v>
      </c>
    </row>
    <row r="185" customFormat="false" ht="15" hidden="false" customHeight="false" outlineLevel="0" collapsed="false">
      <c r="A185" s="3" t="s">
        <v>3</v>
      </c>
      <c r="B185" s="3" t="s">
        <v>103</v>
      </c>
      <c r="C185" s="3" t="s">
        <v>100</v>
      </c>
      <c r="D185" s="3" t="s">
        <v>434</v>
      </c>
      <c r="E185" s="3" t="n">
        <v>6.5</v>
      </c>
      <c r="F185" s="3" t="n">
        <v>4</v>
      </c>
      <c r="G185" s="3" t="n">
        <v>654</v>
      </c>
      <c r="H185" s="4" t="n">
        <f aca="false">G185/E185</f>
        <v>100.615384615385</v>
      </c>
      <c r="I185" s="3" t="n">
        <v>3.3</v>
      </c>
      <c r="J185" s="4" t="n">
        <f aca="false">(F185-Assumptions!$B$17)/(Assumptions!$C$17-Assumptions!$B$17)</f>
        <v>0.272727272727273</v>
      </c>
      <c r="K185" s="4" t="n">
        <f aca="false">(H185-Assumptions!$B$18)/(Assumptions!$C$18-Assumptions!$B$18)</f>
        <v>0.124766875100203</v>
      </c>
      <c r="L185" s="4" t="n">
        <f aca="false">(I185-Assumptions!$B$19)/(Assumptions!$C$19-Assumptions!$B$19)</f>
        <v>0.658536585365854</v>
      </c>
      <c r="M185" s="4" t="n">
        <f aca="false">0.4*J185+0.4*K185+0.2*L185</f>
        <v>0.290704976204161</v>
      </c>
    </row>
    <row r="186" customFormat="false" ht="15" hidden="false" customHeight="false" outlineLevel="0" collapsed="false">
      <c r="A186" s="3" t="s">
        <v>3</v>
      </c>
      <c r="B186" s="3" t="s">
        <v>104</v>
      </c>
      <c r="C186" s="3" t="s">
        <v>105</v>
      </c>
      <c r="D186" s="3" t="s">
        <v>435</v>
      </c>
      <c r="E186" s="3" t="n">
        <v>7</v>
      </c>
      <c r="F186" s="3" t="n">
        <v>12</v>
      </c>
      <c r="G186" s="3" t="n">
        <v>386</v>
      </c>
      <c r="H186" s="4" t="n">
        <f aca="false">G186/E186</f>
        <v>55.1428571428571</v>
      </c>
      <c r="I186" s="3" t="n">
        <v>4.7</v>
      </c>
      <c r="J186" s="4" t="n">
        <f aca="false">(F186-Assumptions!$B$17)/(Assumptions!$C$17-Assumptions!$B$17)</f>
        <v>1</v>
      </c>
      <c r="K186" s="4" t="n">
        <f aca="false">(H186-Assumptions!$B$18)/(Assumptions!$C$18-Assumptions!$B$18)</f>
        <v>0.0683450855561095</v>
      </c>
      <c r="L186" s="4" t="n">
        <f aca="false">(I186-Assumptions!$B$19)/(Assumptions!$C$19-Assumptions!$B$19)</f>
        <v>1</v>
      </c>
      <c r="M186" s="4" t="n">
        <f aca="false">0.4*J186+0.4*K186+0.2*L186</f>
        <v>0.627338034222444</v>
      </c>
    </row>
    <row r="187" customFormat="false" ht="15" hidden="false" customHeight="false" outlineLevel="0" collapsed="false">
      <c r="A187" s="3" t="s">
        <v>3</v>
      </c>
      <c r="B187" s="3" t="s">
        <v>107</v>
      </c>
      <c r="C187" s="3" t="s">
        <v>108</v>
      </c>
      <c r="D187" s="3" t="s">
        <v>436</v>
      </c>
      <c r="E187" s="3" t="n">
        <v>334</v>
      </c>
      <c r="F187" s="3" t="n">
        <v>6</v>
      </c>
      <c r="G187" s="3" t="n">
        <v>430</v>
      </c>
      <c r="H187" s="4" t="n">
        <f aca="false">G187/E187</f>
        <v>1.2874251497006</v>
      </c>
      <c r="I187" s="3" t="n">
        <v>3.2</v>
      </c>
      <c r="J187" s="4" t="n">
        <f aca="false">(F187-Assumptions!$B$17)/(Assumptions!$C$17-Assumptions!$B$17)</f>
        <v>0.454545454545455</v>
      </c>
      <c r="K187" s="4" t="n">
        <f aca="false">(H187-Assumptions!$B$18)/(Assumptions!$C$18-Assumptions!$B$18)</f>
        <v>0.00152188441427893</v>
      </c>
      <c r="L187" s="4" t="n">
        <f aca="false">(I187-Assumptions!$B$19)/(Assumptions!$C$19-Assumptions!$B$19)</f>
        <v>0.634146341463415</v>
      </c>
      <c r="M187" s="4" t="n">
        <f aca="false">0.4*J187+0.4*K187+0.2*L187</f>
        <v>0.309256203876576</v>
      </c>
    </row>
    <row r="188" customFormat="false" ht="15" hidden="false" customHeight="false" outlineLevel="0" collapsed="false">
      <c r="A188" s="3" t="s">
        <v>3</v>
      </c>
      <c r="B188" s="3" t="s">
        <v>110</v>
      </c>
      <c r="C188" s="3" t="s">
        <v>111</v>
      </c>
      <c r="D188" s="3" t="s">
        <v>437</v>
      </c>
      <c r="E188" s="3" t="n">
        <v>12.5</v>
      </c>
      <c r="F188" s="3" t="n">
        <v>5</v>
      </c>
      <c r="G188" s="3" t="n">
        <v>850</v>
      </c>
      <c r="H188" s="4" t="n">
        <f aca="false">G188/E188</f>
        <v>68</v>
      </c>
      <c r="I188" s="3" t="n">
        <v>2.4</v>
      </c>
      <c r="J188" s="4" t="n">
        <f aca="false">(F188-Assumptions!$B$17)/(Assumptions!$C$17-Assumptions!$B$17)</f>
        <v>0.363636363636364</v>
      </c>
      <c r="K188" s="4" t="n">
        <f aca="false">(H188-Assumptions!$B$18)/(Assumptions!$C$18-Assumptions!$B$18)</f>
        <v>0.08429808066645</v>
      </c>
      <c r="L188" s="4" t="n">
        <f aca="false">(I188-Assumptions!$B$19)/(Assumptions!$C$19-Assumptions!$B$19)</f>
        <v>0.439024390243902</v>
      </c>
      <c r="M188" s="4" t="n">
        <f aca="false">0.4*J188+0.4*K188+0.2*L188</f>
        <v>0.266978655769906</v>
      </c>
    </row>
    <row r="189" customFormat="false" ht="15" hidden="false" customHeight="false" outlineLevel="0" collapsed="false">
      <c r="A189" s="3" t="s">
        <v>3</v>
      </c>
      <c r="B189" s="3" t="s">
        <v>113</v>
      </c>
      <c r="C189" s="3" t="s">
        <v>111</v>
      </c>
      <c r="D189" s="3" t="s">
        <v>437</v>
      </c>
      <c r="E189" s="3" t="n">
        <v>8.5</v>
      </c>
      <c r="F189" s="3" t="n">
        <v>5</v>
      </c>
      <c r="G189" s="3" t="n">
        <v>850</v>
      </c>
      <c r="H189" s="4" t="n">
        <f aca="false">G189/E189</f>
        <v>100</v>
      </c>
      <c r="I189" s="3" t="n">
        <v>2.4</v>
      </c>
      <c r="J189" s="4" t="n">
        <f aca="false">(F189-Assumptions!$B$17)/(Assumptions!$C$17-Assumptions!$B$17)</f>
        <v>0.363636363636364</v>
      </c>
      <c r="K189" s="4" t="n">
        <f aca="false">(H189-Assumptions!$B$18)/(Assumptions!$C$18-Assumptions!$B$18)</f>
        <v>0.124003312941076</v>
      </c>
      <c r="L189" s="4" t="n">
        <f aca="false">(I189-Assumptions!$B$19)/(Assumptions!$C$19-Assumptions!$B$19)</f>
        <v>0.439024390243902</v>
      </c>
      <c r="M189" s="4" t="n">
        <f aca="false">0.4*J189+0.4*K189+0.2*L189</f>
        <v>0.282860748679756</v>
      </c>
    </row>
    <row r="190" customFormat="false" ht="15" hidden="false" customHeight="false" outlineLevel="0" collapsed="false">
      <c r="A190" s="3" t="s">
        <v>3</v>
      </c>
      <c r="B190" s="3" t="s">
        <v>114</v>
      </c>
      <c r="C190" s="3" t="s">
        <v>115</v>
      </c>
      <c r="D190" s="3" t="s">
        <v>438</v>
      </c>
      <c r="E190" s="3" t="n">
        <v>137</v>
      </c>
      <c r="F190" s="3" t="n">
        <v>6</v>
      </c>
      <c r="G190" s="3" t="n">
        <v>394</v>
      </c>
      <c r="H190" s="4" t="n">
        <f aca="false">G190/E190</f>
        <v>2.87591240875912</v>
      </c>
      <c r="I190" s="3" t="n">
        <v>3.2</v>
      </c>
      <c r="J190" s="4" t="n">
        <f aca="false">(F190-Assumptions!$B$17)/(Assumptions!$C$17-Assumptions!$B$17)</f>
        <v>0.454545454545455</v>
      </c>
      <c r="K190" s="4" t="n">
        <f aca="false">(H190-Assumptions!$B$18)/(Assumptions!$C$18-Assumptions!$B$18)</f>
        <v>0.00349286115134774</v>
      </c>
      <c r="L190" s="4" t="n">
        <f aca="false">(I190-Assumptions!$B$19)/(Assumptions!$C$19-Assumptions!$B$19)</f>
        <v>0.634146341463415</v>
      </c>
      <c r="M190" s="4" t="n">
        <f aca="false">0.4*J190+0.4*K190+0.2*L190</f>
        <v>0.310044594571404</v>
      </c>
    </row>
    <row r="191" customFormat="false" ht="15" hidden="false" customHeight="false" outlineLevel="0" collapsed="false">
      <c r="A191" s="3" t="s">
        <v>3</v>
      </c>
      <c r="B191" s="3" t="s">
        <v>117</v>
      </c>
      <c r="C191" s="3" t="s">
        <v>115</v>
      </c>
      <c r="D191" s="3" t="s">
        <v>438</v>
      </c>
      <c r="E191" s="3" t="n">
        <v>22</v>
      </c>
      <c r="F191" s="3" t="n">
        <v>6</v>
      </c>
      <c r="G191" s="3" t="n">
        <v>394</v>
      </c>
      <c r="H191" s="4" t="n">
        <f aca="false">G191/E191</f>
        <v>17.9090909090909</v>
      </c>
      <c r="I191" s="3" t="n">
        <v>3.2</v>
      </c>
      <c r="J191" s="4" t="n">
        <f aca="false">(F191-Assumptions!$B$17)/(Assumptions!$C$17-Assumptions!$B$17)</f>
        <v>0.454545454545455</v>
      </c>
      <c r="K191" s="4" t="n">
        <f aca="false">(H191-Assumptions!$B$18)/(Assumptions!$C$18-Assumptions!$B$18)</f>
        <v>0.0221458562820221</v>
      </c>
      <c r="L191" s="4" t="n">
        <f aca="false">(I191-Assumptions!$B$19)/(Assumptions!$C$19-Assumptions!$B$19)</f>
        <v>0.634146341463415</v>
      </c>
      <c r="M191" s="4" t="n">
        <f aca="false">0.4*J191+0.4*K191+0.2*L191</f>
        <v>0.317505792623674</v>
      </c>
    </row>
    <row r="192" customFormat="false" ht="15" hidden="false" customHeight="false" outlineLevel="0" collapsed="false">
      <c r="A192" s="3" t="s">
        <v>3</v>
      </c>
      <c r="B192" s="3" t="s">
        <v>118</v>
      </c>
      <c r="C192" s="3" t="s">
        <v>115</v>
      </c>
      <c r="D192" s="3" t="s">
        <v>438</v>
      </c>
      <c r="E192" s="3" t="n">
        <v>2553</v>
      </c>
      <c r="F192" s="3" t="n">
        <v>6</v>
      </c>
      <c r="G192" s="3" t="n">
        <v>394</v>
      </c>
      <c r="H192" s="4" t="n">
        <f aca="false">G192/E192</f>
        <v>0.154328241284763</v>
      </c>
      <c r="I192" s="3" t="n">
        <v>3.2</v>
      </c>
      <c r="J192" s="4" t="n">
        <f aca="false">(F192-Assumptions!$B$17)/(Assumptions!$C$17-Assumptions!$B$17)</f>
        <v>0.454545454545455</v>
      </c>
      <c r="K192" s="4" t="n">
        <f aca="false">(H192-Assumptions!$B$18)/(Assumptions!$C$18-Assumptions!$B$18)</f>
        <v>0.000115950791206717</v>
      </c>
      <c r="L192" s="4" t="n">
        <f aca="false">(I192-Assumptions!$B$19)/(Assumptions!$C$19-Assumptions!$B$19)</f>
        <v>0.634146341463415</v>
      </c>
      <c r="M192" s="4" t="n">
        <f aca="false">0.4*J192+0.4*K192+0.2*L192</f>
        <v>0.308693830427347</v>
      </c>
    </row>
    <row r="193" customFormat="false" ht="15" hidden="false" customHeight="false" outlineLevel="0" collapsed="false">
      <c r="A193" s="3" t="s">
        <v>3</v>
      </c>
      <c r="B193" s="3" t="s">
        <v>119</v>
      </c>
      <c r="C193" s="3" t="s">
        <v>115</v>
      </c>
      <c r="D193" s="3" t="s">
        <v>438</v>
      </c>
      <c r="E193" s="3" t="n">
        <v>8</v>
      </c>
      <c r="F193" s="3" t="n">
        <v>6</v>
      </c>
      <c r="G193" s="3" t="n">
        <v>394</v>
      </c>
      <c r="H193" s="4" t="n">
        <f aca="false">G193/E193</f>
        <v>49.25</v>
      </c>
      <c r="I193" s="3" t="n">
        <v>3.2</v>
      </c>
      <c r="J193" s="4" t="n">
        <f aca="false">(F193-Assumptions!$B$17)/(Assumptions!$C$17-Assumptions!$B$17)</f>
        <v>0.454545454545455</v>
      </c>
      <c r="K193" s="4" t="n">
        <f aca="false">(H193-Assumptions!$B$18)/(Assumptions!$C$18-Assumptions!$B$18)</f>
        <v>0.0610332961305367</v>
      </c>
      <c r="L193" s="4" t="n">
        <f aca="false">(I193-Assumptions!$B$19)/(Assumptions!$C$19-Assumptions!$B$19)</f>
        <v>0.634146341463415</v>
      </c>
      <c r="M193" s="4" t="n">
        <f aca="false">0.4*J193+0.4*K193+0.2*L193</f>
        <v>0.333060768563079</v>
      </c>
    </row>
    <row r="194" customFormat="false" ht="15" hidden="false" customHeight="false" outlineLevel="0" collapsed="false">
      <c r="A194" s="3" t="s">
        <v>3</v>
      </c>
      <c r="B194" s="3" t="s">
        <v>120</v>
      </c>
      <c r="C194" s="3" t="s">
        <v>115</v>
      </c>
      <c r="D194" s="3" t="s">
        <v>438</v>
      </c>
      <c r="E194" s="3" t="n">
        <v>8</v>
      </c>
      <c r="F194" s="3" t="n">
        <v>6</v>
      </c>
      <c r="G194" s="3" t="n">
        <v>394</v>
      </c>
      <c r="H194" s="4" t="n">
        <f aca="false">G194/E194</f>
        <v>49.25</v>
      </c>
      <c r="I194" s="3" t="n">
        <v>3.2</v>
      </c>
      <c r="J194" s="4" t="n">
        <f aca="false">(F194-Assumptions!$B$17)/(Assumptions!$C$17-Assumptions!$B$17)</f>
        <v>0.454545454545455</v>
      </c>
      <c r="K194" s="4" t="n">
        <f aca="false">(H194-Assumptions!$B$18)/(Assumptions!$C$18-Assumptions!$B$18)</f>
        <v>0.0610332961305367</v>
      </c>
      <c r="L194" s="4" t="n">
        <f aca="false">(I194-Assumptions!$B$19)/(Assumptions!$C$19-Assumptions!$B$19)</f>
        <v>0.634146341463415</v>
      </c>
      <c r="M194" s="4" t="n">
        <f aca="false">0.4*J194+0.4*K194+0.2*L194</f>
        <v>0.333060768563079</v>
      </c>
    </row>
    <row r="195" customFormat="false" ht="15" hidden="false" customHeight="false" outlineLevel="0" collapsed="false">
      <c r="A195" s="3" t="s">
        <v>3</v>
      </c>
      <c r="B195" s="3" t="s">
        <v>121</v>
      </c>
      <c r="C195" s="3" t="s">
        <v>122</v>
      </c>
      <c r="D195" s="3" t="s">
        <v>439</v>
      </c>
      <c r="E195" s="3" t="n">
        <v>6.5</v>
      </c>
      <c r="F195" s="3" t="n">
        <v>11</v>
      </c>
      <c r="G195" s="3" t="n">
        <v>314</v>
      </c>
      <c r="H195" s="4" t="n">
        <f aca="false">G195/E195</f>
        <v>48.3076923076923</v>
      </c>
      <c r="I195" s="3" t="n">
        <v>4.7</v>
      </c>
      <c r="J195" s="4" t="n">
        <f aca="false">(F195-Assumptions!$B$17)/(Assumptions!$C$17-Assumptions!$B$17)</f>
        <v>0.909090909090909</v>
      </c>
      <c r="K195" s="4" t="n">
        <f aca="false">(H195-Assumptions!$B$18)/(Assumptions!$C$18-Assumptions!$B$18)</f>
        <v>0.0598640915743728</v>
      </c>
      <c r="L195" s="4" t="n">
        <f aca="false">(I195-Assumptions!$B$19)/(Assumptions!$C$19-Assumptions!$B$19)</f>
        <v>1</v>
      </c>
      <c r="M195" s="4" t="n">
        <f aca="false">0.4*J195+0.4*K195+0.2*L195</f>
        <v>0.587582000266113</v>
      </c>
    </row>
    <row r="196" customFormat="false" ht="15" hidden="false" customHeight="false" outlineLevel="0" collapsed="false">
      <c r="A196" s="3" t="s">
        <v>3</v>
      </c>
      <c r="B196" s="3" t="s">
        <v>124</v>
      </c>
      <c r="C196" s="3" t="s">
        <v>125</v>
      </c>
      <c r="D196" s="3" t="s">
        <v>440</v>
      </c>
      <c r="E196" s="3" t="n">
        <v>4</v>
      </c>
      <c r="F196" s="3" t="n">
        <v>4</v>
      </c>
      <c r="G196" s="3" t="n">
        <v>654</v>
      </c>
      <c r="H196" s="4" t="n">
        <f aca="false">G196/E196</f>
        <v>163.5</v>
      </c>
      <c r="I196" s="3" t="n">
        <v>3.3</v>
      </c>
      <c r="J196" s="4" t="n">
        <f aca="false">(F196-Assumptions!$B$17)/(Assumptions!$C$17-Assumptions!$B$17)</f>
        <v>0.272727272727273</v>
      </c>
      <c r="K196" s="4" t="n">
        <f aca="false">(H196-Assumptions!$B$18)/(Assumptions!$C$18-Assumptions!$B$18)</f>
        <v>0.202793383236035</v>
      </c>
      <c r="L196" s="4" t="n">
        <f aca="false">(I196-Assumptions!$B$19)/(Assumptions!$C$19-Assumptions!$B$19)</f>
        <v>0.658536585365854</v>
      </c>
      <c r="M196" s="4" t="n">
        <f aca="false">0.4*J196+0.4*K196+0.2*L196</f>
        <v>0.321915579458494</v>
      </c>
    </row>
    <row r="197" customFormat="false" ht="15" hidden="false" customHeight="false" outlineLevel="0" collapsed="false">
      <c r="A197" s="3" t="s">
        <v>3</v>
      </c>
      <c r="B197" s="3" t="s">
        <v>127</v>
      </c>
      <c r="C197" s="3" t="s">
        <v>128</v>
      </c>
      <c r="D197" s="3" t="s">
        <v>441</v>
      </c>
      <c r="E197" s="3" t="n">
        <v>152.5</v>
      </c>
      <c r="F197" s="3" t="n">
        <v>6</v>
      </c>
      <c r="G197" s="3" t="n">
        <v>394</v>
      </c>
      <c r="H197" s="4" t="n">
        <f aca="false">G197/E197</f>
        <v>2.58360655737705</v>
      </c>
      <c r="I197" s="3" t="n">
        <v>3.2</v>
      </c>
      <c r="J197" s="4" t="n">
        <f aca="false">(F197-Assumptions!$B$17)/(Assumptions!$C$17-Assumptions!$B$17)</f>
        <v>0.454545454545455</v>
      </c>
      <c r="K197" s="4" t="n">
        <f aca="false">(H197-Assumptions!$B$18)/(Assumptions!$C$18-Assumptions!$B$18)</f>
        <v>0.00313017140996157</v>
      </c>
      <c r="L197" s="4" t="n">
        <f aca="false">(I197-Assumptions!$B$19)/(Assumptions!$C$19-Assumptions!$B$19)</f>
        <v>0.634146341463415</v>
      </c>
      <c r="M197" s="4" t="n">
        <f aca="false">0.4*J197+0.4*K197+0.2*L197</f>
        <v>0.309899518674849</v>
      </c>
    </row>
    <row r="198" customFormat="false" ht="15" hidden="false" customHeight="false" outlineLevel="0" collapsed="false">
      <c r="A198" s="3" t="s">
        <v>3</v>
      </c>
      <c r="B198" s="3" t="s">
        <v>130</v>
      </c>
      <c r="C198" s="3" t="s">
        <v>131</v>
      </c>
      <c r="D198" s="3" t="s">
        <v>442</v>
      </c>
      <c r="E198" s="3" t="n">
        <v>2575</v>
      </c>
      <c r="F198" s="3" t="n">
        <v>4</v>
      </c>
      <c r="G198" s="3" t="n">
        <v>886</v>
      </c>
      <c r="H198" s="4" t="n">
        <f aca="false">G198/E198</f>
        <v>0.344077669902913</v>
      </c>
      <c r="I198" s="3" t="n">
        <v>2.4</v>
      </c>
      <c r="J198" s="4" t="n">
        <f aca="false">(F198-Assumptions!$B$17)/(Assumptions!$C$17-Assumptions!$B$17)</f>
        <v>0.272727272727273</v>
      </c>
      <c r="K198" s="4" t="n">
        <f aca="false">(H198-Assumptions!$B$18)/(Assumptions!$C$18-Assumptions!$B$18)</f>
        <v>0.000351389701746126</v>
      </c>
      <c r="L198" s="4" t="n">
        <f aca="false">(I198-Assumptions!$B$19)/(Assumptions!$C$19-Assumptions!$B$19)</f>
        <v>0.439024390243902</v>
      </c>
      <c r="M198" s="4" t="n">
        <f aca="false">0.4*J198+0.4*K198+0.2*L198</f>
        <v>0.197036343020388</v>
      </c>
    </row>
    <row r="199" customFormat="false" ht="15" hidden="false" customHeight="false" outlineLevel="0" collapsed="false">
      <c r="A199" s="3" t="s">
        <v>3</v>
      </c>
      <c r="B199" s="3" t="s">
        <v>133</v>
      </c>
      <c r="C199" s="3" t="s">
        <v>131</v>
      </c>
      <c r="D199" s="3" t="s">
        <v>442</v>
      </c>
      <c r="E199" s="3" t="n">
        <v>616</v>
      </c>
      <c r="F199" s="3" t="n">
        <v>4</v>
      </c>
      <c r="G199" s="3" t="n">
        <v>886</v>
      </c>
      <c r="H199" s="4" t="n">
        <f aca="false">G199/E199</f>
        <v>1.43831168831169</v>
      </c>
      <c r="I199" s="3" t="n">
        <v>2.4</v>
      </c>
      <c r="J199" s="4" t="n">
        <f aca="false">(F199-Assumptions!$B$17)/(Assumptions!$C$17-Assumptions!$B$17)</f>
        <v>0.272727272727273</v>
      </c>
      <c r="K199" s="4" t="n">
        <f aca="false">(H199-Assumptions!$B$18)/(Assumptions!$C$18-Assumptions!$B$18)</f>
        <v>0.00170910269748729</v>
      </c>
      <c r="L199" s="4" t="n">
        <f aca="false">(I199-Assumptions!$B$19)/(Assumptions!$C$19-Assumptions!$B$19)</f>
        <v>0.439024390243902</v>
      </c>
      <c r="M199" s="4" t="n">
        <f aca="false">0.4*J199+0.4*K199+0.2*L199</f>
        <v>0.197579428218684</v>
      </c>
    </row>
    <row r="200" customFormat="false" ht="15" hidden="false" customHeight="false" outlineLevel="0" collapsed="false">
      <c r="A200" s="3" t="s">
        <v>3</v>
      </c>
      <c r="B200" s="3" t="s">
        <v>134</v>
      </c>
      <c r="C200" s="3" t="s">
        <v>135</v>
      </c>
      <c r="D200" s="3" t="s">
        <v>443</v>
      </c>
      <c r="E200" s="3" t="n">
        <v>3.5</v>
      </c>
      <c r="F200" s="3" t="n">
        <v>3</v>
      </c>
      <c r="G200" s="3" t="n">
        <v>814</v>
      </c>
      <c r="H200" s="4" t="n">
        <f aca="false">G200/E200</f>
        <v>232.571428571429</v>
      </c>
      <c r="I200" s="3" t="n">
        <v>2.4</v>
      </c>
      <c r="J200" s="4" t="n">
        <f aca="false">(F200-Assumptions!$B$17)/(Assumptions!$C$17-Assumptions!$B$17)</f>
        <v>0.181818181818182</v>
      </c>
      <c r="K200" s="4" t="n">
        <f aca="false">(H200-Assumptions!$B$18)/(Assumptions!$C$18-Assumptions!$B$18)</f>
        <v>0.28849641807881</v>
      </c>
      <c r="L200" s="4" t="n">
        <f aca="false">(I200-Assumptions!$B$19)/(Assumptions!$C$19-Assumptions!$B$19)</f>
        <v>0.439024390243902</v>
      </c>
      <c r="M200" s="4" t="n">
        <f aca="false">0.4*J200+0.4*K200+0.2*L200</f>
        <v>0.275930718007577</v>
      </c>
    </row>
    <row r="201" customFormat="false" ht="15" hidden="false" customHeight="false" outlineLevel="0" collapsed="false">
      <c r="A201" s="3" t="s">
        <v>3</v>
      </c>
      <c r="B201" s="3" t="s">
        <v>137</v>
      </c>
      <c r="C201" s="3" t="s">
        <v>135</v>
      </c>
      <c r="D201" s="3" t="s">
        <v>443</v>
      </c>
      <c r="E201" s="3" t="n">
        <v>20.5</v>
      </c>
      <c r="F201" s="3" t="n">
        <v>3</v>
      </c>
      <c r="G201" s="3" t="n">
        <v>814</v>
      </c>
      <c r="H201" s="4" t="n">
        <f aca="false">G201/E201</f>
        <v>39.7073170731707</v>
      </c>
      <c r="I201" s="3" t="n">
        <v>2.4</v>
      </c>
      <c r="J201" s="4" t="n">
        <f aca="false">(F201-Assumptions!$B$17)/(Assumptions!$C$17-Assumptions!$B$17)</f>
        <v>0.181818181818182</v>
      </c>
      <c r="K201" s="4" t="n">
        <f aca="false">(H201-Assumptions!$B$18)/(Assumptions!$C$18-Assumptions!$B$18)</f>
        <v>0.0491928448138848</v>
      </c>
      <c r="L201" s="4" t="n">
        <f aca="false">(I201-Assumptions!$B$19)/(Assumptions!$C$19-Assumptions!$B$19)</f>
        <v>0.439024390243902</v>
      </c>
      <c r="M201" s="4" t="n">
        <f aca="false">0.4*J201+0.4*K201+0.2*L201</f>
        <v>0.180209288701607</v>
      </c>
    </row>
    <row r="202" customFormat="false" ht="15" hidden="false" customHeight="false" outlineLevel="0" collapsed="false">
      <c r="A202" s="3" t="s">
        <v>3</v>
      </c>
      <c r="B202" s="3" t="s">
        <v>138</v>
      </c>
      <c r="C202" s="3" t="s">
        <v>139</v>
      </c>
      <c r="D202" s="3" t="s">
        <v>444</v>
      </c>
      <c r="E202" s="3" t="n">
        <v>115</v>
      </c>
      <c r="F202" s="3" t="n">
        <v>8</v>
      </c>
      <c r="G202" s="3" t="n">
        <v>394</v>
      </c>
      <c r="H202" s="4" t="n">
        <f aca="false">G202/E202</f>
        <v>3.42608695652174</v>
      </c>
      <c r="I202" s="3" t="n">
        <v>3.2</v>
      </c>
      <c r="J202" s="4" t="n">
        <f aca="false">(F202-Assumptions!$B$17)/(Assumptions!$C$17-Assumptions!$B$17)</f>
        <v>0.636363636363636</v>
      </c>
      <c r="K202" s="4" t="n">
        <f aca="false">(H202-Assumptions!$B$18)/(Assumptions!$C$18-Assumptions!$B$18)</f>
        <v>0.00417551140792592</v>
      </c>
      <c r="L202" s="4" t="n">
        <f aca="false">(I202-Assumptions!$B$19)/(Assumptions!$C$19-Assumptions!$B$19)</f>
        <v>0.634146341463415</v>
      </c>
      <c r="M202" s="4" t="n">
        <f aca="false">0.4*J202+0.4*K202+0.2*L202</f>
        <v>0.383044927401308</v>
      </c>
    </row>
    <row r="203" customFormat="false" ht="15" hidden="false" customHeight="false" outlineLevel="0" collapsed="false">
      <c r="A203" s="3" t="s">
        <v>3</v>
      </c>
      <c r="B203" s="3" t="s">
        <v>141</v>
      </c>
      <c r="C203" s="3" t="s">
        <v>139</v>
      </c>
      <c r="D203" s="3" t="s">
        <v>444</v>
      </c>
      <c r="E203" s="3" t="n">
        <v>1</v>
      </c>
      <c r="F203" s="3" t="n">
        <v>8</v>
      </c>
      <c r="G203" s="3" t="n">
        <v>394</v>
      </c>
      <c r="H203" s="4" t="n">
        <f aca="false">G203/E203</f>
        <v>394</v>
      </c>
      <c r="I203" s="3" t="n">
        <v>3.2</v>
      </c>
      <c r="J203" s="4" t="n">
        <f aca="false">(F203-Assumptions!$B$17)/(Assumptions!$C$17-Assumptions!$B$17)</f>
        <v>0.636363636363636</v>
      </c>
      <c r="K203" s="4" t="n">
        <f aca="false">(H203-Assumptions!$B$18)/(Assumptions!$C$18-Assumptions!$B$18)</f>
        <v>0.488795134464197</v>
      </c>
      <c r="L203" s="4" t="n">
        <f aca="false">(I203-Assumptions!$B$19)/(Assumptions!$C$19-Assumptions!$B$19)</f>
        <v>0.634146341463415</v>
      </c>
      <c r="M203" s="4" t="n">
        <f aca="false">0.4*J203+0.4*K203+0.2*L203</f>
        <v>0.576892776623816</v>
      </c>
    </row>
    <row r="204" customFormat="false" ht="15" hidden="false" customHeight="false" outlineLevel="0" collapsed="false">
      <c r="A204" s="3" t="s">
        <v>3</v>
      </c>
      <c r="B204" s="3" t="s">
        <v>142</v>
      </c>
      <c r="C204" s="3" t="s">
        <v>139</v>
      </c>
      <c r="D204" s="3" t="s">
        <v>444</v>
      </c>
      <c r="E204" s="3" t="n">
        <v>241</v>
      </c>
      <c r="F204" s="3" t="n">
        <v>8</v>
      </c>
      <c r="G204" s="3" t="n">
        <v>394</v>
      </c>
      <c r="H204" s="4" t="n">
        <f aca="false">G204/E204</f>
        <v>1.63485477178423</v>
      </c>
      <c r="I204" s="3" t="n">
        <v>3.2</v>
      </c>
      <c r="J204" s="4" t="n">
        <f aca="false">(F204-Assumptions!$B$17)/(Assumptions!$C$17-Assumptions!$B$17)</f>
        <v>0.636363636363636</v>
      </c>
      <c r="K204" s="4" t="n">
        <f aca="false">(H204-Assumptions!$B$18)/(Assumptions!$C$18-Assumptions!$B$18)</f>
        <v>0.0019529710969013</v>
      </c>
      <c r="L204" s="4" t="n">
        <f aca="false">(I204-Assumptions!$B$19)/(Assumptions!$C$19-Assumptions!$B$19)</f>
        <v>0.634146341463415</v>
      </c>
      <c r="M204" s="4" t="n">
        <f aca="false">0.4*J204+0.4*K204+0.2*L204</f>
        <v>0.382155911276898</v>
      </c>
    </row>
    <row r="205" customFormat="false" ht="15" hidden="false" customHeight="false" outlineLevel="0" collapsed="false">
      <c r="A205" s="3" t="s">
        <v>3</v>
      </c>
      <c r="B205" s="3" t="s">
        <v>143</v>
      </c>
      <c r="C205" s="3" t="s">
        <v>144</v>
      </c>
      <c r="D205" s="3" t="s">
        <v>445</v>
      </c>
      <c r="E205" s="3" t="n">
        <v>78</v>
      </c>
      <c r="F205" s="3" t="n">
        <v>4</v>
      </c>
      <c r="G205" s="3" t="n">
        <v>654</v>
      </c>
      <c r="H205" s="4" t="n">
        <f aca="false">G205/E205</f>
        <v>8.38461538461539</v>
      </c>
      <c r="I205" s="3" t="n">
        <v>3.3</v>
      </c>
      <c r="J205" s="4" t="n">
        <f aca="false">(F205-Assumptions!$B$17)/(Assumptions!$C$17-Assumptions!$B$17)</f>
        <v>0.272727272727273</v>
      </c>
      <c r="K205" s="4" t="n">
        <f aca="false">(H205-Assumptions!$B$18)/(Assumptions!$C$18-Assumptions!$B$18)</f>
        <v>0.0103279965009819</v>
      </c>
      <c r="L205" s="4" t="n">
        <f aca="false">(I205-Assumptions!$B$19)/(Assumptions!$C$19-Assumptions!$B$19)</f>
        <v>0.658536585365854</v>
      </c>
      <c r="M205" s="4" t="n">
        <f aca="false">0.4*J205+0.4*K205+0.2*L205</f>
        <v>0.244929424764473</v>
      </c>
    </row>
    <row r="206" customFormat="false" ht="15" hidden="false" customHeight="false" outlineLevel="0" collapsed="false">
      <c r="A206" s="3" t="s">
        <v>3</v>
      </c>
      <c r="B206" s="3" t="s">
        <v>146</v>
      </c>
      <c r="C206" s="3" t="s">
        <v>147</v>
      </c>
      <c r="D206" s="3" t="s">
        <v>446</v>
      </c>
      <c r="E206" s="3" t="n">
        <v>5.5</v>
      </c>
      <c r="F206" s="3" t="n">
        <v>3</v>
      </c>
      <c r="G206" s="3" t="n">
        <v>814</v>
      </c>
      <c r="H206" s="4" t="n">
        <f aca="false">G206/E206</f>
        <v>148</v>
      </c>
      <c r="I206" s="3" t="n">
        <v>2.4</v>
      </c>
      <c r="J206" s="4" t="n">
        <f aca="false">(F206-Assumptions!$B$17)/(Assumptions!$C$17-Assumptions!$B$17)</f>
        <v>0.181818181818182</v>
      </c>
      <c r="K206" s="4" t="n">
        <f aca="false">(H206-Assumptions!$B$18)/(Assumptions!$C$18-Assumptions!$B$18)</f>
        <v>0.183561161353014</v>
      </c>
      <c r="L206" s="4" t="n">
        <f aca="false">(I206-Assumptions!$B$19)/(Assumptions!$C$19-Assumptions!$B$19)</f>
        <v>0.439024390243902</v>
      </c>
      <c r="M206" s="4" t="n">
        <f aca="false">0.4*J206+0.4*K206+0.2*L206</f>
        <v>0.233956615317259</v>
      </c>
    </row>
    <row r="207" customFormat="false" ht="15" hidden="false" customHeight="false" outlineLevel="0" collapsed="false">
      <c r="A207" s="3" t="s">
        <v>3</v>
      </c>
      <c r="B207" s="3" t="s">
        <v>153</v>
      </c>
      <c r="C207" s="3" t="s">
        <v>154</v>
      </c>
      <c r="D207" s="3" t="s">
        <v>447</v>
      </c>
      <c r="E207" s="3" t="n">
        <v>4.5</v>
      </c>
      <c r="F207" s="3" t="n">
        <v>4</v>
      </c>
      <c r="G207" s="3" t="n">
        <v>654</v>
      </c>
      <c r="H207" s="4" t="n">
        <f aca="false">G207/E207</f>
        <v>145.333333333333</v>
      </c>
      <c r="I207" s="3" t="n">
        <v>3.3</v>
      </c>
      <c r="J207" s="4" t="n">
        <f aca="false">(F207-Assumptions!$B$17)/(Assumptions!$C$17-Assumptions!$B$17)</f>
        <v>0.272727272727273</v>
      </c>
      <c r="K207" s="4" t="n">
        <f aca="false">(H207-Assumptions!$B$18)/(Assumptions!$C$18-Assumptions!$B$18)</f>
        <v>0.180252391996795</v>
      </c>
      <c r="L207" s="4" t="n">
        <f aca="false">(I207-Assumptions!$B$19)/(Assumptions!$C$19-Assumptions!$B$19)</f>
        <v>0.658536585365854</v>
      </c>
      <c r="M207" s="4" t="n">
        <f aca="false">0.4*J207+0.4*K207+0.2*L207</f>
        <v>0.312899182962798</v>
      </c>
    </row>
    <row r="208" customFormat="false" ht="15" hidden="false" customHeight="false" outlineLevel="0" collapsed="false">
      <c r="A208" s="3" t="s">
        <v>3</v>
      </c>
      <c r="B208" s="3" t="s">
        <v>156</v>
      </c>
      <c r="C208" s="3" t="s">
        <v>157</v>
      </c>
      <c r="D208" s="3" t="s">
        <v>448</v>
      </c>
      <c r="E208" s="3" t="n">
        <v>406</v>
      </c>
      <c r="F208" s="3" t="n">
        <v>5</v>
      </c>
      <c r="G208" s="3" t="n">
        <v>886</v>
      </c>
      <c r="H208" s="4" t="n">
        <f aca="false">G208/E208</f>
        <v>2.18226600985222</v>
      </c>
      <c r="I208" s="3" t="n">
        <v>2.4</v>
      </c>
      <c r="J208" s="4" t="n">
        <f aca="false">(F208-Assumptions!$B$17)/(Assumptions!$C$17-Assumptions!$B$17)</f>
        <v>0.363636363636364</v>
      </c>
      <c r="K208" s="4" t="n">
        <f aca="false">(H208-Assumptions!$B$18)/(Assumptions!$C$18-Assumptions!$B$18)</f>
        <v>0.00263219267056473</v>
      </c>
      <c r="L208" s="4" t="n">
        <f aca="false">(I208-Assumptions!$B$19)/(Assumptions!$C$19-Assumptions!$B$19)</f>
        <v>0.439024390243902</v>
      </c>
      <c r="M208" s="4" t="n">
        <f aca="false">0.4*J208+0.4*K208+0.2*L208</f>
        <v>0.234312300571552</v>
      </c>
    </row>
    <row r="209" customFormat="false" ht="15" hidden="false" customHeight="false" outlineLevel="0" collapsed="false">
      <c r="A209" s="3" t="s">
        <v>3</v>
      </c>
      <c r="B209" s="3" t="s">
        <v>159</v>
      </c>
      <c r="C209" s="3" t="s">
        <v>160</v>
      </c>
      <c r="D209" s="3" t="s">
        <v>449</v>
      </c>
      <c r="E209" s="3" t="n">
        <v>204</v>
      </c>
      <c r="F209" s="3" t="n">
        <v>6</v>
      </c>
      <c r="G209" s="3" t="n">
        <v>654</v>
      </c>
      <c r="H209" s="4" t="n">
        <f aca="false">G209/E209</f>
        <v>3.20588235294118</v>
      </c>
      <c r="I209" s="3" t="n">
        <v>3.3</v>
      </c>
      <c r="J209" s="4" t="n">
        <f aca="false">(F209-Assumptions!$B$17)/(Assumptions!$C$17-Assumptions!$B$17)</f>
        <v>0.454545454545455</v>
      </c>
      <c r="K209" s="4" t="n">
        <f aca="false">(H209-Assumptions!$B$18)/(Assumptions!$C$18-Assumptions!$B$18)</f>
        <v>0.00390228406626629</v>
      </c>
      <c r="L209" s="4" t="n">
        <f aca="false">(I209-Assumptions!$B$19)/(Assumptions!$C$19-Assumptions!$B$19)</f>
        <v>0.658536585365854</v>
      </c>
      <c r="M209" s="4" t="n">
        <f aca="false">0.4*J209+0.4*K209+0.2*L209</f>
        <v>0.315086412517859</v>
      </c>
    </row>
    <row r="210" customFormat="false" ht="15" hidden="false" customHeight="false" outlineLevel="0" collapsed="false">
      <c r="A210" s="3" t="s">
        <v>3</v>
      </c>
      <c r="B210" s="3" t="s">
        <v>162</v>
      </c>
      <c r="C210" s="3" t="s">
        <v>160</v>
      </c>
      <c r="D210" s="3" t="s">
        <v>449</v>
      </c>
      <c r="E210" s="3" t="n">
        <v>2400</v>
      </c>
      <c r="F210" s="3" t="n">
        <v>6</v>
      </c>
      <c r="G210" s="3" t="n">
        <v>654</v>
      </c>
      <c r="H210" s="4" t="n">
        <f aca="false">G210/E210</f>
        <v>0.2725</v>
      </c>
      <c r="I210" s="3" t="n">
        <v>3.3</v>
      </c>
      <c r="J210" s="4" t="n">
        <f aca="false">(F210-Assumptions!$B$17)/(Assumptions!$C$17-Assumptions!$B$17)</f>
        <v>0.454545454545455</v>
      </c>
      <c r="K210" s="4" t="n">
        <f aca="false">(H210-Assumptions!$B$18)/(Assumptions!$C$18-Assumptions!$B$18)</f>
        <v>0.000262576951459513</v>
      </c>
      <c r="L210" s="4" t="n">
        <f aca="false">(I210-Assumptions!$B$19)/(Assumptions!$C$19-Assumptions!$B$19)</f>
        <v>0.658536585365854</v>
      </c>
      <c r="M210" s="4" t="n">
        <f aca="false">0.4*J210+0.4*K210+0.2*L210</f>
        <v>0.313630529671936</v>
      </c>
    </row>
    <row r="211" customFormat="false" ht="15" hidden="false" customHeight="false" outlineLevel="0" collapsed="false">
      <c r="A211" s="3" t="s">
        <v>3</v>
      </c>
      <c r="B211" s="3" t="s">
        <v>163</v>
      </c>
      <c r="C211" s="3" t="s">
        <v>160</v>
      </c>
      <c r="D211" s="3" t="s">
        <v>449</v>
      </c>
      <c r="E211" s="3" t="n">
        <v>336.5</v>
      </c>
      <c r="F211" s="3" t="n">
        <v>6</v>
      </c>
      <c r="G211" s="3" t="n">
        <v>654</v>
      </c>
      <c r="H211" s="4" t="n">
        <f aca="false">G211/E211</f>
        <v>1.94353640416048</v>
      </c>
      <c r="I211" s="3" t="n">
        <v>3.3</v>
      </c>
      <c r="J211" s="4" t="n">
        <f aca="false">(F211-Assumptions!$B$17)/(Assumptions!$C$17-Assumptions!$B$17)</f>
        <v>0.454545454545455</v>
      </c>
      <c r="K211" s="4" t="n">
        <f aca="false">(H211-Assumptions!$B$18)/(Assumptions!$C$18-Assumptions!$B$18)</f>
        <v>0.00233597971916409</v>
      </c>
      <c r="L211" s="4" t="n">
        <f aca="false">(I211-Assumptions!$B$19)/(Assumptions!$C$19-Assumptions!$B$19)</f>
        <v>0.658536585365854</v>
      </c>
      <c r="M211" s="4" t="n">
        <f aca="false">0.4*J211+0.4*K211+0.2*L211</f>
        <v>0.314459890779018</v>
      </c>
    </row>
    <row r="212" customFormat="false" ht="15" hidden="false" customHeight="false" outlineLevel="0" collapsed="false">
      <c r="A212" s="3" t="s">
        <v>3</v>
      </c>
      <c r="B212" s="3" t="s">
        <v>164</v>
      </c>
      <c r="C212" s="3" t="s">
        <v>165</v>
      </c>
      <c r="D212" s="3" t="s">
        <v>450</v>
      </c>
      <c r="E212" s="3" t="n">
        <v>4</v>
      </c>
      <c r="F212" s="3" t="n">
        <v>6</v>
      </c>
      <c r="G212" s="3" t="n">
        <v>394</v>
      </c>
      <c r="H212" s="4" t="n">
        <f aca="false">G212/E212</f>
        <v>98.5</v>
      </c>
      <c r="I212" s="3" t="n">
        <v>3.2</v>
      </c>
      <c r="J212" s="4" t="n">
        <f aca="false">(F212-Assumptions!$B$17)/(Assumptions!$C$17-Assumptions!$B$17)</f>
        <v>0.454545454545455</v>
      </c>
      <c r="K212" s="4" t="n">
        <f aca="false">(H212-Assumptions!$B$18)/(Assumptions!$C$18-Assumptions!$B$18)</f>
        <v>0.122142130178202</v>
      </c>
      <c r="L212" s="4" t="n">
        <f aca="false">(I212-Assumptions!$B$19)/(Assumptions!$C$19-Assumptions!$B$19)</f>
        <v>0.634146341463415</v>
      </c>
      <c r="M212" s="4" t="n">
        <f aca="false">0.4*J212+0.4*K212+0.2*L212</f>
        <v>0.357504302182146</v>
      </c>
    </row>
    <row r="213" customFormat="false" ht="15" hidden="false" customHeight="false" outlineLevel="0" collapsed="false">
      <c r="A213" s="3" t="s">
        <v>3</v>
      </c>
      <c r="B213" s="3" t="s">
        <v>167</v>
      </c>
      <c r="C213" s="3" t="s">
        <v>168</v>
      </c>
      <c r="D213" s="3" t="s">
        <v>451</v>
      </c>
      <c r="E213" s="3" t="n">
        <v>1759.5</v>
      </c>
      <c r="F213" s="3" t="n">
        <v>4</v>
      </c>
      <c r="G213" s="3" t="n">
        <v>814</v>
      </c>
      <c r="H213" s="4" t="n">
        <f aca="false">G213/E213</f>
        <v>0.462631429383348</v>
      </c>
      <c r="I213" s="3" t="n">
        <v>2.4</v>
      </c>
      <c r="J213" s="4" t="n">
        <f aca="false">(F213-Assumptions!$B$17)/(Assumptions!$C$17-Assumptions!$B$17)</f>
        <v>0.272727272727273</v>
      </c>
      <c r="K213" s="4" t="n">
        <f aca="false">(H213-Assumptions!$B$18)/(Assumptions!$C$18-Assumptions!$B$18)</f>
        <v>0.00049848984415865</v>
      </c>
      <c r="L213" s="4" t="n">
        <f aca="false">(I213-Assumptions!$B$19)/(Assumptions!$C$19-Assumptions!$B$19)</f>
        <v>0.439024390243902</v>
      </c>
      <c r="M213" s="4" t="n">
        <f aca="false">0.4*J213+0.4*K213+0.2*L213</f>
        <v>0.197095183077353</v>
      </c>
    </row>
    <row r="214" customFormat="false" ht="15" hidden="false" customHeight="false" outlineLevel="0" collapsed="false">
      <c r="A214" s="3" t="s">
        <v>3</v>
      </c>
      <c r="B214" s="3" t="s">
        <v>170</v>
      </c>
      <c r="C214" s="3" t="s">
        <v>171</v>
      </c>
      <c r="D214" s="3" t="s">
        <v>452</v>
      </c>
      <c r="E214" s="3" t="n">
        <v>13</v>
      </c>
      <c r="F214" s="3" t="n">
        <v>8</v>
      </c>
      <c r="G214" s="3" t="n">
        <v>394</v>
      </c>
      <c r="H214" s="4" t="n">
        <f aca="false">G214/E214</f>
        <v>30.3076923076923</v>
      </c>
      <c r="I214" s="3" t="n">
        <v>3.2</v>
      </c>
      <c r="J214" s="4" t="n">
        <f aca="false">(F214-Assumptions!$B$17)/(Assumptions!$C$17-Assumptions!$B$17)</f>
        <v>0.636363636363636</v>
      </c>
      <c r="K214" s="4" t="n">
        <f aca="false">(H214-Assumptions!$B$18)/(Assumptions!$C$18-Assumptions!$B$18)</f>
        <v>0.037529898419896</v>
      </c>
      <c r="L214" s="4" t="n">
        <f aca="false">(I214-Assumptions!$B$19)/(Assumptions!$C$19-Assumptions!$B$19)</f>
        <v>0.634146341463415</v>
      </c>
      <c r="M214" s="4" t="n">
        <f aca="false">0.4*J214+0.4*K214+0.2*L214</f>
        <v>0.396386682206096</v>
      </c>
    </row>
    <row r="215" customFormat="false" ht="15" hidden="false" customHeight="false" outlineLevel="0" collapsed="false">
      <c r="A215" s="3" t="s">
        <v>3</v>
      </c>
      <c r="B215" s="3" t="s">
        <v>173</v>
      </c>
      <c r="C215" s="3" t="s">
        <v>174</v>
      </c>
      <c r="D215" s="3" t="s">
        <v>453</v>
      </c>
      <c r="E215" s="3" t="n">
        <v>12.5</v>
      </c>
      <c r="F215" s="3" t="n">
        <v>4</v>
      </c>
      <c r="G215" s="3" t="n">
        <v>654</v>
      </c>
      <c r="H215" s="4" t="n">
        <f aca="false">G215/E215</f>
        <v>52.32</v>
      </c>
      <c r="I215" s="3" t="n">
        <v>3.3</v>
      </c>
      <c r="J215" s="4" t="n">
        <f aca="false">(F215-Assumptions!$B$17)/(Assumptions!$C$17-Assumptions!$B$17)</f>
        <v>0.272727272727273</v>
      </c>
      <c r="K215" s="4" t="n">
        <f aca="false">(H215-Assumptions!$B$18)/(Assumptions!$C$18-Assumptions!$B$18)</f>
        <v>0.0648425168518836</v>
      </c>
      <c r="L215" s="4" t="n">
        <f aca="false">(I215-Assumptions!$B$19)/(Assumptions!$C$19-Assumptions!$B$19)</f>
        <v>0.658536585365854</v>
      </c>
      <c r="M215" s="4" t="n">
        <f aca="false">0.4*J215+0.4*K215+0.2*L215</f>
        <v>0.266735232904833</v>
      </c>
    </row>
    <row r="216" customFormat="false" ht="15" hidden="false" customHeight="false" outlineLevel="0" collapsed="false">
      <c r="A216" s="3" t="s">
        <v>3</v>
      </c>
      <c r="B216" s="3" t="s">
        <v>176</v>
      </c>
      <c r="C216" s="3" t="s">
        <v>174</v>
      </c>
      <c r="D216" s="3" t="s">
        <v>453</v>
      </c>
      <c r="E216" s="3" t="n">
        <v>255</v>
      </c>
      <c r="F216" s="3" t="n">
        <v>4</v>
      </c>
      <c r="G216" s="3" t="n">
        <v>654</v>
      </c>
      <c r="H216" s="4" t="n">
        <f aca="false">G216/E216</f>
        <v>2.56470588235294</v>
      </c>
      <c r="I216" s="3" t="n">
        <v>3.3</v>
      </c>
      <c r="J216" s="4" t="n">
        <f aca="false">(F216-Assumptions!$B$17)/(Assumptions!$C$17-Assumptions!$B$17)</f>
        <v>0.272727272727273</v>
      </c>
      <c r="K216" s="4" t="n">
        <f aca="false">(H216-Assumptions!$B$18)/(Assumptions!$C$18-Assumptions!$B$18)</f>
        <v>0.00310671966958721</v>
      </c>
      <c r="L216" s="4" t="n">
        <f aca="false">(I216-Assumptions!$B$19)/(Assumptions!$C$19-Assumptions!$B$19)</f>
        <v>0.658536585365854</v>
      </c>
      <c r="M216" s="4" t="n">
        <f aca="false">0.4*J216+0.4*K216+0.2*L216</f>
        <v>0.242040914031915</v>
      </c>
    </row>
    <row r="217" customFormat="false" ht="15" hidden="false" customHeight="false" outlineLevel="0" collapsed="false">
      <c r="A217" s="3" t="s">
        <v>3</v>
      </c>
      <c r="B217" s="3" t="s">
        <v>177</v>
      </c>
      <c r="C217" s="3" t="s">
        <v>178</v>
      </c>
      <c r="D217" s="3" t="s">
        <v>454</v>
      </c>
      <c r="E217" s="3" t="n">
        <v>154</v>
      </c>
      <c r="F217" s="3" t="n">
        <v>3</v>
      </c>
      <c r="G217" s="3" t="n">
        <v>814</v>
      </c>
      <c r="H217" s="4" t="n">
        <f aca="false">G217/E217</f>
        <v>5.28571428571429</v>
      </c>
      <c r="I217" s="3" t="n">
        <v>2.4</v>
      </c>
      <c r="J217" s="4" t="n">
        <f aca="false">(F217-Assumptions!$B$17)/(Assumptions!$C$17-Assumptions!$B$17)</f>
        <v>0.181818181818182</v>
      </c>
      <c r="K217" s="4" t="n">
        <f aca="false">(H217-Assumptions!$B$18)/(Assumptions!$C$18-Assumptions!$B$18)</f>
        <v>0.00648291562823315</v>
      </c>
      <c r="L217" s="4" t="n">
        <f aca="false">(I217-Assumptions!$B$19)/(Assumptions!$C$19-Assumptions!$B$19)</f>
        <v>0.439024390243902</v>
      </c>
      <c r="M217" s="4" t="n">
        <f aca="false">0.4*J217+0.4*K217+0.2*L217</f>
        <v>0.163125317027346</v>
      </c>
    </row>
    <row r="218" customFormat="false" ht="15" hidden="false" customHeight="false" outlineLevel="0" collapsed="false">
      <c r="A218" s="3" t="s">
        <v>3</v>
      </c>
      <c r="B218" s="3" t="s">
        <v>180</v>
      </c>
      <c r="C218" s="3" t="s">
        <v>181</v>
      </c>
      <c r="D218" s="3" t="s">
        <v>455</v>
      </c>
      <c r="E218" s="3" t="n">
        <v>24</v>
      </c>
      <c r="F218" s="3" t="n">
        <v>4</v>
      </c>
      <c r="G218" s="3" t="n">
        <v>690</v>
      </c>
      <c r="H218" s="4" t="n">
        <f aca="false">G218/E218</f>
        <v>28.75</v>
      </c>
      <c r="I218" s="3" t="n">
        <v>3.3</v>
      </c>
      <c r="J218" s="4" t="n">
        <f aca="false">(F218-Assumptions!$B$17)/(Assumptions!$C$17-Assumptions!$B$17)</f>
        <v>0.272727272727273</v>
      </c>
      <c r="K218" s="4" t="n">
        <f aca="false">(H218-Assumptions!$B$18)/(Assumptions!$C$18-Assumptions!$B$18)</f>
        <v>0.0355971317046047</v>
      </c>
      <c r="L218" s="4" t="n">
        <f aca="false">(I218-Assumptions!$B$19)/(Assumptions!$C$19-Assumptions!$B$19)</f>
        <v>0.658536585365854</v>
      </c>
      <c r="M218" s="4" t="n">
        <f aca="false">0.4*J218+0.4*K218+0.2*L218</f>
        <v>0.255037078845922</v>
      </c>
    </row>
    <row r="219" customFormat="false" ht="15" hidden="false" customHeight="false" outlineLevel="0" collapsed="false">
      <c r="A219" s="3" t="s">
        <v>3</v>
      </c>
      <c r="B219" s="3" t="s">
        <v>183</v>
      </c>
      <c r="C219" s="3" t="s">
        <v>181</v>
      </c>
      <c r="D219" s="3" t="s">
        <v>455</v>
      </c>
      <c r="E219" s="3" t="n">
        <v>31</v>
      </c>
      <c r="F219" s="3" t="n">
        <v>4</v>
      </c>
      <c r="G219" s="3" t="n">
        <v>690</v>
      </c>
      <c r="H219" s="4" t="n">
        <f aca="false">G219/E219</f>
        <v>22.258064516129</v>
      </c>
      <c r="I219" s="3" t="n">
        <v>3.3</v>
      </c>
      <c r="J219" s="4" t="n">
        <f aca="false">(F219-Assumptions!$B$17)/(Assumptions!$C$17-Assumptions!$B$17)</f>
        <v>0.272727272727273</v>
      </c>
      <c r="K219" s="4" t="n">
        <f aca="false">(H219-Assumptions!$B$18)/(Assumptions!$C$18-Assumptions!$B$18)</f>
        <v>0.0275420127577616</v>
      </c>
      <c r="L219" s="4" t="n">
        <f aca="false">(I219-Assumptions!$B$19)/(Assumptions!$C$19-Assumptions!$B$19)</f>
        <v>0.658536585365854</v>
      </c>
      <c r="M219" s="4" t="n">
        <f aca="false">0.4*J219+0.4*K219+0.2*L219</f>
        <v>0.251815031267184</v>
      </c>
    </row>
    <row r="220" customFormat="false" ht="15" hidden="false" customHeight="false" outlineLevel="0" collapsed="false">
      <c r="A220" s="3" t="s">
        <v>3</v>
      </c>
      <c r="B220" s="3" t="s">
        <v>184</v>
      </c>
      <c r="C220" s="3" t="s">
        <v>185</v>
      </c>
      <c r="D220" s="3" t="s">
        <v>456</v>
      </c>
      <c r="E220" s="3" t="n">
        <v>10.5</v>
      </c>
      <c r="F220" s="3" t="n">
        <v>5</v>
      </c>
      <c r="G220" s="3" t="n">
        <v>814</v>
      </c>
      <c r="H220" s="4" t="n">
        <f aca="false">G220/E220</f>
        <v>77.5238095238095</v>
      </c>
      <c r="I220" s="3" t="n">
        <v>2.4</v>
      </c>
      <c r="J220" s="4" t="n">
        <f aca="false">(F220-Assumptions!$B$17)/(Assumptions!$C$17-Assumptions!$B$17)</f>
        <v>0.363636363636364</v>
      </c>
      <c r="K220" s="4" t="n">
        <f aca="false">(H220-Assumptions!$B$18)/(Assumptions!$C$18-Assumptions!$B$18)</f>
        <v>0.0961151140815171</v>
      </c>
      <c r="L220" s="4" t="n">
        <f aca="false">(I220-Assumptions!$B$19)/(Assumptions!$C$19-Assumptions!$B$19)</f>
        <v>0.439024390243902</v>
      </c>
      <c r="M220" s="4" t="n">
        <f aca="false">0.4*J220+0.4*K220+0.2*L220</f>
        <v>0.271705469135933</v>
      </c>
    </row>
    <row r="221" customFormat="false" ht="15" hidden="false" customHeight="false" outlineLevel="0" collapsed="false">
      <c r="A221" s="3" t="s">
        <v>3</v>
      </c>
      <c r="B221" s="3" t="s">
        <v>192</v>
      </c>
      <c r="C221" s="3" t="s">
        <v>193</v>
      </c>
      <c r="D221" s="3" t="s">
        <v>457</v>
      </c>
      <c r="E221" s="3" t="n">
        <v>242.5</v>
      </c>
      <c r="F221" s="3" t="n">
        <v>11</v>
      </c>
      <c r="G221" s="3" t="n">
        <v>386</v>
      </c>
      <c r="H221" s="4" t="n">
        <f aca="false">G221/E221</f>
        <v>1.59175257731959</v>
      </c>
      <c r="I221" s="3" t="n">
        <v>4.7</v>
      </c>
      <c r="J221" s="4" t="n">
        <f aca="false">(F221-Assumptions!$B$17)/(Assumptions!$C$17-Assumptions!$B$17)</f>
        <v>0.909090909090909</v>
      </c>
      <c r="K221" s="4" t="n">
        <f aca="false">(H221-Assumptions!$B$18)/(Assumptions!$C$18-Assumptions!$B$18)</f>
        <v>0.0018994903893149</v>
      </c>
      <c r="L221" s="4" t="n">
        <f aca="false">(I221-Assumptions!$B$19)/(Assumptions!$C$19-Assumptions!$B$19)</f>
        <v>1</v>
      </c>
      <c r="M221" s="4" t="n">
        <f aca="false">0.4*J221+0.4*K221+0.2*L221</f>
        <v>0.56439615979209</v>
      </c>
    </row>
    <row r="222" customFormat="false" ht="15" hidden="false" customHeight="false" outlineLevel="0" collapsed="false">
      <c r="A222" s="3" t="s">
        <v>3</v>
      </c>
      <c r="B222" s="3" t="s">
        <v>195</v>
      </c>
      <c r="C222" s="3" t="s">
        <v>196</v>
      </c>
      <c r="D222" s="3" t="s">
        <v>458</v>
      </c>
      <c r="E222" s="3" t="n">
        <v>6.5</v>
      </c>
      <c r="F222" s="3" t="n">
        <v>4</v>
      </c>
      <c r="G222" s="3" t="n">
        <v>654</v>
      </c>
      <c r="H222" s="4" t="n">
        <f aca="false">G222/E222</f>
        <v>100.615384615385</v>
      </c>
      <c r="I222" s="3" t="n">
        <v>3.3</v>
      </c>
      <c r="J222" s="4" t="n">
        <f aca="false">(F222-Assumptions!$B$17)/(Assumptions!$C$17-Assumptions!$B$17)</f>
        <v>0.272727272727273</v>
      </c>
      <c r="K222" s="4" t="n">
        <f aca="false">(H222-Assumptions!$B$18)/(Assumptions!$C$18-Assumptions!$B$18)</f>
        <v>0.124766875100203</v>
      </c>
      <c r="L222" s="4" t="n">
        <f aca="false">(I222-Assumptions!$B$19)/(Assumptions!$C$19-Assumptions!$B$19)</f>
        <v>0.658536585365854</v>
      </c>
      <c r="M222" s="4" t="n">
        <f aca="false">0.4*J222+0.4*K222+0.2*L222</f>
        <v>0.290704976204161</v>
      </c>
    </row>
    <row r="223" customFormat="false" ht="15" hidden="false" customHeight="false" outlineLevel="0" collapsed="false">
      <c r="A223" s="3" t="s">
        <v>3</v>
      </c>
      <c r="B223" s="3" t="s">
        <v>198</v>
      </c>
      <c r="C223" s="3" t="s">
        <v>199</v>
      </c>
      <c r="D223" s="3" t="s">
        <v>459</v>
      </c>
      <c r="E223" s="3" t="n">
        <v>2776</v>
      </c>
      <c r="F223" s="3" t="n">
        <v>3</v>
      </c>
      <c r="G223" s="3" t="n">
        <v>850</v>
      </c>
      <c r="H223" s="4" t="n">
        <f aca="false">G223/E223</f>
        <v>0.306195965417867</v>
      </c>
      <c r="I223" s="3" t="n">
        <v>2.4</v>
      </c>
      <c r="J223" s="4" t="n">
        <f aca="false">(F223-Assumptions!$B$17)/(Assumptions!$C$17-Assumptions!$B$17)</f>
        <v>0.181818181818182</v>
      </c>
      <c r="K223" s="4" t="n">
        <f aca="false">(H223-Assumptions!$B$18)/(Assumptions!$C$18-Assumptions!$B$18)</f>
        <v>0.000304386518135581</v>
      </c>
      <c r="L223" s="4" t="n">
        <f aca="false">(I223-Assumptions!$B$19)/(Assumptions!$C$19-Assumptions!$B$19)</f>
        <v>0.439024390243902</v>
      </c>
      <c r="M223" s="4" t="n">
        <f aca="false">0.4*J223+0.4*K223+0.2*L223</f>
        <v>0.160653905383307</v>
      </c>
    </row>
    <row r="224" customFormat="false" ht="15" hidden="false" customHeight="false" outlineLevel="0" collapsed="false">
      <c r="A224" s="3" t="s">
        <v>3</v>
      </c>
      <c r="B224" s="3" t="s">
        <v>204</v>
      </c>
      <c r="C224" s="3" t="s">
        <v>205</v>
      </c>
      <c r="D224" s="3" t="s">
        <v>460</v>
      </c>
      <c r="E224" s="3" t="n">
        <v>157.5</v>
      </c>
      <c r="F224" s="3" t="n">
        <v>4</v>
      </c>
      <c r="G224" s="3" t="n">
        <v>654</v>
      </c>
      <c r="H224" s="4" t="n">
        <f aca="false">G224/E224</f>
        <v>4.15238095238095</v>
      </c>
      <c r="I224" s="3" t="n">
        <v>3.3</v>
      </c>
      <c r="J224" s="4" t="n">
        <f aca="false">(F224-Assumptions!$B$17)/(Assumptions!$C$17-Assumptions!$B$17)</f>
        <v>0.272727272727273</v>
      </c>
      <c r="K224" s="4" t="n">
        <f aca="false">(H224-Assumptions!$B$18)/(Assumptions!$C$18-Assumptions!$B$18)</f>
        <v>0.00507668865184016</v>
      </c>
      <c r="L224" s="4" t="n">
        <f aca="false">(I224-Assumptions!$B$19)/(Assumptions!$C$19-Assumptions!$B$19)</f>
        <v>0.658536585365854</v>
      </c>
      <c r="M224" s="4" t="n">
        <f aca="false">0.4*J224+0.4*K224+0.2*L224</f>
        <v>0.242828901624816</v>
      </c>
    </row>
    <row r="225" customFormat="false" ht="15" hidden="false" customHeight="false" outlineLevel="0" collapsed="false">
      <c r="A225" s="3" t="s">
        <v>3</v>
      </c>
      <c r="B225" s="3" t="s">
        <v>207</v>
      </c>
      <c r="C225" s="3" t="s">
        <v>205</v>
      </c>
      <c r="D225" s="3" t="s">
        <v>460</v>
      </c>
      <c r="E225" s="3" t="n">
        <v>7.5</v>
      </c>
      <c r="F225" s="3" t="n">
        <v>4</v>
      </c>
      <c r="G225" s="3" t="n">
        <v>654</v>
      </c>
      <c r="H225" s="4" t="n">
        <f aca="false">G225/E225</f>
        <v>87.2</v>
      </c>
      <c r="I225" s="3" t="n">
        <v>3.3</v>
      </c>
      <c r="J225" s="4" t="n">
        <f aca="false">(F225-Assumptions!$B$17)/(Assumptions!$C$17-Assumptions!$B$17)</f>
        <v>0.272727272727273</v>
      </c>
      <c r="K225" s="4" t="n">
        <f aca="false">(H225-Assumptions!$B$18)/(Assumptions!$C$18-Assumptions!$B$18)</f>
        <v>0.108121220031225</v>
      </c>
      <c r="L225" s="4" t="n">
        <f aca="false">(I225-Assumptions!$B$19)/(Assumptions!$C$19-Assumptions!$B$19)</f>
        <v>0.658536585365854</v>
      </c>
      <c r="M225" s="4" t="n">
        <f aca="false">0.4*J225+0.4*K225+0.2*L225</f>
        <v>0.28404671417657</v>
      </c>
    </row>
    <row r="226" customFormat="false" ht="15" hidden="false" customHeight="false" outlineLevel="0" collapsed="false">
      <c r="A226" s="3" t="s">
        <v>3</v>
      </c>
      <c r="B226" s="3" t="s">
        <v>208</v>
      </c>
      <c r="C226" s="3" t="s">
        <v>209</v>
      </c>
      <c r="D226" s="3" t="s">
        <v>461</v>
      </c>
      <c r="E226" s="3" t="n">
        <v>459</v>
      </c>
      <c r="F226" s="3" t="n">
        <v>6</v>
      </c>
      <c r="G226" s="3" t="n">
        <v>690</v>
      </c>
      <c r="H226" s="4" t="n">
        <f aca="false">G226/E226</f>
        <v>1.50326797385621</v>
      </c>
      <c r="I226" s="3" t="n">
        <v>3.3</v>
      </c>
      <c r="J226" s="4" t="n">
        <f aca="false">(F226-Assumptions!$B$17)/(Assumptions!$C$17-Assumptions!$B$17)</f>
        <v>0.454545454545455</v>
      </c>
      <c r="K226" s="4" t="n">
        <f aca="false">(H226-Assumptions!$B$18)/(Assumptions!$C$18-Assumptions!$B$18)</f>
        <v>0.00178969971015111</v>
      </c>
      <c r="L226" s="4" t="n">
        <f aca="false">(I226-Assumptions!$B$19)/(Assumptions!$C$19-Assumptions!$B$19)</f>
        <v>0.658536585365854</v>
      </c>
      <c r="M226" s="4" t="n">
        <f aca="false">0.4*J226+0.4*K226+0.2*L226</f>
        <v>0.314241378775413</v>
      </c>
    </row>
    <row r="227" customFormat="false" ht="15" hidden="false" customHeight="false" outlineLevel="0" collapsed="false">
      <c r="A227" s="3" t="s">
        <v>3</v>
      </c>
      <c r="B227" s="3" t="s">
        <v>211</v>
      </c>
      <c r="C227" s="3" t="s">
        <v>212</v>
      </c>
      <c r="D227" s="3" t="s">
        <v>462</v>
      </c>
      <c r="E227" s="3" t="n">
        <v>90.5</v>
      </c>
      <c r="F227" s="3" t="n">
        <v>6</v>
      </c>
      <c r="G227" s="3" t="n">
        <v>430</v>
      </c>
      <c r="H227" s="4" t="n">
        <f aca="false">G227/E227</f>
        <v>4.75138121546961</v>
      </c>
      <c r="I227" s="3" t="n">
        <v>3.2</v>
      </c>
      <c r="J227" s="4" t="n">
        <f aca="false">(F227-Assumptions!$B$17)/(Assumptions!$C$17-Assumptions!$B$17)</f>
        <v>0.454545454545455</v>
      </c>
      <c r="K227" s="4" t="n">
        <f aca="false">(H227-Assumptions!$B$18)/(Assumptions!$C$18-Assumptions!$B$18)</f>
        <v>0.0058199212949182</v>
      </c>
      <c r="L227" s="4" t="n">
        <f aca="false">(I227-Assumptions!$B$19)/(Assumptions!$C$19-Assumptions!$B$19)</f>
        <v>0.634146341463415</v>
      </c>
      <c r="M227" s="4" t="n">
        <f aca="false">0.4*J227+0.4*K227+0.2*L227</f>
        <v>0.310975418628832</v>
      </c>
    </row>
    <row r="228" customFormat="false" ht="15" hidden="false" customHeight="false" outlineLevel="0" collapsed="false">
      <c r="A228" s="3" t="s">
        <v>3</v>
      </c>
      <c r="B228" s="3" t="s">
        <v>214</v>
      </c>
      <c r="C228" s="3" t="s">
        <v>212</v>
      </c>
      <c r="D228" s="3" t="s">
        <v>462</v>
      </c>
      <c r="E228" s="3" t="n">
        <v>165</v>
      </c>
      <c r="F228" s="3" t="n">
        <v>6</v>
      </c>
      <c r="G228" s="3" t="n">
        <v>430</v>
      </c>
      <c r="H228" s="4" t="n">
        <f aca="false">G228/E228</f>
        <v>2.60606060606061</v>
      </c>
      <c r="I228" s="3" t="n">
        <v>3.2</v>
      </c>
      <c r="J228" s="4" t="n">
        <f aca="false">(F228-Assumptions!$B$17)/(Assumptions!$C$17-Assumptions!$B$17)</f>
        <v>0.454545454545455</v>
      </c>
      <c r="K228" s="4" t="n">
        <f aca="false">(H228-Assumptions!$B$18)/(Assumptions!$C$18-Assumptions!$B$18)</f>
        <v>0.00315803213553927</v>
      </c>
      <c r="L228" s="4" t="n">
        <f aca="false">(I228-Assumptions!$B$19)/(Assumptions!$C$19-Assumptions!$B$19)</f>
        <v>0.634146341463415</v>
      </c>
      <c r="M228" s="4" t="n">
        <f aca="false">0.4*J228+0.4*K228+0.2*L228</f>
        <v>0.30991066296508</v>
      </c>
    </row>
    <row r="229" customFormat="false" ht="15" hidden="false" customHeight="false" outlineLevel="0" collapsed="false">
      <c r="A229" s="3" t="s">
        <v>3</v>
      </c>
      <c r="B229" s="3" t="s">
        <v>215</v>
      </c>
      <c r="C229" s="3" t="s">
        <v>216</v>
      </c>
      <c r="D229" s="3" t="s">
        <v>463</v>
      </c>
      <c r="E229" s="3" t="n">
        <v>438</v>
      </c>
      <c r="F229" s="3" t="n">
        <v>3</v>
      </c>
      <c r="G229" s="3" t="n">
        <v>814</v>
      </c>
      <c r="H229" s="4" t="n">
        <f aca="false">G229/E229</f>
        <v>1.85844748858447</v>
      </c>
      <c r="I229" s="3" t="n">
        <v>2.4</v>
      </c>
      <c r="J229" s="4" t="n">
        <f aca="false">(F229-Assumptions!$B$17)/(Assumptions!$C$17-Assumptions!$B$17)</f>
        <v>0.181818181818182</v>
      </c>
      <c r="K229" s="4" t="n">
        <f aca="false">(H229-Assumptions!$B$18)/(Assumptions!$C$18-Assumptions!$B$18)</f>
        <v>0.00223040237050969</v>
      </c>
      <c r="L229" s="4" t="n">
        <f aca="false">(I229-Assumptions!$B$19)/(Assumptions!$C$19-Assumptions!$B$19)</f>
        <v>0.439024390243902</v>
      </c>
      <c r="M229" s="4" t="n">
        <f aca="false">0.4*J229+0.4*K229+0.2*L229</f>
        <v>0.161424311724257</v>
      </c>
    </row>
    <row r="230" customFormat="false" ht="15" hidden="false" customHeight="false" outlineLevel="0" collapsed="false">
      <c r="A230" s="3" t="s">
        <v>3</v>
      </c>
      <c r="B230" s="3" t="s">
        <v>221</v>
      </c>
      <c r="C230" s="3" t="s">
        <v>222</v>
      </c>
      <c r="D230" s="3" t="s">
        <v>464</v>
      </c>
      <c r="E230" s="3" t="n">
        <v>2635</v>
      </c>
      <c r="F230" s="3" t="n">
        <v>4</v>
      </c>
      <c r="G230" s="3" t="n">
        <v>654</v>
      </c>
      <c r="H230" s="4" t="n">
        <f aca="false">G230/E230</f>
        <v>0.24819734345351</v>
      </c>
      <c r="I230" s="3" t="n">
        <v>3.3</v>
      </c>
      <c r="J230" s="4" t="n">
        <f aca="false">(F230-Assumptions!$B$17)/(Assumptions!$C$17-Assumptions!$B$17)</f>
        <v>0.272727272727273</v>
      </c>
      <c r="K230" s="4" t="n">
        <f aca="false">(H230-Assumptions!$B$18)/(Assumptions!$C$18-Assumptions!$B$18)</f>
        <v>0.000232422494488613</v>
      </c>
      <c r="L230" s="4" t="n">
        <f aca="false">(I230-Assumptions!$B$19)/(Assumptions!$C$19-Assumptions!$B$19)</f>
        <v>0.658536585365854</v>
      </c>
      <c r="M230" s="4" t="n">
        <f aca="false">0.4*J230+0.4*K230+0.2*L230</f>
        <v>0.240891195161875</v>
      </c>
    </row>
    <row r="231" customFormat="false" ht="15" hidden="false" customHeight="false" outlineLevel="0" collapsed="false">
      <c r="A231" s="3" t="s">
        <v>3</v>
      </c>
      <c r="B231" s="3" t="s">
        <v>224</v>
      </c>
      <c r="C231" s="3" t="s">
        <v>222</v>
      </c>
      <c r="D231" s="3" t="s">
        <v>464</v>
      </c>
      <c r="E231" s="3" t="n">
        <v>1617</v>
      </c>
      <c r="F231" s="3" t="n">
        <v>4</v>
      </c>
      <c r="G231" s="3" t="n">
        <v>654</v>
      </c>
      <c r="H231" s="4" t="n">
        <f aca="false">G231/E231</f>
        <v>0.404452690166976</v>
      </c>
      <c r="I231" s="3" t="n">
        <v>3.3</v>
      </c>
      <c r="J231" s="4" t="n">
        <f aca="false">(F231-Assumptions!$B$17)/(Assumptions!$C$17-Assumptions!$B$17)</f>
        <v>0.272727272727273</v>
      </c>
      <c r="K231" s="4" t="n">
        <f aca="false">(H231-Assumptions!$B$18)/(Assumptions!$C$18-Assumptions!$B$18)</f>
        <v>0.000426302333095184</v>
      </c>
      <c r="L231" s="4" t="n">
        <f aca="false">(I231-Assumptions!$B$19)/(Assumptions!$C$19-Assumptions!$B$19)</f>
        <v>0.658536585365854</v>
      </c>
      <c r="M231" s="4" t="n">
        <f aca="false">0.4*J231+0.4*K231+0.2*L231</f>
        <v>0.240968747097318</v>
      </c>
    </row>
    <row r="232" customFormat="false" ht="15" hidden="false" customHeight="false" outlineLevel="0" collapsed="false">
      <c r="A232" s="3" t="s">
        <v>3</v>
      </c>
      <c r="B232" s="3" t="s">
        <v>225</v>
      </c>
      <c r="C232" s="3" t="s">
        <v>226</v>
      </c>
      <c r="D232" s="3" t="s">
        <v>465</v>
      </c>
      <c r="E232" s="3" t="n">
        <v>5</v>
      </c>
      <c r="F232" s="3" t="n">
        <v>6</v>
      </c>
      <c r="G232" s="3" t="n">
        <v>466</v>
      </c>
      <c r="H232" s="4" t="n">
        <f aca="false">G232/E232</f>
        <v>93.2</v>
      </c>
      <c r="I232" s="3" t="n">
        <v>3.2</v>
      </c>
      <c r="J232" s="4" t="n">
        <f aca="false">(F232-Assumptions!$B$17)/(Assumptions!$C$17-Assumptions!$B$17)</f>
        <v>0.454545454545455</v>
      </c>
      <c r="K232" s="4" t="n">
        <f aca="false">(H232-Assumptions!$B$18)/(Assumptions!$C$18-Assumptions!$B$18)</f>
        <v>0.115565951082718</v>
      </c>
      <c r="L232" s="4" t="n">
        <f aca="false">(I232-Assumptions!$B$19)/(Assumptions!$C$19-Assumptions!$B$19)</f>
        <v>0.634146341463415</v>
      </c>
      <c r="M232" s="4" t="n">
        <f aca="false">0.4*J232+0.4*K232+0.2*L232</f>
        <v>0.354873830543952</v>
      </c>
    </row>
    <row r="233" customFormat="false" ht="15" hidden="false" customHeight="false" outlineLevel="0" collapsed="false">
      <c r="A233" s="3" t="s">
        <v>3</v>
      </c>
      <c r="B233" s="3" t="s">
        <v>228</v>
      </c>
      <c r="C233" s="3" t="s">
        <v>229</v>
      </c>
      <c r="D233" s="3" t="s">
        <v>466</v>
      </c>
      <c r="E233" s="3" t="n">
        <v>8.5</v>
      </c>
      <c r="F233" s="3" t="n">
        <v>6</v>
      </c>
      <c r="G233" s="3" t="n">
        <v>690</v>
      </c>
      <c r="H233" s="4" t="n">
        <f aca="false">G233/E233</f>
        <v>81.1764705882353</v>
      </c>
      <c r="I233" s="3" t="n">
        <v>3.3</v>
      </c>
      <c r="J233" s="4" t="n">
        <f aca="false">(F233-Assumptions!$B$17)/(Assumptions!$C$17-Assumptions!$B$17)</f>
        <v>0.454545454545455</v>
      </c>
      <c r="K233" s="4" t="n">
        <f aca="false">(H233-Assumptions!$B$18)/(Assumptions!$C$18-Assumptions!$B$18)</f>
        <v>0.100647293956002</v>
      </c>
      <c r="L233" s="4" t="n">
        <f aca="false">(I233-Assumptions!$B$19)/(Assumptions!$C$19-Assumptions!$B$19)</f>
        <v>0.658536585365854</v>
      </c>
      <c r="M233" s="4" t="n">
        <f aca="false">0.4*J233+0.4*K233+0.2*L233</f>
        <v>0.353784416473753</v>
      </c>
    </row>
    <row r="234" customFormat="false" ht="15" hidden="false" customHeight="false" outlineLevel="0" collapsed="false">
      <c r="A234" s="3" t="s">
        <v>3</v>
      </c>
      <c r="B234" s="3" t="s">
        <v>231</v>
      </c>
      <c r="C234" s="3" t="s">
        <v>229</v>
      </c>
      <c r="D234" s="3" t="s">
        <v>466</v>
      </c>
      <c r="E234" s="3" t="n">
        <v>374</v>
      </c>
      <c r="F234" s="3" t="n">
        <v>6</v>
      </c>
      <c r="G234" s="3" t="n">
        <v>690</v>
      </c>
      <c r="H234" s="4" t="n">
        <f aca="false">G234/E234</f>
        <v>1.84491978609626</v>
      </c>
      <c r="I234" s="3" t="n">
        <v>3.3</v>
      </c>
      <c r="J234" s="4" t="n">
        <f aca="false">(F234-Assumptions!$B$17)/(Assumptions!$C$17-Assumptions!$B$17)</f>
        <v>0.454545454545455</v>
      </c>
      <c r="K234" s="4" t="n">
        <f aca="false">(H234-Assumptions!$B$18)/(Assumptions!$C$18-Assumptions!$B$18)</f>
        <v>0.00221361735271479</v>
      </c>
      <c r="L234" s="4" t="n">
        <f aca="false">(I234-Assumptions!$B$19)/(Assumptions!$C$19-Assumptions!$B$19)</f>
        <v>0.658536585365854</v>
      </c>
      <c r="M234" s="4" t="n">
        <f aca="false">0.4*J234+0.4*K234+0.2*L234</f>
        <v>0.314410945832438</v>
      </c>
    </row>
    <row r="235" customFormat="false" ht="15" hidden="false" customHeight="false" outlineLevel="0" collapsed="false">
      <c r="A235" s="3" t="s">
        <v>3</v>
      </c>
      <c r="B235" s="3" t="s">
        <v>232</v>
      </c>
      <c r="C235" s="3" t="s">
        <v>233</v>
      </c>
      <c r="D235" s="3" t="s">
        <v>467</v>
      </c>
      <c r="E235" s="3" t="n">
        <v>2</v>
      </c>
      <c r="F235" s="3" t="n">
        <v>11</v>
      </c>
      <c r="G235" s="3" t="n">
        <v>314</v>
      </c>
      <c r="H235" s="4" t="n">
        <f aca="false">G235/E235</f>
        <v>157</v>
      </c>
      <c r="I235" s="3" t="n">
        <v>4.7</v>
      </c>
      <c r="J235" s="4" t="n">
        <f aca="false">(F235-Assumptions!$B$17)/(Assumptions!$C$17-Assumptions!$B$17)</f>
        <v>0.909090909090909</v>
      </c>
      <c r="K235" s="4" t="n">
        <f aca="false">(H235-Assumptions!$B$18)/(Assumptions!$C$18-Assumptions!$B$18)</f>
        <v>0.194728257930252</v>
      </c>
      <c r="L235" s="4" t="n">
        <f aca="false">(I235-Assumptions!$B$19)/(Assumptions!$C$19-Assumptions!$B$19)</f>
        <v>1</v>
      </c>
      <c r="M235" s="4" t="n">
        <f aca="false">0.4*J235+0.4*K235+0.2*L235</f>
        <v>0.641527666808465</v>
      </c>
    </row>
    <row r="236" customFormat="false" ht="15" hidden="false" customHeight="false" outlineLevel="0" collapsed="false">
      <c r="A236" s="3" t="s">
        <v>3</v>
      </c>
      <c r="B236" s="3" t="s">
        <v>235</v>
      </c>
      <c r="C236" s="3" t="s">
        <v>233</v>
      </c>
      <c r="D236" s="3" t="s">
        <v>467</v>
      </c>
      <c r="E236" s="3" t="n">
        <v>8.5</v>
      </c>
      <c r="F236" s="3" t="n">
        <v>11</v>
      </c>
      <c r="G236" s="3" t="n">
        <v>314</v>
      </c>
      <c r="H236" s="4" t="n">
        <f aca="false">G236/E236</f>
        <v>36.9411764705882</v>
      </c>
      <c r="I236" s="3" t="n">
        <v>4.7</v>
      </c>
      <c r="J236" s="4" t="n">
        <f aca="false">(F236-Assumptions!$B$17)/(Assumptions!$C$17-Assumptions!$B$17)</f>
        <v>0.909090909090909</v>
      </c>
      <c r="K236" s="4" t="n">
        <f aca="false">(H236-Assumptions!$B$18)/(Assumptions!$C$18-Assumptions!$B$18)</f>
        <v>0.0457606493410783</v>
      </c>
      <c r="L236" s="4" t="n">
        <f aca="false">(I236-Assumptions!$B$19)/(Assumptions!$C$19-Assumptions!$B$19)</f>
        <v>1</v>
      </c>
      <c r="M236" s="4" t="n">
        <f aca="false">0.4*J236+0.4*K236+0.2*L236</f>
        <v>0.581940623372795</v>
      </c>
    </row>
    <row r="237" customFormat="false" ht="15" hidden="false" customHeight="false" outlineLevel="0" collapsed="false">
      <c r="A237" s="3" t="s">
        <v>3</v>
      </c>
      <c r="B237" s="3" t="s">
        <v>236</v>
      </c>
      <c r="C237" s="3" t="s">
        <v>237</v>
      </c>
      <c r="D237" s="3" t="s">
        <v>468</v>
      </c>
      <c r="E237" s="3" t="n">
        <v>401.5</v>
      </c>
      <c r="F237" s="3" t="n">
        <v>6</v>
      </c>
      <c r="G237" s="3" t="n">
        <v>394</v>
      </c>
      <c r="H237" s="4" t="n">
        <f aca="false">G237/E237</f>
        <v>0.981320049813201</v>
      </c>
      <c r="I237" s="3" t="n">
        <v>3.2</v>
      </c>
      <c r="J237" s="4" t="n">
        <f aca="false">(F237-Assumptions!$B$17)/(Assumptions!$C$17-Assumptions!$B$17)</f>
        <v>0.454545454545455</v>
      </c>
      <c r="K237" s="4" t="n">
        <f aca="false">(H237-Assumptions!$B$18)/(Assumptions!$C$18-Assumptions!$B$18)</f>
        <v>0.00114207272392029</v>
      </c>
      <c r="L237" s="4" t="n">
        <f aca="false">(I237-Assumptions!$B$19)/(Assumptions!$C$19-Assumptions!$B$19)</f>
        <v>0.634146341463415</v>
      </c>
      <c r="M237" s="4" t="n">
        <f aca="false">0.4*J237+0.4*K237+0.2*L237</f>
        <v>0.309104279200433</v>
      </c>
    </row>
    <row r="238" customFormat="false" ht="15" hidden="false" customHeight="false" outlineLevel="0" collapsed="false">
      <c r="A238" s="3" t="s">
        <v>3</v>
      </c>
      <c r="B238" s="3" t="s">
        <v>239</v>
      </c>
      <c r="C238" s="3" t="s">
        <v>240</v>
      </c>
      <c r="D238" s="3" t="s">
        <v>469</v>
      </c>
      <c r="E238" s="3" t="n">
        <v>42.5</v>
      </c>
      <c r="F238" s="3" t="n">
        <v>4</v>
      </c>
      <c r="G238" s="3" t="n">
        <v>814</v>
      </c>
      <c r="H238" s="4" t="n">
        <f aca="false">G238/E238</f>
        <v>19.1529411764706</v>
      </c>
      <c r="I238" s="3" t="n">
        <v>2.4</v>
      </c>
      <c r="J238" s="4" t="n">
        <f aca="false">(F238-Assumptions!$B$17)/(Assumptions!$C$17-Assumptions!$B$17)</f>
        <v>0.272727272727273</v>
      </c>
      <c r="K238" s="4" t="n">
        <f aca="false">(H238-Assumptions!$B$18)/(Assumptions!$C$18-Assumptions!$B$18)</f>
        <v>0.0236892114001835</v>
      </c>
      <c r="L238" s="4" t="n">
        <f aca="false">(I238-Assumptions!$B$19)/(Assumptions!$C$19-Assumptions!$B$19)</f>
        <v>0.439024390243902</v>
      </c>
      <c r="M238" s="4" t="n">
        <f aca="false">0.4*J238+0.4*K238+0.2*L238</f>
        <v>0.206371471699763</v>
      </c>
    </row>
    <row r="239" customFormat="false" ht="15" hidden="false" customHeight="false" outlineLevel="0" collapsed="false">
      <c r="A239" s="3" t="s">
        <v>3</v>
      </c>
      <c r="B239" s="3" t="s">
        <v>242</v>
      </c>
      <c r="C239" s="3" t="s">
        <v>243</v>
      </c>
      <c r="D239" s="3" t="s">
        <v>470</v>
      </c>
      <c r="E239" s="3" t="n">
        <v>21</v>
      </c>
      <c r="F239" s="3" t="n">
        <v>8</v>
      </c>
      <c r="G239" s="3" t="n">
        <v>430</v>
      </c>
      <c r="H239" s="4" t="n">
        <f aca="false">G239/E239</f>
        <v>20.4761904761905</v>
      </c>
      <c r="I239" s="3" t="n">
        <v>3.2</v>
      </c>
      <c r="J239" s="4" t="n">
        <f aca="false">(F239-Assumptions!$B$17)/(Assumptions!$C$17-Assumptions!$B$17)</f>
        <v>0.636363636363636</v>
      </c>
      <c r="K239" s="4" t="n">
        <f aca="false">(H239-Assumptions!$B$18)/(Assumptions!$C$18-Assumptions!$B$18)</f>
        <v>0.0253310839252652</v>
      </c>
      <c r="L239" s="4" t="n">
        <f aca="false">(I239-Assumptions!$B$19)/(Assumptions!$C$19-Assumptions!$B$19)</f>
        <v>0.634146341463415</v>
      </c>
      <c r="M239" s="4" t="n">
        <f aca="false">0.4*J239+0.4*K239+0.2*L239</f>
        <v>0.391507156408244</v>
      </c>
    </row>
    <row r="240" customFormat="false" ht="15" hidden="false" customHeight="false" outlineLevel="0" collapsed="false">
      <c r="A240" s="3" t="s">
        <v>3</v>
      </c>
      <c r="B240" s="3" t="s">
        <v>245</v>
      </c>
      <c r="C240" s="3" t="s">
        <v>243</v>
      </c>
      <c r="D240" s="3" t="s">
        <v>470</v>
      </c>
      <c r="E240" s="3" t="n">
        <v>27.5</v>
      </c>
      <c r="F240" s="3" t="n">
        <v>8</v>
      </c>
      <c r="G240" s="3" t="n">
        <v>430</v>
      </c>
      <c r="H240" s="4" t="n">
        <f aca="false">G240/E240</f>
        <v>15.6363636363636</v>
      </c>
      <c r="I240" s="3" t="n">
        <v>3.2</v>
      </c>
      <c r="J240" s="4" t="n">
        <f aca="false">(F240-Assumptions!$B$17)/(Assumptions!$C$17-Assumptions!$B$17)</f>
        <v>0.636363636363636</v>
      </c>
      <c r="K240" s="4" t="n">
        <f aca="false">(H240-Assumptions!$B$18)/(Assumptions!$C$18-Assumptions!$B$18)</f>
        <v>0.0193258823988811</v>
      </c>
      <c r="L240" s="4" t="n">
        <f aca="false">(I240-Assumptions!$B$19)/(Assumptions!$C$19-Assumptions!$B$19)</f>
        <v>0.634146341463415</v>
      </c>
      <c r="M240" s="4" t="n">
        <f aca="false">0.4*J240+0.4*K240+0.2*L240</f>
        <v>0.38910507579769</v>
      </c>
    </row>
    <row r="241" customFormat="false" ht="15" hidden="false" customHeight="false" outlineLevel="0" collapsed="false">
      <c r="A241" s="3" t="s">
        <v>3</v>
      </c>
      <c r="B241" s="3" t="s">
        <v>246</v>
      </c>
      <c r="C241" s="3" t="s">
        <v>243</v>
      </c>
      <c r="D241" s="3" t="s">
        <v>470</v>
      </c>
      <c r="E241" s="3" t="n">
        <v>20.5</v>
      </c>
      <c r="F241" s="3" t="n">
        <v>8</v>
      </c>
      <c r="G241" s="3" t="n">
        <v>430</v>
      </c>
      <c r="H241" s="4" t="n">
        <f aca="false">G241/E241</f>
        <v>20.9756097560976</v>
      </c>
      <c r="I241" s="3" t="n">
        <v>3.2</v>
      </c>
      <c r="J241" s="4" t="n">
        <f aca="false">(F241-Assumptions!$B$17)/(Assumptions!$C$17-Assumptions!$B$17)</f>
        <v>0.636363636363636</v>
      </c>
      <c r="K241" s="4" t="n">
        <f aca="false">(H241-Assumptions!$B$18)/(Assumptions!$C$18-Assumptions!$B$18)</f>
        <v>0.0259507576287382</v>
      </c>
      <c r="L241" s="4" t="n">
        <f aca="false">(I241-Assumptions!$B$19)/(Assumptions!$C$19-Assumptions!$B$19)</f>
        <v>0.634146341463415</v>
      </c>
      <c r="M241" s="4" t="n">
        <f aca="false">0.4*J241+0.4*K241+0.2*L241</f>
        <v>0.391755025889633</v>
      </c>
    </row>
    <row r="242" customFormat="false" ht="15" hidden="false" customHeight="false" outlineLevel="0" collapsed="false">
      <c r="A242" s="3" t="s">
        <v>3</v>
      </c>
      <c r="B242" s="3" t="s">
        <v>247</v>
      </c>
      <c r="C242" s="3" t="s">
        <v>248</v>
      </c>
      <c r="D242" s="3" t="s">
        <v>471</v>
      </c>
      <c r="E242" s="3" t="n">
        <v>230.5</v>
      </c>
      <c r="F242" s="3" t="n">
        <v>4</v>
      </c>
      <c r="G242" s="3" t="n">
        <v>654</v>
      </c>
      <c r="H242" s="4" t="n">
        <f aca="false">G242/E242</f>
        <v>2.83731019522777</v>
      </c>
      <c r="I242" s="3" t="n">
        <v>3.3</v>
      </c>
      <c r="J242" s="4" t="n">
        <f aca="false">(F242-Assumptions!$B$17)/(Assumptions!$C$17-Assumptions!$B$17)</f>
        <v>0.272727272727273</v>
      </c>
      <c r="K242" s="4" t="n">
        <f aca="false">(H242-Assumptions!$B$18)/(Assumptions!$C$18-Assumptions!$B$18)</f>
        <v>0.0034449639683922</v>
      </c>
      <c r="L242" s="4" t="n">
        <f aca="false">(I242-Assumptions!$B$19)/(Assumptions!$C$19-Assumptions!$B$19)</f>
        <v>0.658536585365854</v>
      </c>
      <c r="M242" s="4" t="n">
        <f aca="false">0.4*J242+0.4*K242+0.2*L242</f>
        <v>0.242176211751437</v>
      </c>
    </row>
    <row r="243" customFormat="false" ht="15" hidden="false" customHeight="false" outlineLevel="0" collapsed="false">
      <c r="A243" s="3" t="s">
        <v>3</v>
      </c>
      <c r="B243" s="3" t="s">
        <v>250</v>
      </c>
      <c r="C243" s="3" t="s">
        <v>251</v>
      </c>
      <c r="D243" s="3" t="s">
        <v>472</v>
      </c>
      <c r="E243" s="3" t="n">
        <v>2729</v>
      </c>
      <c r="F243" s="3" t="n">
        <v>3</v>
      </c>
      <c r="G243" s="3" t="n">
        <v>814</v>
      </c>
      <c r="H243" s="4" t="n">
        <f aca="false">G243/E243</f>
        <v>0.298277757420301</v>
      </c>
      <c r="I243" s="3" t="n">
        <v>2.4</v>
      </c>
      <c r="J243" s="4" t="n">
        <f aca="false">(F243-Assumptions!$B$17)/(Assumptions!$C$17-Assumptions!$B$17)</f>
        <v>0.181818181818182</v>
      </c>
      <c r="K243" s="4" t="n">
        <f aca="false">(H243-Assumptions!$B$18)/(Assumptions!$C$18-Assumptions!$B$18)</f>
        <v>0.000294561696643638</v>
      </c>
      <c r="L243" s="4" t="n">
        <f aca="false">(I243-Assumptions!$B$19)/(Assumptions!$C$19-Assumptions!$B$19)</f>
        <v>0.439024390243902</v>
      </c>
      <c r="M243" s="4" t="n">
        <f aca="false">0.4*J243+0.4*K243+0.2*L243</f>
        <v>0.160649975454711</v>
      </c>
    </row>
    <row r="244" customFormat="false" ht="15" hidden="false" customHeight="false" outlineLevel="0" collapsed="false">
      <c r="A244" s="3" t="s">
        <v>3</v>
      </c>
      <c r="B244" s="3" t="s">
        <v>263</v>
      </c>
      <c r="C244" s="3" t="s">
        <v>264</v>
      </c>
      <c r="D244" s="3" t="s">
        <v>449</v>
      </c>
      <c r="E244" s="3" t="n">
        <v>7.5</v>
      </c>
      <c r="F244" s="3" t="n">
        <v>6</v>
      </c>
      <c r="G244" s="3" t="n">
        <v>654</v>
      </c>
      <c r="H244" s="4" t="n">
        <f aca="false">G244/E244</f>
        <v>87.2</v>
      </c>
      <c r="I244" s="3" t="n">
        <v>3.3</v>
      </c>
      <c r="J244" s="4" t="n">
        <f aca="false">(F244-Assumptions!$B$17)/(Assumptions!$C$17-Assumptions!$B$17)</f>
        <v>0.454545454545455</v>
      </c>
      <c r="K244" s="4" t="n">
        <f aca="false">(H244-Assumptions!$B$18)/(Assumptions!$C$18-Assumptions!$B$18)</f>
        <v>0.108121220031225</v>
      </c>
      <c r="L244" s="4" t="n">
        <f aca="false">(I244-Assumptions!$B$19)/(Assumptions!$C$19-Assumptions!$B$19)</f>
        <v>0.658536585365854</v>
      </c>
      <c r="M244" s="4" t="n">
        <f aca="false">0.4*J244+0.4*K244+0.2*L244</f>
        <v>0.356773986903843</v>
      </c>
    </row>
    <row r="245" customFormat="false" ht="15" hidden="false" customHeight="false" outlineLevel="0" collapsed="false">
      <c r="A245" s="3" t="s">
        <v>3</v>
      </c>
      <c r="B245" s="3" t="s">
        <v>265</v>
      </c>
      <c r="C245" s="3" t="s">
        <v>266</v>
      </c>
      <c r="D245" s="3" t="s">
        <v>473</v>
      </c>
      <c r="E245" s="3" t="n">
        <v>5.5</v>
      </c>
      <c r="F245" s="3" t="n">
        <v>6</v>
      </c>
      <c r="G245" s="3" t="n">
        <v>394</v>
      </c>
      <c r="H245" s="4" t="n">
        <f aca="false">G245/E245</f>
        <v>71.6363636363636</v>
      </c>
      <c r="I245" s="3" t="n">
        <v>3.2</v>
      </c>
      <c r="J245" s="4" t="n">
        <f aca="false">(F245-Assumptions!$B$17)/(Assumptions!$C$17-Assumptions!$B$17)</f>
        <v>0.454545454545455</v>
      </c>
      <c r="K245" s="4" t="n">
        <f aca="false">(H245-Assumptions!$B$18)/(Assumptions!$C$18-Assumptions!$B$18)</f>
        <v>0.0888100388794757</v>
      </c>
      <c r="L245" s="4" t="n">
        <f aca="false">(I245-Assumptions!$B$19)/(Assumptions!$C$19-Assumptions!$B$19)</f>
        <v>0.634146341463415</v>
      </c>
      <c r="M245" s="4" t="n">
        <f aca="false">0.4*J245+0.4*K245+0.2*L245</f>
        <v>0.344171465662655</v>
      </c>
    </row>
    <row r="246" customFormat="false" ht="15" hidden="false" customHeight="false" outlineLevel="0" collapsed="false">
      <c r="A246" s="3" t="s">
        <v>3</v>
      </c>
      <c r="B246" s="3" t="s">
        <v>268</v>
      </c>
      <c r="C246" s="3" t="s">
        <v>266</v>
      </c>
      <c r="D246" s="3" t="s">
        <v>473</v>
      </c>
      <c r="E246" s="3" t="n">
        <v>28</v>
      </c>
      <c r="F246" s="3" t="n">
        <v>6</v>
      </c>
      <c r="G246" s="3" t="n">
        <v>394</v>
      </c>
      <c r="H246" s="4" t="n">
        <f aca="false">G246/E246</f>
        <v>14.0714285714286</v>
      </c>
      <c r="I246" s="3" t="n">
        <v>3.2</v>
      </c>
      <c r="J246" s="4" t="n">
        <f aca="false">(F246-Assumptions!$B$17)/(Assumptions!$C$17-Assumptions!$B$17)</f>
        <v>0.454545454545455</v>
      </c>
      <c r="K246" s="4" t="n">
        <f aca="false">(H246-Assumptions!$B$18)/(Assumptions!$C$18-Assumptions!$B$18)</f>
        <v>0.0173841289536326</v>
      </c>
      <c r="L246" s="4" t="n">
        <f aca="false">(I246-Assumptions!$B$19)/(Assumptions!$C$19-Assumptions!$B$19)</f>
        <v>0.634146341463415</v>
      </c>
      <c r="M246" s="4" t="n">
        <f aca="false">0.4*J246+0.4*K246+0.2*L246</f>
        <v>0.315601101692318</v>
      </c>
    </row>
    <row r="247" customFormat="false" ht="15" hidden="false" customHeight="false" outlineLevel="0" collapsed="false">
      <c r="A247" s="3" t="s">
        <v>3</v>
      </c>
      <c r="B247" s="3" t="s">
        <v>269</v>
      </c>
      <c r="C247" s="3" t="s">
        <v>270</v>
      </c>
      <c r="D247" s="3" t="s">
        <v>474</v>
      </c>
      <c r="E247" s="3" t="n">
        <v>389</v>
      </c>
      <c r="F247" s="3" t="n">
        <v>4</v>
      </c>
      <c r="G247" s="3" t="n">
        <v>726</v>
      </c>
      <c r="H247" s="4" t="n">
        <f aca="false">G247/E247</f>
        <v>1.86632390745501</v>
      </c>
      <c r="I247" s="3" t="n">
        <v>3.3</v>
      </c>
      <c r="J247" s="4" t="n">
        <f aca="false">(F247-Assumptions!$B$17)/(Assumptions!$C$17-Assumptions!$B$17)</f>
        <v>0.272727272727273</v>
      </c>
      <c r="K247" s="4" t="n">
        <f aca="false">(H247-Assumptions!$B$18)/(Assumptions!$C$18-Assumptions!$B$18)</f>
        <v>0.00224017534053303</v>
      </c>
      <c r="L247" s="4" t="n">
        <f aca="false">(I247-Assumptions!$B$19)/(Assumptions!$C$19-Assumptions!$B$19)</f>
        <v>0.658536585365854</v>
      </c>
      <c r="M247" s="4" t="n">
        <f aca="false">0.4*J247+0.4*K247+0.2*L247</f>
        <v>0.241694296300293</v>
      </c>
    </row>
    <row r="248" customFormat="false" ht="15" hidden="false" customHeight="false" outlineLevel="0" collapsed="false">
      <c r="A248" s="3" t="s">
        <v>3</v>
      </c>
      <c r="B248" s="3" t="s">
        <v>272</v>
      </c>
      <c r="C248" s="3" t="s">
        <v>273</v>
      </c>
      <c r="D248" s="3" t="s">
        <v>475</v>
      </c>
      <c r="E248" s="3" t="n">
        <v>3.5</v>
      </c>
      <c r="F248" s="3" t="n">
        <v>6</v>
      </c>
      <c r="G248" s="3" t="n">
        <v>430</v>
      </c>
      <c r="H248" s="4" t="n">
        <f aca="false">G248/E248</f>
        <v>122.857142857143</v>
      </c>
      <c r="I248" s="3" t="n">
        <v>3.2</v>
      </c>
      <c r="J248" s="4" t="n">
        <f aca="false">(F248-Assumptions!$B$17)/(Assumptions!$C$17-Assumptions!$B$17)</f>
        <v>0.454545454545455</v>
      </c>
      <c r="K248" s="4" t="n">
        <f aca="false">(H248-Assumptions!$B$18)/(Assumptions!$C$18-Assumptions!$B$18)</f>
        <v>0.152364193137237</v>
      </c>
      <c r="L248" s="4" t="n">
        <f aca="false">(I248-Assumptions!$B$19)/(Assumptions!$C$19-Assumptions!$B$19)</f>
        <v>0.634146341463415</v>
      </c>
      <c r="M248" s="4" t="n">
        <f aca="false">0.4*J248+0.4*K248+0.2*L248</f>
        <v>0.369593127365759</v>
      </c>
    </row>
    <row r="249" customFormat="false" ht="15" hidden="false" customHeight="false" outlineLevel="0" collapsed="false">
      <c r="A249" s="3" t="s">
        <v>3</v>
      </c>
      <c r="B249" s="3" t="s">
        <v>275</v>
      </c>
      <c r="C249" s="3" t="s">
        <v>276</v>
      </c>
      <c r="D249" s="3" t="s">
        <v>476</v>
      </c>
      <c r="E249" s="3" t="n">
        <v>4</v>
      </c>
      <c r="F249" s="3" t="n">
        <v>4</v>
      </c>
      <c r="G249" s="3" t="n">
        <v>814</v>
      </c>
      <c r="H249" s="4" t="n">
        <f aca="false">G249/E249</f>
        <v>203.5</v>
      </c>
      <c r="I249" s="3" t="n">
        <v>2.4</v>
      </c>
      <c r="J249" s="4" t="n">
        <f aca="false">(F249-Assumptions!$B$17)/(Assumptions!$C$17-Assumptions!$B$17)</f>
        <v>0.272727272727273</v>
      </c>
      <c r="K249" s="4" t="n">
        <f aca="false">(H249-Assumptions!$B$18)/(Assumptions!$C$18-Assumptions!$B$18)</f>
        <v>0.252424923579317</v>
      </c>
      <c r="L249" s="4" t="n">
        <f aca="false">(I249-Assumptions!$B$19)/(Assumptions!$C$19-Assumptions!$B$19)</f>
        <v>0.439024390243902</v>
      </c>
      <c r="M249" s="4" t="n">
        <f aca="false">0.4*J249+0.4*K249+0.2*L249</f>
        <v>0.297865756571416</v>
      </c>
    </row>
    <row r="250" customFormat="false" ht="15" hidden="false" customHeight="false" outlineLevel="0" collapsed="false">
      <c r="A250" s="3" t="s">
        <v>3</v>
      </c>
      <c r="B250" s="3" t="s">
        <v>278</v>
      </c>
      <c r="C250" s="3" t="s">
        <v>279</v>
      </c>
      <c r="D250" s="3" t="s">
        <v>477</v>
      </c>
      <c r="E250" s="3" t="n">
        <v>1899.5</v>
      </c>
      <c r="F250" s="3" t="n">
        <v>3</v>
      </c>
      <c r="G250" s="3" t="n">
        <v>814</v>
      </c>
      <c r="H250" s="4" t="n">
        <f aca="false">G250/E250</f>
        <v>0.428533824690708</v>
      </c>
      <c r="I250" s="3" t="n">
        <v>2.4</v>
      </c>
      <c r="J250" s="4" t="n">
        <f aca="false">(F250-Assumptions!$B$17)/(Assumptions!$C$17-Assumptions!$B$17)</f>
        <v>0.181818181818182</v>
      </c>
      <c r="K250" s="4" t="n">
        <f aca="false">(H250-Assumptions!$B$18)/(Assumptions!$C$18-Assumptions!$B$18)</f>
        <v>0.000456181928085849</v>
      </c>
      <c r="L250" s="4" t="n">
        <f aca="false">(I250-Assumptions!$B$19)/(Assumptions!$C$19-Assumptions!$B$19)</f>
        <v>0.439024390243902</v>
      </c>
      <c r="M250" s="4" t="n">
        <f aca="false">0.4*J250+0.4*K250+0.2*L250</f>
        <v>0.160714623547288</v>
      </c>
    </row>
    <row r="251" customFormat="false" ht="15" hidden="false" customHeight="false" outlineLevel="0" collapsed="false">
      <c r="A251" s="3" t="s">
        <v>3</v>
      </c>
      <c r="B251" s="3" t="s">
        <v>281</v>
      </c>
      <c r="C251" s="3" t="s">
        <v>282</v>
      </c>
      <c r="D251" s="3" t="s">
        <v>478</v>
      </c>
      <c r="E251" s="3" t="n">
        <v>4.5</v>
      </c>
      <c r="F251" s="3" t="n">
        <v>8</v>
      </c>
      <c r="G251" s="3" t="n">
        <v>466</v>
      </c>
      <c r="H251" s="4" t="n">
        <f aca="false">G251/E251</f>
        <v>103.555555555556</v>
      </c>
      <c r="I251" s="3" t="n">
        <v>3.2</v>
      </c>
      <c r="J251" s="4" t="n">
        <f aca="false">(F251-Assumptions!$B$17)/(Assumptions!$C$17-Assumptions!$B$17)</f>
        <v>0.636363636363636</v>
      </c>
      <c r="K251" s="4" t="n">
        <f aca="false">(H251-Assumptions!$B$18)/(Assumptions!$C$18-Assumptions!$B$18)</f>
        <v>0.128415005416034</v>
      </c>
      <c r="L251" s="4" t="n">
        <f aca="false">(I251-Assumptions!$B$19)/(Assumptions!$C$19-Assumptions!$B$19)</f>
        <v>0.634146341463415</v>
      </c>
      <c r="M251" s="4" t="n">
        <f aca="false">0.4*J251+0.4*K251+0.2*L251</f>
        <v>0.432740725004551</v>
      </c>
    </row>
    <row r="252" customFormat="false" ht="15" hidden="false" customHeight="false" outlineLevel="0" collapsed="false">
      <c r="A252" s="3" t="s">
        <v>3</v>
      </c>
      <c r="B252" s="3" t="s">
        <v>284</v>
      </c>
      <c r="C252" s="3" t="s">
        <v>285</v>
      </c>
      <c r="D252" s="3" t="s">
        <v>479</v>
      </c>
      <c r="E252" s="3" t="n">
        <v>56</v>
      </c>
      <c r="F252" s="3" t="n">
        <v>12</v>
      </c>
      <c r="G252" s="3" t="n">
        <v>350</v>
      </c>
      <c r="H252" s="4" t="n">
        <f aca="false">G252/E252</f>
        <v>6.25</v>
      </c>
      <c r="I252" s="3" t="n">
        <v>4.7</v>
      </c>
      <c r="J252" s="4" t="n">
        <f aca="false">(F252-Assumptions!$B$17)/(Assumptions!$C$17-Assumptions!$B$17)</f>
        <v>1</v>
      </c>
      <c r="K252" s="4" t="n">
        <f aca="false">(H252-Assumptions!$B$18)/(Assumptions!$C$18-Assumptions!$B$18)</f>
        <v>0.00767939026150869</v>
      </c>
      <c r="L252" s="4" t="n">
        <f aca="false">(I252-Assumptions!$B$19)/(Assumptions!$C$19-Assumptions!$B$19)</f>
        <v>1</v>
      </c>
      <c r="M252" s="4" t="n">
        <f aca="false">0.4*J252+0.4*K252+0.2*L252</f>
        <v>0.603071756104604</v>
      </c>
    </row>
    <row r="253" customFormat="false" ht="15" hidden="false" customHeight="false" outlineLevel="0" collapsed="false">
      <c r="A253" s="3" t="s">
        <v>3</v>
      </c>
      <c r="B253" s="3" t="s">
        <v>287</v>
      </c>
      <c r="C253" s="3" t="s">
        <v>288</v>
      </c>
      <c r="D253" s="3" t="s">
        <v>480</v>
      </c>
      <c r="E253" s="3" t="n">
        <v>61</v>
      </c>
      <c r="F253" s="3" t="n">
        <v>4</v>
      </c>
      <c r="G253" s="3" t="n">
        <v>690</v>
      </c>
      <c r="H253" s="4" t="n">
        <f aca="false">G253/E253</f>
        <v>11.3114754098361</v>
      </c>
      <c r="I253" s="3" t="n">
        <v>3.3</v>
      </c>
      <c r="J253" s="4" t="n">
        <f aca="false">(F253-Assumptions!$B$17)/(Assumptions!$C$17-Assumptions!$B$17)</f>
        <v>0.272727272727273</v>
      </c>
      <c r="K253" s="4" t="n">
        <f aca="false">(H253-Assumptions!$B$18)/(Assumptions!$C$18-Assumptions!$B$18)</f>
        <v>0.0139596107865039</v>
      </c>
      <c r="L253" s="4" t="n">
        <f aca="false">(I253-Assumptions!$B$19)/(Assumptions!$C$19-Assumptions!$B$19)</f>
        <v>0.658536585365854</v>
      </c>
      <c r="M253" s="4" t="n">
        <f aca="false">0.4*J253+0.4*K253+0.2*L253</f>
        <v>0.246382070478681</v>
      </c>
    </row>
    <row r="254" customFormat="false" ht="15" hidden="false" customHeight="false" outlineLevel="0" collapsed="false">
      <c r="A254" s="3" t="s">
        <v>3</v>
      </c>
      <c r="B254" s="3" t="s">
        <v>290</v>
      </c>
      <c r="C254" s="3" t="s">
        <v>288</v>
      </c>
      <c r="D254" s="3" t="s">
        <v>480</v>
      </c>
      <c r="E254" s="3" t="n">
        <v>3438</v>
      </c>
      <c r="F254" s="3" t="n">
        <v>4</v>
      </c>
      <c r="G254" s="3" t="n">
        <v>690</v>
      </c>
      <c r="H254" s="4" t="n">
        <f aca="false">G254/E254</f>
        <v>0.200698080279232</v>
      </c>
      <c r="I254" s="3" t="n">
        <v>3.3</v>
      </c>
      <c r="J254" s="4" t="n">
        <f aca="false">(F254-Assumptions!$B$17)/(Assumptions!$C$17-Assumptions!$B$17)</f>
        <v>0.272727272727273</v>
      </c>
      <c r="K254" s="4" t="n">
        <f aca="false">(H254-Assumptions!$B$18)/(Assumptions!$C$18-Assumptions!$B$18)</f>
        <v>0.000173485954575854</v>
      </c>
      <c r="L254" s="4" t="n">
        <f aca="false">(I254-Assumptions!$B$19)/(Assumptions!$C$19-Assumptions!$B$19)</f>
        <v>0.658536585365854</v>
      </c>
      <c r="M254" s="4" t="n">
        <f aca="false">0.4*J254+0.4*K254+0.2*L254</f>
        <v>0.24086762054591</v>
      </c>
    </row>
    <row r="255" customFormat="false" ht="15" hidden="false" customHeight="false" outlineLevel="0" collapsed="false">
      <c r="A255" s="3" t="s">
        <v>3</v>
      </c>
      <c r="B255" s="3" t="s">
        <v>291</v>
      </c>
      <c r="C255" s="3" t="s">
        <v>288</v>
      </c>
      <c r="D255" s="3" t="s">
        <v>480</v>
      </c>
      <c r="E255" s="3" t="n">
        <v>12.5</v>
      </c>
      <c r="F255" s="3" t="n">
        <v>4</v>
      </c>
      <c r="G255" s="3" t="n">
        <v>690</v>
      </c>
      <c r="H255" s="4" t="n">
        <f aca="false">G255/E255</f>
        <v>55.2</v>
      </c>
      <c r="I255" s="3" t="n">
        <v>3.3</v>
      </c>
      <c r="J255" s="4" t="n">
        <f aca="false">(F255-Assumptions!$B$17)/(Assumptions!$C$17-Assumptions!$B$17)</f>
        <v>0.272727272727273</v>
      </c>
      <c r="K255" s="4" t="n">
        <f aca="false">(H255-Assumptions!$B$18)/(Assumptions!$C$18-Assumptions!$B$18)</f>
        <v>0.0684159877565999</v>
      </c>
      <c r="L255" s="4" t="n">
        <f aca="false">(I255-Assumptions!$B$19)/(Assumptions!$C$19-Assumptions!$B$19)</f>
        <v>0.658536585365854</v>
      </c>
      <c r="M255" s="4" t="n">
        <f aca="false">0.4*J255+0.4*K255+0.2*L255</f>
        <v>0.26816462126672</v>
      </c>
    </row>
    <row r="256" customFormat="false" ht="15" hidden="false" customHeight="false" outlineLevel="0" collapsed="false">
      <c r="A256" s="3" t="s">
        <v>3</v>
      </c>
      <c r="B256" s="3" t="s">
        <v>292</v>
      </c>
      <c r="C256" s="3" t="s">
        <v>288</v>
      </c>
      <c r="D256" s="3" t="s">
        <v>480</v>
      </c>
      <c r="E256" s="3" t="n">
        <v>2400</v>
      </c>
      <c r="F256" s="3" t="n">
        <v>4</v>
      </c>
      <c r="G256" s="3" t="n">
        <v>690</v>
      </c>
      <c r="H256" s="4" t="n">
        <f aca="false">G256/E256</f>
        <v>0.2875</v>
      </c>
      <c r="I256" s="3" t="n">
        <v>3.3</v>
      </c>
      <c r="J256" s="4" t="n">
        <f aca="false">(F256-Assumptions!$B$17)/(Assumptions!$C$17-Assumptions!$B$17)</f>
        <v>0.272727272727273</v>
      </c>
      <c r="K256" s="4" t="n">
        <f aca="false">(H256-Assumptions!$B$18)/(Assumptions!$C$18-Assumptions!$B$18)</f>
        <v>0.000281188779088244</v>
      </c>
      <c r="L256" s="4" t="n">
        <f aca="false">(I256-Assumptions!$B$19)/(Assumptions!$C$19-Assumptions!$B$19)</f>
        <v>0.658536585365854</v>
      </c>
      <c r="M256" s="4" t="n">
        <f aca="false">0.4*J256+0.4*K256+0.2*L256</f>
        <v>0.240910701675715</v>
      </c>
    </row>
    <row r="257" customFormat="false" ht="15" hidden="false" customHeight="false" outlineLevel="0" collapsed="false">
      <c r="A257" s="3" t="s">
        <v>3</v>
      </c>
      <c r="B257" s="3" t="s">
        <v>293</v>
      </c>
      <c r="C257" s="3" t="s">
        <v>288</v>
      </c>
      <c r="D257" s="3" t="s">
        <v>480</v>
      </c>
      <c r="E257" s="3" t="n">
        <v>1133</v>
      </c>
      <c r="F257" s="3" t="n">
        <v>4</v>
      </c>
      <c r="G257" s="3" t="n">
        <v>690</v>
      </c>
      <c r="H257" s="4" t="n">
        <f aca="false">G257/E257</f>
        <v>0.609002647837599</v>
      </c>
      <c r="I257" s="3" t="n">
        <v>3.3</v>
      </c>
      <c r="J257" s="4" t="n">
        <f aca="false">(F257-Assumptions!$B$17)/(Assumptions!$C$17-Assumptions!$B$17)</f>
        <v>0.272727272727273</v>
      </c>
      <c r="K257" s="4" t="n">
        <f aca="false">(H257-Assumptions!$B$18)/(Assumptions!$C$18-Assumptions!$B$18)</f>
        <v>0.000680105570003837</v>
      </c>
      <c r="L257" s="4" t="n">
        <f aca="false">(I257-Assumptions!$B$19)/(Assumptions!$C$19-Assumptions!$B$19)</f>
        <v>0.658536585365854</v>
      </c>
      <c r="M257" s="4" t="n">
        <f aca="false">0.4*J257+0.4*K257+0.2*L257</f>
        <v>0.241070268392081</v>
      </c>
    </row>
    <row r="258" customFormat="false" ht="15" hidden="false" customHeight="false" outlineLevel="0" collapsed="false">
      <c r="A258" s="3" t="s">
        <v>3</v>
      </c>
      <c r="B258" s="3" t="s">
        <v>294</v>
      </c>
      <c r="C258" s="3" t="s">
        <v>295</v>
      </c>
      <c r="D258" s="3" t="s">
        <v>481</v>
      </c>
      <c r="E258" s="3" t="n">
        <v>1611</v>
      </c>
      <c r="F258" s="3" t="n">
        <v>6</v>
      </c>
      <c r="G258" s="3" t="n">
        <v>654</v>
      </c>
      <c r="H258" s="4" t="n">
        <f aca="false">G258/E258</f>
        <v>0.405959031657356</v>
      </c>
      <c r="I258" s="3" t="n">
        <v>3.3</v>
      </c>
      <c r="J258" s="4" t="n">
        <f aca="false">(F258-Assumptions!$B$17)/(Assumptions!$C$17-Assumptions!$B$17)</f>
        <v>0.454545454545455</v>
      </c>
      <c r="K258" s="4" t="n">
        <f aca="false">(H258-Assumptions!$B$18)/(Assumptions!$C$18-Assumptions!$B$18)</f>
        <v>0.000428171384306448</v>
      </c>
      <c r="L258" s="4" t="n">
        <f aca="false">(I258-Assumptions!$B$19)/(Assumptions!$C$19-Assumptions!$B$19)</f>
        <v>0.658536585365854</v>
      </c>
      <c r="M258" s="4" t="n">
        <f aca="false">0.4*J258+0.4*K258+0.2*L258</f>
        <v>0.313696767445075</v>
      </c>
    </row>
    <row r="259" customFormat="false" ht="15" hidden="false" customHeight="false" outlineLevel="0" collapsed="false">
      <c r="A259" s="3" t="s">
        <v>3</v>
      </c>
      <c r="B259" s="3" t="s">
        <v>297</v>
      </c>
      <c r="C259" s="3" t="s">
        <v>298</v>
      </c>
      <c r="D259" s="3" t="s">
        <v>482</v>
      </c>
      <c r="E259" s="3" t="n">
        <v>108.5</v>
      </c>
      <c r="F259" s="3" t="n">
        <v>6</v>
      </c>
      <c r="G259" s="3" t="n">
        <v>466</v>
      </c>
      <c r="H259" s="4" t="n">
        <f aca="false">G259/E259</f>
        <v>4.29493087557604</v>
      </c>
      <c r="I259" s="3" t="n">
        <v>3.2</v>
      </c>
      <c r="J259" s="4" t="n">
        <f aca="false">(F259-Assumptions!$B$17)/(Assumptions!$C$17-Assumptions!$B$17)</f>
        <v>0.454545454545455</v>
      </c>
      <c r="K259" s="4" t="n">
        <f aca="false">(H259-Assumptions!$B$18)/(Assumptions!$C$18-Assumptions!$B$18)</f>
        <v>0.00525356295843988</v>
      </c>
      <c r="L259" s="4" t="n">
        <f aca="false">(I259-Assumptions!$B$19)/(Assumptions!$C$19-Assumptions!$B$19)</f>
        <v>0.634146341463415</v>
      </c>
      <c r="M259" s="4" t="n">
        <f aca="false">0.4*J259+0.4*K259+0.2*L259</f>
        <v>0.310748875294241</v>
      </c>
    </row>
    <row r="260" customFormat="false" ht="15" hidden="false" customHeight="false" outlineLevel="0" collapsed="false">
      <c r="A260" s="3" t="s">
        <v>3</v>
      </c>
      <c r="B260" s="3" t="s">
        <v>300</v>
      </c>
      <c r="C260" s="3" t="s">
        <v>301</v>
      </c>
      <c r="D260" s="3" t="s">
        <v>483</v>
      </c>
      <c r="E260" s="3" t="n">
        <v>30.5</v>
      </c>
      <c r="F260" s="3" t="n">
        <v>4</v>
      </c>
      <c r="G260" s="3" t="n">
        <v>886</v>
      </c>
      <c r="H260" s="4" t="n">
        <f aca="false">G260/E260</f>
        <v>29.0491803278689</v>
      </c>
      <c r="I260" s="3" t="n">
        <v>2.4</v>
      </c>
      <c r="J260" s="4" t="n">
        <f aca="false">(F260-Assumptions!$B$17)/(Assumptions!$C$17-Assumptions!$B$17)</f>
        <v>0.272727272727273</v>
      </c>
      <c r="K260" s="4" t="n">
        <f aca="false">(H260-Assumptions!$B$18)/(Assumptions!$C$18-Assumptions!$B$18)</f>
        <v>0.0359683512174182</v>
      </c>
      <c r="L260" s="4" t="n">
        <f aca="false">(I260-Assumptions!$B$19)/(Assumptions!$C$19-Assumptions!$B$19)</f>
        <v>0.439024390243902</v>
      </c>
      <c r="M260" s="4" t="n">
        <f aca="false">0.4*J260+0.4*K260+0.2*L260</f>
        <v>0.211283127626657</v>
      </c>
    </row>
    <row r="261" customFormat="false" ht="15" hidden="false" customHeight="false" outlineLevel="0" collapsed="false">
      <c r="A261" s="3" t="s">
        <v>3</v>
      </c>
      <c r="B261" s="3" t="s">
        <v>303</v>
      </c>
      <c r="C261" s="3" t="s">
        <v>304</v>
      </c>
      <c r="D261" s="3" t="s">
        <v>484</v>
      </c>
      <c r="E261" s="3" t="n">
        <v>2.5</v>
      </c>
      <c r="F261" s="3" t="n">
        <v>8</v>
      </c>
      <c r="G261" s="3" t="n">
        <v>394</v>
      </c>
      <c r="H261" s="4" t="n">
        <f aca="false">G261/E261</f>
        <v>157.6</v>
      </c>
      <c r="I261" s="3" t="n">
        <v>3.2</v>
      </c>
      <c r="J261" s="4" t="n">
        <f aca="false">(F261-Assumptions!$B$17)/(Assumptions!$C$17-Assumptions!$B$17)</f>
        <v>0.636363636363636</v>
      </c>
      <c r="K261" s="4" t="n">
        <f aca="false">(H261-Assumptions!$B$18)/(Assumptions!$C$18-Assumptions!$B$18)</f>
        <v>0.195472731035401</v>
      </c>
      <c r="L261" s="4" t="n">
        <f aca="false">(I261-Assumptions!$B$19)/(Assumptions!$C$19-Assumptions!$B$19)</f>
        <v>0.634146341463415</v>
      </c>
      <c r="M261" s="4" t="n">
        <f aca="false">0.4*J261+0.4*K261+0.2*L261</f>
        <v>0.459563815252298</v>
      </c>
    </row>
    <row r="262" customFormat="false" ht="15" hidden="false" customHeight="false" outlineLevel="0" collapsed="false">
      <c r="A262" s="3" t="s">
        <v>3</v>
      </c>
      <c r="B262" s="3" t="s">
        <v>306</v>
      </c>
      <c r="C262" s="3" t="s">
        <v>307</v>
      </c>
      <c r="D262" s="3" t="s">
        <v>485</v>
      </c>
      <c r="E262" s="3" t="n">
        <v>140</v>
      </c>
      <c r="F262" s="3" t="n">
        <v>4</v>
      </c>
      <c r="G262" s="3" t="n">
        <v>726</v>
      </c>
      <c r="H262" s="4" t="n">
        <f aca="false">G262/E262</f>
        <v>5.18571428571429</v>
      </c>
      <c r="I262" s="3" t="n">
        <v>3.3</v>
      </c>
      <c r="J262" s="4" t="n">
        <f aca="false">(F262-Assumptions!$B$17)/(Assumptions!$C$17-Assumptions!$B$17)</f>
        <v>0.272727272727273</v>
      </c>
      <c r="K262" s="4" t="n">
        <f aca="false">(H262-Assumptions!$B$18)/(Assumptions!$C$18-Assumptions!$B$18)</f>
        <v>0.00635883677737494</v>
      </c>
      <c r="L262" s="4" t="n">
        <f aca="false">(I262-Assumptions!$B$19)/(Assumptions!$C$19-Assumptions!$B$19)</f>
        <v>0.658536585365854</v>
      </c>
      <c r="M262" s="4" t="n">
        <f aca="false">0.4*J262+0.4*K262+0.2*L262</f>
        <v>0.24334176087503</v>
      </c>
    </row>
    <row r="263" customFormat="false" ht="15" hidden="false" customHeight="false" outlineLevel="0" collapsed="false">
      <c r="A263" s="3" t="s">
        <v>3</v>
      </c>
      <c r="B263" s="3" t="s">
        <v>309</v>
      </c>
      <c r="C263" s="3" t="s">
        <v>307</v>
      </c>
      <c r="D263" s="3" t="s">
        <v>485</v>
      </c>
      <c r="E263" s="3" t="n">
        <v>11</v>
      </c>
      <c r="F263" s="3" t="n">
        <v>4</v>
      </c>
      <c r="G263" s="3" t="n">
        <v>726</v>
      </c>
      <c r="H263" s="4" t="n">
        <f aca="false">G263/E263</f>
        <v>66</v>
      </c>
      <c r="I263" s="3" t="n">
        <v>3.3</v>
      </c>
      <c r="J263" s="4" t="n">
        <f aca="false">(F263-Assumptions!$B$17)/(Assumptions!$C$17-Assumptions!$B$17)</f>
        <v>0.272727272727273</v>
      </c>
      <c r="K263" s="4" t="n">
        <f aca="false">(H263-Assumptions!$B$18)/(Assumptions!$C$18-Assumptions!$B$18)</f>
        <v>0.0818165036492859</v>
      </c>
      <c r="L263" s="4" t="n">
        <f aca="false">(I263-Assumptions!$B$19)/(Assumptions!$C$19-Assumptions!$B$19)</f>
        <v>0.658536585365854</v>
      </c>
      <c r="M263" s="4" t="n">
        <f aca="false">0.4*J263+0.4*K263+0.2*L263</f>
        <v>0.273524827623794</v>
      </c>
    </row>
    <row r="264" customFormat="false" ht="15" hidden="false" customHeight="false" outlineLevel="0" collapsed="false">
      <c r="A264" s="3" t="s">
        <v>3</v>
      </c>
      <c r="B264" s="3" t="s">
        <v>310</v>
      </c>
      <c r="C264" s="3" t="s">
        <v>307</v>
      </c>
      <c r="D264" s="3" t="s">
        <v>485</v>
      </c>
      <c r="E264" s="3" t="n">
        <v>767.5</v>
      </c>
      <c r="F264" s="3" t="n">
        <v>4</v>
      </c>
      <c r="G264" s="3" t="n">
        <v>726</v>
      </c>
      <c r="H264" s="4" t="n">
        <f aca="false">G264/E264</f>
        <v>0.945928338762215</v>
      </c>
      <c r="I264" s="3" t="n">
        <v>3.3</v>
      </c>
      <c r="J264" s="4" t="n">
        <f aca="false">(F264-Assumptions!$B$17)/(Assumptions!$C$17-Assumptions!$B$17)</f>
        <v>0.272727272727273</v>
      </c>
      <c r="K264" s="4" t="n">
        <f aca="false">(H264-Assumptions!$B$18)/(Assumptions!$C$18-Assumptions!$B$18)</f>
        <v>0.00109815909554917</v>
      </c>
      <c r="L264" s="4" t="n">
        <f aca="false">(I264-Assumptions!$B$19)/(Assumptions!$C$19-Assumptions!$B$19)</f>
        <v>0.658536585365854</v>
      </c>
      <c r="M264" s="4" t="n">
        <f aca="false">0.4*J264+0.4*K264+0.2*L264</f>
        <v>0.241237489802299</v>
      </c>
    </row>
    <row r="265" customFormat="false" ht="15" hidden="false" customHeight="false" outlineLevel="0" collapsed="false">
      <c r="A265" s="3" t="s">
        <v>3</v>
      </c>
      <c r="B265" s="3" t="s">
        <v>311</v>
      </c>
      <c r="C265" s="3" t="s">
        <v>307</v>
      </c>
      <c r="D265" s="3" t="s">
        <v>485</v>
      </c>
      <c r="E265" s="3" t="n">
        <v>1200</v>
      </c>
      <c r="F265" s="3" t="n">
        <v>4</v>
      </c>
      <c r="G265" s="3" t="n">
        <v>726</v>
      </c>
      <c r="H265" s="4" t="n">
        <f aca="false">G265/E265</f>
        <v>0.605</v>
      </c>
      <c r="I265" s="3" t="n">
        <v>3.3</v>
      </c>
      <c r="J265" s="4" t="n">
        <f aca="false">(F265-Assumptions!$B$17)/(Assumptions!$C$17-Assumptions!$B$17)</f>
        <v>0.272727272727273</v>
      </c>
      <c r="K265" s="4" t="n">
        <f aca="false">(H265-Assumptions!$B$18)/(Assumptions!$C$18-Assumptions!$B$18)</f>
        <v>0.000675139130563043</v>
      </c>
      <c r="L265" s="4" t="n">
        <f aca="false">(I265-Assumptions!$B$19)/(Assumptions!$C$19-Assumptions!$B$19)</f>
        <v>0.658536585365854</v>
      </c>
      <c r="M265" s="4" t="n">
        <f aca="false">0.4*J265+0.4*K265+0.2*L265</f>
        <v>0.241068281816305</v>
      </c>
    </row>
    <row r="266" customFormat="false" ht="15" hidden="false" customHeight="false" outlineLevel="0" collapsed="false">
      <c r="A266" s="3" t="s">
        <v>3</v>
      </c>
      <c r="B266" s="3" t="s">
        <v>312</v>
      </c>
      <c r="C266" s="3" t="s">
        <v>307</v>
      </c>
      <c r="D266" s="3" t="s">
        <v>485</v>
      </c>
      <c r="E266" s="3" t="n">
        <v>91</v>
      </c>
      <c r="F266" s="3" t="n">
        <v>4</v>
      </c>
      <c r="G266" s="3" t="n">
        <v>726</v>
      </c>
      <c r="H266" s="4" t="n">
        <f aca="false">G266/E266</f>
        <v>7.97802197802198</v>
      </c>
      <c r="I266" s="3" t="n">
        <v>3.3</v>
      </c>
      <c r="J266" s="4" t="n">
        <f aca="false">(F266-Assumptions!$B$17)/(Assumptions!$C$17-Assumptions!$B$17)</f>
        <v>0.272727272727273</v>
      </c>
      <c r="K266" s="4" t="n">
        <f aca="false">(H266-Assumptions!$B$18)/(Assumptions!$C$18-Assumptions!$B$18)</f>
        <v>0.00982350007441558</v>
      </c>
      <c r="L266" s="4" t="n">
        <f aca="false">(I266-Assumptions!$B$19)/(Assumptions!$C$19-Assumptions!$B$19)</f>
        <v>0.658536585365854</v>
      </c>
      <c r="M266" s="4" t="n">
        <f aca="false">0.4*J266+0.4*K266+0.2*L266</f>
        <v>0.244727626193846</v>
      </c>
    </row>
    <row r="267" customFormat="false" ht="15" hidden="false" customHeight="false" outlineLevel="0" collapsed="false">
      <c r="A267" s="3" t="s">
        <v>3</v>
      </c>
      <c r="B267" s="3" t="s">
        <v>313</v>
      </c>
      <c r="C267" s="3" t="s">
        <v>314</v>
      </c>
      <c r="D267" s="3" t="s">
        <v>446</v>
      </c>
      <c r="E267" s="3" t="n">
        <v>1611</v>
      </c>
      <c r="F267" s="3" t="n">
        <v>3</v>
      </c>
      <c r="G267" s="3" t="n">
        <v>814</v>
      </c>
      <c r="H267" s="4" t="n">
        <f aca="false">G267/E267</f>
        <v>0.505276225946617</v>
      </c>
      <c r="I267" s="3" t="n">
        <v>2.4</v>
      </c>
      <c r="J267" s="4" t="n">
        <f aca="false">(F267-Assumptions!$B$17)/(Assumptions!$C$17-Assumptions!$B$17)</f>
        <v>0.181818181818182</v>
      </c>
      <c r="K267" s="4" t="n">
        <f aca="false">(H267-Assumptions!$B$18)/(Assumptions!$C$18-Assumptions!$B$18)</f>
        <v>0.000551403017685174</v>
      </c>
      <c r="L267" s="4" t="n">
        <f aca="false">(I267-Assumptions!$B$19)/(Assumptions!$C$19-Assumptions!$B$19)</f>
        <v>0.439024390243902</v>
      </c>
      <c r="M267" s="4" t="n">
        <f aca="false">0.4*J267+0.4*K267+0.2*L267</f>
        <v>0.160752711983127</v>
      </c>
    </row>
    <row r="268" customFormat="false" ht="15" hidden="false" customHeight="false" outlineLevel="0" collapsed="false">
      <c r="A268" s="3" t="s">
        <v>3</v>
      </c>
      <c r="B268" s="3" t="s">
        <v>315</v>
      </c>
      <c r="C268" s="3" t="s">
        <v>316</v>
      </c>
      <c r="D268" s="3" t="s">
        <v>486</v>
      </c>
      <c r="E268" s="3" t="n">
        <v>497.5</v>
      </c>
      <c r="F268" s="3" t="n">
        <v>11</v>
      </c>
      <c r="G268" s="3" t="n">
        <v>314</v>
      </c>
      <c r="H268" s="4" t="n">
        <f aca="false">G268/E268</f>
        <v>0.631155778894472</v>
      </c>
      <c r="I268" s="3" t="n">
        <v>4.7</v>
      </c>
      <c r="J268" s="4" t="n">
        <f aca="false">(F268-Assumptions!$B$17)/(Assumptions!$C$17-Assumptions!$B$17)</f>
        <v>0.909090909090909</v>
      </c>
      <c r="K268" s="4" t="n">
        <f aca="false">(H268-Assumptions!$B$18)/(Assumptions!$C$18-Assumptions!$B$18)</f>
        <v>0.000707592920448318</v>
      </c>
      <c r="L268" s="4" t="n">
        <f aca="false">(I268-Assumptions!$B$19)/(Assumptions!$C$19-Assumptions!$B$19)</f>
        <v>1</v>
      </c>
      <c r="M268" s="4" t="n">
        <f aca="false">0.4*J268+0.4*K268+0.2*L268</f>
        <v>0.563919400804543</v>
      </c>
    </row>
    <row r="269" customFormat="false" ht="15" hidden="false" customHeight="false" outlineLevel="0" collapsed="false">
      <c r="A269" s="3" t="s">
        <v>3</v>
      </c>
      <c r="B269" s="3" t="s">
        <v>318</v>
      </c>
      <c r="C269" s="3" t="s">
        <v>319</v>
      </c>
      <c r="D269" s="3" t="s">
        <v>476</v>
      </c>
      <c r="E269" s="3" t="n">
        <v>5</v>
      </c>
      <c r="F269" s="3" t="n">
        <v>4</v>
      </c>
      <c r="G269" s="3" t="n">
        <v>814</v>
      </c>
      <c r="H269" s="4" t="n">
        <f aca="false">G269/E269</f>
        <v>162.8</v>
      </c>
      <c r="I269" s="3" t="n">
        <v>2.4</v>
      </c>
      <c r="J269" s="4" t="n">
        <f aca="false">(F269-Assumptions!$B$17)/(Assumptions!$C$17-Assumptions!$B$17)</f>
        <v>0.272727272727273</v>
      </c>
      <c r="K269" s="4" t="n">
        <f aca="false">(H269-Assumptions!$B$18)/(Assumptions!$C$18-Assumptions!$B$18)</f>
        <v>0.201924831280028</v>
      </c>
      <c r="L269" s="4" t="n">
        <f aca="false">(I269-Assumptions!$B$19)/(Assumptions!$C$19-Assumptions!$B$19)</f>
        <v>0.439024390243902</v>
      </c>
      <c r="M269" s="4" t="n">
        <f aca="false">0.4*J269+0.4*K269+0.2*L269</f>
        <v>0.277665719651701</v>
      </c>
    </row>
    <row r="270" customFormat="false" ht="15" hidden="false" customHeight="false" outlineLevel="0" collapsed="false">
      <c r="A270" s="3" t="s">
        <v>3</v>
      </c>
      <c r="B270" s="3" t="s">
        <v>487</v>
      </c>
      <c r="C270" s="3" t="s">
        <v>488</v>
      </c>
      <c r="D270" s="3" t="s">
        <v>489</v>
      </c>
      <c r="E270" s="3" t="n">
        <v>4.5</v>
      </c>
      <c r="F270" s="3" t="n">
        <v>5</v>
      </c>
      <c r="G270" s="3" t="n">
        <v>726</v>
      </c>
      <c r="H270" s="4" t="n">
        <f aca="false">G270/E270</f>
        <v>161.333333333333</v>
      </c>
      <c r="I270" s="3" t="n">
        <v>3.3</v>
      </c>
      <c r="J270" s="4" t="n">
        <f aca="false">(F270-Assumptions!$B$17)/(Assumptions!$C$17-Assumptions!$B$17)</f>
        <v>0.363636363636364</v>
      </c>
      <c r="K270" s="4" t="n">
        <f aca="false">(H270-Assumptions!$B$18)/(Assumptions!$C$18-Assumptions!$B$18)</f>
        <v>0.200105008134108</v>
      </c>
      <c r="L270" s="4" t="n">
        <f aca="false">(I270-Assumptions!$B$19)/(Assumptions!$C$19-Assumptions!$B$19)</f>
        <v>0.658536585365854</v>
      </c>
      <c r="M270" s="4" t="n">
        <f aca="false">0.4*J270+0.4*K270+0.2*L270</f>
        <v>0.357203865781359</v>
      </c>
    </row>
    <row r="271" customFormat="false" ht="15" hidden="false" customHeight="false" outlineLevel="0" collapsed="false">
      <c r="A271" s="3" t="s">
        <v>3</v>
      </c>
      <c r="B271" s="3" t="s">
        <v>320</v>
      </c>
      <c r="C271" s="3" t="s">
        <v>321</v>
      </c>
      <c r="D271" s="3" t="s">
        <v>490</v>
      </c>
      <c r="E271" s="3" t="n">
        <v>1020</v>
      </c>
      <c r="F271" s="3" t="n">
        <v>3</v>
      </c>
      <c r="G271" s="3" t="n">
        <v>850</v>
      </c>
      <c r="H271" s="4" t="n">
        <f aca="false">G271/E271</f>
        <v>0.833333333333333</v>
      </c>
      <c r="I271" s="3" t="n">
        <v>2.4</v>
      </c>
      <c r="J271" s="4" t="n">
        <f aca="false">(F271-Assumptions!$B$17)/(Assumptions!$C$17-Assumptions!$B$17)</f>
        <v>0.181818181818182</v>
      </c>
      <c r="K271" s="4" t="n">
        <f aca="false">(H271-Assumptions!$B$18)/(Assumptions!$C$18-Assumptions!$B$18)</f>
        <v>0.000958452506689277</v>
      </c>
      <c r="L271" s="4" t="n">
        <f aca="false">(I271-Assumptions!$B$19)/(Assumptions!$C$19-Assumptions!$B$19)</f>
        <v>0.439024390243902</v>
      </c>
      <c r="M271" s="4" t="n">
        <f aca="false">0.4*J271+0.4*K271+0.2*L271</f>
        <v>0.160915531778729</v>
      </c>
    </row>
    <row r="272" customFormat="false" ht="15" hidden="false" customHeight="false" outlineLevel="0" collapsed="false">
      <c r="A272" s="3" t="s">
        <v>3</v>
      </c>
      <c r="B272" s="3" t="s">
        <v>323</v>
      </c>
      <c r="C272" s="3" t="s">
        <v>324</v>
      </c>
      <c r="D272" s="3" t="s">
        <v>491</v>
      </c>
      <c r="E272" s="3" t="n">
        <v>139</v>
      </c>
      <c r="F272" s="3" t="n">
        <v>12</v>
      </c>
      <c r="G272" s="3" t="n">
        <v>314</v>
      </c>
      <c r="H272" s="4" t="n">
        <f aca="false">G272/E272</f>
        <v>2.2589928057554</v>
      </c>
      <c r="I272" s="3" t="n">
        <v>4.7</v>
      </c>
      <c r="J272" s="4" t="n">
        <f aca="false">(F272-Assumptions!$B$17)/(Assumptions!$C$17-Assumptions!$B$17)</f>
        <v>1</v>
      </c>
      <c r="K272" s="4" t="n">
        <f aca="false">(H272-Assumptions!$B$18)/(Assumptions!$C$18-Assumptions!$B$18)</f>
        <v>0.00272739439722172</v>
      </c>
      <c r="L272" s="4" t="n">
        <f aca="false">(I272-Assumptions!$B$19)/(Assumptions!$C$19-Assumptions!$B$19)</f>
        <v>1</v>
      </c>
      <c r="M272" s="4" t="n">
        <f aca="false">0.4*J272+0.4*K272+0.2*L272</f>
        <v>0.601090957758889</v>
      </c>
    </row>
    <row r="273" customFormat="false" ht="15" hidden="false" customHeight="false" outlineLevel="0" collapsed="false">
      <c r="A273" s="3" t="s">
        <v>3</v>
      </c>
      <c r="B273" s="3" t="s">
        <v>326</v>
      </c>
      <c r="C273" s="3" t="s">
        <v>324</v>
      </c>
      <c r="D273" s="3" t="s">
        <v>491</v>
      </c>
      <c r="E273" s="3" t="n">
        <v>342</v>
      </c>
      <c r="F273" s="3" t="n">
        <v>12</v>
      </c>
      <c r="G273" s="3" t="n">
        <v>314</v>
      </c>
      <c r="H273" s="4" t="n">
        <f aca="false">G273/E273</f>
        <v>0.91812865497076</v>
      </c>
      <c r="I273" s="3" t="n">
        <v>4.7</v>
      </c>
      <c r="J273" s="4" t="n">
        <f aca="false">(F273-Assumptions!$B$17)/(Assumptions!$C$17-Assumptions!$B$17)</f>
        <v>1</v>
      </c>
      <c r="K273" s="4" t="n">
        <f aca="false">(H273-Assumptions!$B$18)/(Assumptions!$C$18-Assumptions!$B$18)</f>
        <v>0.00106366556735852</v>
      </c>
      <c r="L273" s="4" t="n">
        <f aca="false">(I273-Assumptions!$B$19)/(Assumptions!$C$19-Assumptions!$B$19)</f>
        <v>1</v>
      </c>
      <c r="M273" s="4" t="n">
        <f aca="false">0.4*J273+0.4*K273+0.2*L273</f>
        <v>0.600425466226944</v>
      </c>
    </row>
    <row r="274" customFormat="false" ht="15" hidden="false" customHeight="false" outlineLevel="0" collapsed="false">
      <c r="A274" s="3" t="s">
        <v>3</v>
      </c>
      <c r="B274" s="3" t="s">
        <v>330</v>
      </c>
      <c r="C274" s="3" t="s">
        <v>331</v>
      </c>
      <c r="D274" s="3" t="s">
        <v>492</v>
      </c>
      <c r="E274" s="3" t="n">
        <v>19.5</v>
      </c>
      <c r="F274" s="3" t="n">
        <v>3</v>
      </c>
      <c r="G274" s="3" t="n">
        <v>886</v>
      </c>
      <c r="H274" s="4" t="n">
        <f aca="false">G274/E274</f>
        <v>45.4358974358974</v>
      </c>
      <c r="I274" s="3" t="n">
        <v>2.4</v>
      </c>
      <c r="J274" s="4" t="n">
        <f aca="false">(F274-Assumptions!$B$17)/(Assumptions!$C$17-Assumptions!$B$17)</f>
        <v>0.181818181818182</v>
      </c>
      <c r="K274" s="4" t="n">
        <f aca="false">(H274-Assumptions!$B$18)/(Assumptions!$C$18-Assumptions!$B$18)</f>
        <v>0.0563008014984449</v>
      </c>
      <c r="L274" s="4" t="n">
        <f aca="false">(I274-Assumptions!$B$19)/(Assumptions!$C$19-Assumptions!$B$19)</f>
        <v>0.439024390243902</v>
      </c>
      <c r="M274" s="4" t="n">
        <f aca="false">0.4*J274+0.4*K274+0.2*L274</f>
        <v>0.183052471375431</v>
      </c>
    </row>
    <row r="275" customFormat="false" ht="15" hidden="false" customHeight="false" outlineLevel="0" collapsed="false">
      <c r="A275" s="3" t="s">
        <v>3</v>
      </c>
      <c r="B275" s="3" t="s">
        <v>333</v>
      </c>
      <c r="C275" s="3" t="s">
        <v>331</v>
      </c>
      <c r="D275" s="3" t="s">
        <v>492</v>
      </c>
      <c r="E275" s="3" t="n">
        <v>4.5</v>
      </c>
      <c r="F275" s="3" t="n">
        <v>3</v>
      </c>
      <c r="G275" s="3" t="n">
        <v>886</v>
      </c>
      <c r="H275" s="4" t="n">
        <f aca="false">G275/E275</f>
        <v>196.888888888889</v>
      </c>
      <c r="I275" s="3" t="n">
        <v>2.4</v>
      </c>
      <c r="J275" s="4" t="n">
        <f aca="false">(F275-Assumptions!$B$17)/(Assumptions!$C$17-Assumptions!$B$17)</f>
        <v>0.181818181818182</v>
      </c>
      <c r="K275" s="4" t="n">
        <f aca="false">(H275-Assumptions!$B$18)/(Assumptions!$C$18-Assumptions!$B$18)</f>
        <v>0.244221932883692</v>
      </c>
      <c r="L275" s="4" t="n">
        <f aca="false">(I275-Assumptions!$B$19)/(Assumptions!$C$19-Assumptions!$B$19)</f>
        <v>0.439024390243902</v>
      </c>
      <c r="M275" s="4" t="n">
        <f aca="false">0.4*J275+0.4*K275+0.2*L275</f>
        <v>0.25822092392953</v>
      </c>
    </row>
    <row r="276" customFormat="false" ht="15" hidden="false" customHeight="false" outlineLevel="0" collapsed="false">
      <c r="A276" s="3" t="s">
        <v>3</v>
      </c>
      <c r="B276" s="3" t="s">
        <v>334</v>
      </c>
      <c r="C276" s="3" t="s">
        <v>335</v>
      </c>
      <c r="D276" s="3" t="s">
        <v>435</v>
      </c>
      <c r="E276" s="3" t="n">
        <v>361</v>
      </c>
      <c r="F276" s="3" t="n">
        <v>12</v>
      </c>
      <c r="G276" s="3" t="n">
        <v>386</v>
      </c>
      <c r="H276" s="4" t="n">
        <f aca="false">G276/E276</f>
        <v>1.06925207756233</v>
      </c>
      <c r="I276" s="3" t="n">
        <v>4.7</v>
      </c>
      <c r="J276" s="4" t="n">
        <f aca="false">(F276-Assumptions!$B$17)/(Assumptions!$C$17-Assumptions!$B$17)</f>
        <v>1</v>
      </c>
      <c r="K276" s="4" t="n">
        <f aca="false">(H276-Assumptions!$B$18)/(Assumptions!$C$18-Assumptions!$B$18)</f>
        <v>0.00125117777348772</v>
      </c>
      <c r="L276" s="4" t="n">
        <f aca="false">(I276-Assumptions!$B$19)/(Assumptions!$C$19-Assumptions!$B$19)</f>
        <v>1</v>
      </c>
      <c r="M276" s="4" t="n">
        <f aca="false">0.4*J276+0.4*K276+0.2*L276</f>
        <v>0.600500471109395</v>
      </c>
    </row>
    <row r="277" customFormat="false" ht="15" hidden="false" customHeight="false" outlineLevel="0" collapsed="false">
      <c r="A277" s="3" t="s">
        <v>3</v>
      </c>
      <c r="B277" s="3" t="s">
        <v>340</v>
      </c>
      <c r="C277" s="3" t="s">
        <v>341</v>
      </c>
      <c r="D277" s="3" t="s">
        <v>493</v>
      </c>
      <c r="E277" s="3" t="n">
        <v>1023</v>
      </c>
      <c r="F277" s="3" t="n">
        <v>6</v>
      </c>
      <c r="G277" s="3" t="n">
        <v>690</v>
      </c>
      <c r="H277" s="4" t="n">
        <f aca="false">G277/E277</f>
        <v>0.674486803519062</v>
      </c>
      <c r="I277" s="3" t="n">
        <v>3.3</v>
      </c>
      <c r="J277" s="4" t="n">
        <f aca="false">(F277-Assumptions!$B$17)/(Assumptions!$C$17-Assumptions!$B$17)</f>
        <v>0.454545454545455</v>
      </c>
      <c r="K277" s="4" t="n">
        <f aca="false">(H277-Assumptions!$B$18)/(Assumptions!$C$18-Assumptions!$B$18)</f>
        <v>0.000761357557867594</v>
      </c>
      <c r="L277" s="4" t="n">
        <f aca="false">(I277-Assumptions!$B$19)/(Assumptions!$C$19-Assumptions!$B$19)</f>
        <v>0.658536585365854</v>
      </c>
      <c r="M277" s="4" t="n">
        <f aca="false">0.4*J277+0.4*K277+0.2*L277</f>
        <v>0.3138300419145</v>
      </c>
    </row>
    <row r="278" customFormat="false" ht="15" hidden="false" customHeight="false" outlineLevel="0" collapsed="false">
      <c r="A278" s="3" t="s">
        <v>3</v>
      </c>
      <c r="B278" s="3" t="s">
        <v>343</v>
      </c>
      <c r="C278" s="3" t="s">
        <v>344</v>
      </c>
      <c r="D278" s="3" t="s">
        <v>458</v>
      </c>
      <c r="E278" s="3" t="n">
        <v>6.5</v>
      </c>
      <c r="F278" s="3" t="n">
        <v>4</v>
      </c>
      <c r="G278" s="3" t="n">
        <v>654</v>
      </c>
      <c r="H278" s="4" t="n">
        <f aca="false">G278/E278</f>
        <v>100.615384615385</v>
      </c>
      <c r="I278" s="3" t="n">
        <v>3.3</v>
      </c>
      <c r="J278" s="4" t="n">
        <f aca="false">(F278-Assumptions!$B$17)/(Assumptions!$C$17-Assumptions!$B$17)</f>
        <v>0.272727272727273</v>
      </c>
      <c r="K278" s="4" t="n">
        <f aca="false">(H278-Assumptions!$B$18)/(Assumptions!$C$18-Assumptions!$B$18)</f>
        <v>0.124766875100203</v>
      </c>
      <c r="L278" s="4" t="n">
        <f aca="false">(I278-Assumptions!$B$19)/(Assumptions!$C$19-Assumptions!$B$19)</f>
        <v>0.658536585365854</v>
      </c>
      <c r="M278" s="4" t="n">
        <f aca="false">0.4*J278+0.4*K278+0.2*L278</f>
        <v>0.290704976204161</v>
      </c>
    </row>
    <row r="279" customFormat="false" ht="15" hidden="false" customHeight="false" outlineLevel="0" collapsed="false">
      <c r="A279" s="3" t="s">
        <v>3</v>
      </c>
      <c r="B279" s="3" t="s">
        <v>345</v>
      </c>
      <c r="C279" s="3" t="s">
        <v>346</v>
      </c>
      <c r="D279" s="3" t="s">
        <v>468</v>
      </c>
      <c r="E279" s="3" t="n">
        <v>254.5</v>
      </c>
      <c r="F279" s="3" t="n">
        <v>6</v>
      </c>
      <c r="G279" s="3" t="n">
        <v>394</v>
      </c>
      <c r="H279" s="4" t="n">
        <f aca="false">G279/E279</f>
        <v>1.54813359528487</v>
      </c>
      <c r="I279" s="3" t="n">
        <v>3.2</v>
      </c>
      <c r="J279" s="4" t="n">
        <f aca="false">(F279-Assumptions!$B$17)/(Assumptions!$C$17-Assumptions!$B$17)</f>
        <v>0.454545454545455</v>
      </c>
      <c r="K279" s="4" t="n">
        <f aca="false">(H279-Assumptions!$B$18)/(Assumptions!$C$18-Assumptions!$B$18)</f>
        <v>0.00184536845765018</v>
      </c>
      <c r="L279" s="4" t="n">
        <f aca="false">(I279-Assumptions!$B$19)/(Assumptions!$C$19-Assumptions!$B$19)</f>
        <v>0.634146341463415</v>
      </c>
      <c r="M279" s="4" t="n">
        <f aca="false">0.4*J279+0.4*K279+0.2*L279</f>
        <v>0.309385597493925</v>
      </c>
    </row>
    <row r="280" customFormat="false" ht="15" hidden="false" customHeight="false" outlineLevel="0" collapsed="false">
      <c r="A280" s="3" t="s">
        <v>3</v>
      </c>
      <c r="B280" s="3" t="s">
        <v>347</v>
      </c>
      <c r="C280" s="3" t="s">
        <v>348</v>
      </c>
      <c r="D280" s="3" t="s">
        <v>494</v>
      </c>
      <c r="E280" s="3" t="n">
        <v>4.5</v>
      </c>
      <c r="F280" s="3" t="n">
        <v>4</v>
      </c>
      <c r="G280" s="3" t="n">
        <v>850</v>
      </c>
      <c r="H280" s="4" t="n">
        <f aca="false">G280/E280</f>
        <v>188.888888888889</v>
      </c>
      <c r="I280" s="3" t="n">
        <v>2.4</v>
      </c>
      <c r="J280" s="4" t="n">
        <f aca="false">(F280-Assumptions!$B$17)/(Assumptions!$C$17-Assumptions!$B$17)</f>
        <v>0.272727272727273</v>
      </c>
      <c r="K280" s="4" t="n">
        <f aca="false">(H280-Assumptions!$B$18)/(Assumptions!$C$18-Assumptions!$B$18)</f>
        <v>0.234295624815035</v>
      </c>
      <c r="L280" s="4" t="n">
        <f aca="false">(I280-Assumptions!$B$19)/(Assumptions!$C$19-Assumptions!$B$19)</f>
        <v>0.439024390243902</v>
      </c>
      <c r="M280" s="4" t="n">
        <f aca="false">0.4*J280+0.4*K280+0.2*L280</f>
        <v>0.290614037065704</v>
      </c>
    </row>
    <row r="281" customFormat="false" ht="15" hidden="false" customHeight="false" outlineLevel="0" collapsed="false">
      <c r="A281" s="3" t="s">
        <v>3</v>
      </c>
      <c r="B281" s="3" t="s">
        <v>350</v>
      </c>
      <c r="C281" s="3" t="s">
        <v>351</v>
      </c>
      <c r="D281" s="3" t="s">
        <v>484</v>
      </c>
      <c r="E281" s="3" t="n">
        <v>154.5</v>
      </c>
      <c r="F281" s="3" t="n">
        <v>8</v>
      </c>
      <c r="G281" s="3" t="n">
        <v>394</v>
      </c>
      <c r="H281" s="4" t="n">
        <f aca="false">G281/E281</f>
        <v>2.55016181229773</v>
      </c>
      <c r="I281" s="3" t="n">
        <v>3.2</v>
      </c>
      <c r="J281" s="4" t="n">
        <f aca="false">(F281-Assumptions!$B$17)/(Assumptions!$C$17-Assumptions!$B$17)</f>
        <v>0.636363636363636</v>
      </c>
      <c r="K281" s="4" t="n">
        <f aca="false">(H281-Assumptions!$B$18)/(Assumptions!$C$18-Assumptions!$B$18)</f>
        <v>0.0030886735545947</v>
      </c>
      <c r="L281" s="4" t="n">
        <f aca="false">(I281-Assumptions!$B$19)/(Assumptions!$C$19-Assumptions!$B$19)</f>
        <v>0.634146341463415</v>
      </c>
      <c r="M281" s="4" t="n">
        <f aca="false">0.4*J281+0.4*K281+0.2*L281</f>
        <v>0.382610192259975</v>
      </c>
    </row>
    <row r="282" customFormat="false" ht="15" hidden="false" customHeight="false" outlineLevel="0" collapsed="false">
      <c r="A282" s="3" t="s">
        <v>3</v>
      </c>
      <c r="B282" s="3" t="s">
        <v>353</v>
      </c>
      <c r="C282" s="3" t="s">
        <v>354</v>
      </c>
      <c r="D282" s="3" t="s">
        <v>495</v>
      </c>
      <c r="E282" s="3" t="n">
        <v>64.5</v>
      </c>
      <c r="F282" s="3" t="n">
        <v>4</v>
      </c>
      <c r="G282" s="3" t="n">
        <v>654</v>
      </c>
      <c r="H282" s="4" t="n">
        <f aca="false">G282/E282</f>
        <v>10.1395348837209</v>
      </c>
      <c r="I282" s="3" t="n">
        <v>3.3</v>
      </c>
      <c r="J282" s="4" t="n">
        <f aca="false">(F282-Assumptions!$B$17)/(Assumptions!$C$17-Assumptions!$B$17)</f>
        <v>0.272727272727273</v>
      </c>
      <c r="K282" s="4" t="n">
        <f aca="false">(H282-Assumptions!$B$18)/(Assumptions!$C$18-Assumptions!$B$18)</f>
        <v>0.0125054804489586</v>
      </c>
      <c r="L282" s="4" t="n">
        <f aca="false">(I282-Assumptions!$B$19)/(Assumptions!$C$19-Assumptions!$B$19)</f>
        <v>0.658536585365854</v>
      </c>
      <c r="M282" s="4" t="n">
        <f aca="false">0.4*J282+0.4*K282+0.2*L282</f>
        <v>0.245800418343663</v>
      </c>
    </row>
    <row r="283" customFormat="false" ht="15" hidden="false" customHeight="false" outlineLevel="0" collapsed="false">
      <c r="A283" s="3" t="s">
        <v>3</v>
      </c>
      <c r="B283" s="3" t="s">
        <v>356</v>
      </c>
      <c r="C283" s="3" t="s">
        <v>357</v>
      </c>
      <c r="D283" s="3" t="s">
        <v>496</v>
      </c>
      <c r="E283" s="3" t="n">
        <v>4.5</v>
      </c>
      <c r="F283" s="3" t="n">
        <v>12</v>
      </c>
      <c r="G283" s="3" t="n">
        <v>386</v>
      </c>
      <c r="H283" s="4" t="n">
        <f aca="false">G283/E283</f>
        <v>85.7777777777778</v>
      </c>
      <c r="I283" s="3" t="n">
        <v>4.7</v>
      </c>
      <c r="J283" s="4" t="n">
        <f aca="false">(F283-Assumptions!$B$17)/(Assumptions!$C$17-Assumptions!$B$17)</f>
        <v>1</v>
      </c>
      <c r="K283" s="4" t="n">
        <f aca="false">(H283-Assumptions!$B$18)/(Assumptions!$C$18-Assumptions!$B$18)</f>
        <v>0.106356543041242</v>
      </c>
      <c r="L283" s="4" t="n">
        <f aca="false">(I283-Assumptions!$B$19)/(Assumptions!$C$19-Assumptions!$B$19)</f>
        <v>1</v>
      </c>
      <c r="M283" s="4" t="n">
        <f aca="false">0.4*J283+0.4*K283+0.2*L283</f>
        <v>0.642542617216497</v>
      </c>
    </row>
    <row r="284" customFormat="false" ht="15" hidden="false" customHeight="false" outlineLevel="0" collapsed="false">
      <c r="A284" s="3" t="s">
        <v>3</v>
      </c>
      <c r="B284" s="3" t="s">
        <v>359</v>
      </c>
      <c r="C284" s="3" t="s">
        <v>360</v>
      </c>
      <c r="D284" s="3" t="s">
        <v>497</v>
      </c>
      <c r="E284" s="3" t="n">
        <v>335</v>
      </c>
      <c r="F284" s="3" t="n">
        <v>6</v>
      </c>
      <c r="G284" s="3" t="n">
        <v>654</v>
      </c>
      <c r="H284" s="4" t="n">
        <f aca="false">G284/E284</f>
        <v>1.95223880597015</v>
      </c>
      <c r="I284" s="3" t="n">
        <v>3.3</v>
      </c>
      <c r="J284" s="4" t="n">
        <f aca="false">(F284-Assumptions!$B$17)/(Assumptions!$C$17-Assumptions!$B$17)</f>
        <v>0.454545454545455</v>
      </c>
      <c r="K284" s="4" t="n">
        <f aca="false">(H284-Assumptions!$B$18)/(Assumptions!$C$18-Assumptions!$B$18)</f>
        <v>0.0023467775593266</v>
      </c>
      <c r="L284" s="4" t="n">
        <f aca="false">(I284-Assumptions!$B$19)/(Assumptions!$C$19-Assumptions!$B$19)</f>
        <v>0.658536585365854</v>
      </c>
      <c r="M284" s="4" t="n">
        <f aca="false">0.4*J284+0.4*K284+0.2*L284</f>
        <v>0.314464209915083</v>
      </c>
    </row>
    <row r="285" customFormat="false" ht="15" hidden="false" customHeight="false" outlineLevel="0" collapsed="false">
      <c r="A285" s="3" t="s">
        <v>3</v>
      </c>
      <c r="B285" s="3" t="s">
        <v>372</v>
      </c>
      <c r="C285" s="3" t="s">
        <v>373</v>
      </c>
      <c r="D285" s="3" t="s">
        <v>451</v>
      </c>
      <c r="E285" s="3" t="n">
        <v>392</v>
      </c>
      <c r="F285" s="3" t="n">
        <v>4</v>
      </c>
      <c r="G285" s="3" t="n">
        <v>814</v>
      </c>
      <c r="H285" s="4" t="n">
        <f aca="false">G285/E285</f>
        <v>2.0765306122449</v>
      </c>
      <c r="I285" s="3" t="n">
        <v>2.4</v>
      </c>
      <c r="J285" s="4" t="n">
        <f aca="false">(F285-Assumptions!$B$17)/(Assumptions!$C$17-Assumptions!$B$17)</f>
        <v>0.272727272727273</v>
      </c>
      <c r="K285" s="4" t="n">
        <f aca="false">(H285-Assumptions!$B$18)/(Assumptions!$C$18-Assumptions!$B$18)</f>
        <v>0.00250099740426322</v>
      </c>
      <c r="L285" s="4" t="n">
        <f aca="false">(I285-Assumptions!$B$19)/(Assumptions!$C$19-Assumptions!$B$19)</f>
        <v>0.439024390243902</v>
      </c>
      <c r="M285" s="4" t="n">
        <f aca="false">0.4*J285+0.4*K285+0.2*L285</f>
        <v>0.197896186101395</v>
      </c>
    </row>
    <row r="286" customFormat="false" ht="15" hidden="false" customHeight="false" outlineLevel="0" collapsed="false">
      <c r="A286" s="3" t="s">
        <v>3</v>
      </c>
      <c r="B286" s="3" t="s">
        <v>374</v>
      </c>
      <c r="C286" s="3" t="s">
        <v>373</v>
      </c>
      <c r="D286" s="3" t="s">
        <v>451</v>
      </c>
      <c r="E286" s="3" t="n">
        <v>951.5</v>
      </c>
      <c r="F286" s="3" t="n">
        <v>4</v>
      </c>
      <c r="G286" s="3" t="n">
        <v>814</v>
      </c>
      <c r="H286" s="4" t="n">
        <f aca="false">G286/E286</f>
        <v>0.855491329479769</v>
      </c>
      <c r="I286" s="3" t="n">
        <v>2.4</v>
      </c>
      <c r="J286" s="4" t="n">
        <f aca="false">(F286-Assumptions!$B$17)/(Assumptions!$C$17-Assumptions!$B$17)</f>
        <v>0.272727272727273</v>
      </c>
      <c r="K286" s="4" t="n">
        <f aca="false">(H286-Assumptions!$B$18)/(Assumptions!$C$18-Assumptions!$B$18)</f>
        <v>0.00098594589368098</v>
      </c>
      <c r="L286" s="4" t="n">
        <f aca="false">(I286-Assumptions!$B$19)/(Assumptions!$C$19-Assumptions!$B$19)</f>
        <v>0.439024390243902</v>
      </c>
      <c r="M286" s="4" t="n">
        <f aca="false">0.4*J286+0.4*K286+0.2*L286</f>
        <v>0.197290165497162</v>
      </c>
    </row>
    <row r="287" customFormat="false" ht="15" hidden="false" customHeight="false" outlineLevel="0" collapsed="false">
      <c r="A287" s="3" t="s">
        <v>3</v>
      </c>
      <c r="B287" s="3" t="s">
        <v>375</v>
      </c>
      <c r="C287" s="3" t="s">
        <v>376</v>
      </c>
      <c r="D287" s="3" t="s">
        <v>498</v>
      </c>
      <c r="E287" s="3" t="n">
        <v>236</v>
      </c>
      <c r="F287" s="3" t="n">
        <v>8</v>
      </c>
      <c r="G287" s="3" t="n">
        <v>394</v>
      </c>
      <c r="H287" s="4" t="n">
        <f aca="false">G287/E287</f>
        <v>1.66949152542373</v>
      </c>
      <c r="I287" s="3" t="n">
        <v>3.2</v>
      </c>
      <c r="J287" s="4" t="n">
        <f aca="false">(F287-Assumptions!$B$17)/(Assumptions!$C$17-Assumptions!$B$17)</f>
        <v>0.636363636363636</v>
      </c>
      <c r="K287" s="4" t="n">
        <f aca="false">(H287-Assumptions!$B$18)/(Assumptions!$C$18-Assumptions!$B$18)</f>
        <v>0.00199594798279178</v>
      </c>
      <c r="L287" s="4" t="n">
        <f aca="false">(I287-Assumptions!$B$19)/(Assumptions!$C$19-Assumptions!$B$19)</f>
        <v>0.634146341463415</v>
      </c>
      <c r="M287" s="4" t="n">
        <f aca="false">0.4*J287+0.4*K287+0.2*L287</f>
        <v>0.382173102031254</v>
      </c>
    </row>
    <row r="288" customFormat="false" ht="15" hidden="false" customHeight="false" outlineLevel="0" collapsed="false">
      <c r="A288" s="3" t="s">
        <v>3</v>
      </c>
      <c r="B288" s="3" t="s">
        <v>378</v>
      </c>
      <c r="C288" s="3" t="s">
        <v>379</v>
      </c>
      <c r="D288" s="3" t="s">
        <v>499</v>
      </c>
      <c r="E288" s="3" t="n">
        <v>402.5</v>
      </c>
      <c r="F288" s="3" t="n">
        <v>4</v>
      </c>
      <c r="G288" s="3" t="n">
        <v>654</v>
      </c>
      <c r="H288" s="4" t="n">
        <f aca="false">G288/E288</f>
        <v>1.62484472049689</v>
      </c>
      <c r="I288" s="3" t="n">
        <v>3.3</v>
      </c>
      <c r="J288" s="4" t="n">
        <f aca="false">(F288-Assumptions!$B$17)/(Assumptions!$C$17-Assumptions!$B$17)</f>
        <v>0.272727272727273</v>
      </c>
      <c r="K288" s="4" t="n">
        <f aca="false">(H288-Assumptions!$B$18)/(Assumptions!$C$18-Assumptions!$B$18)</f>
        <v>0.00194055074029366</v>
      </c>
      <c r="L288" s="4" t="n">
        <f aca="false">(I288-Assumptions!$B$19)/(Assumptions!$C$19-Assumptions!$B$19)</f>
        <v>0.658536585365854</v>
      </c>
      <c r="M288" s="4" t="n">
        <f aca="false">0.4*J288+0.4*K288+0.2*L288</f>
        <v>0.241574446460197</v>
      </c>
    </row>
    <row r="289" customFormat="false" ht="15" hidden="false" customHeight="false" outlineLevel="0" collapsed="false">
      <c r="A289" s="3" t="s">
        <v>3</v>
      </c>
      <c r="B289" s="3" t="s">
        <v>381</v>
      </c>
      <c r="C289" s="3" t="s">
        <v>382</v>
      </c>
      <c r="D289" s="3" t="s">
        <v>500</v>
      </c>
      <c r="E289" s="3" t="n">
        <v>65</v>
      </c>
      <c r="F289" s="3" t="n">
        <v>4</v>
      </c>
      <c r="G289" s="3" t="n">
        <v>654</v>
      </c>
      <c r="H289" s="4" t="n">
        <f aca="false">G289/E289</f>
        <v>10.0615384615385</v>
      </c>
      <c r="I289" s="3" t="n">
        <v>3.3</v>
      </c>
      <c r="J289" s="4" t="n">
        <f aca="false">(F289-Assumptions!$B$17)/(Assumptions!$C$17-Assumptions!$B$17)</f>
        <v>0.272727272727273</v>
      </c>
      <c r="K289" s="4" t="n">
        <f aca="false">(H289-Assumptions!$B$18)/(Assumptions!$C$18-Assumptions!$B$18)</f>
        <v>0.0124087033846041</v>
      </c>
      <c r="L289" s="4" t="n">
        <f aca="false">(I289-Assumptions!$B$19)/(Assumptions!$C$19-Assumptions!$B$19)</f>
        <v>0.658536585365854</v>
      </c>
      <c r="M289" s="4" t="n">
        <f aca="false">0.4*J289+0.4*K289+0.2*L289</f>
        <v>0.245761707517921</v>
      </c>
    </row>
    <row r="290" customFormat="false" ht="15" hidden="false" customHeight="false" outlineLevel="0" collapsed="false">
      <c r="A290" s="3" t="s">
        <v>3</v>
      </c>
      <c r="B290" s="3" t="s">
        <v>384</v>
      </c>
      <c r="C290" s="3" t="s">
        <v>385</v>
      </c>
      <c r="D290" s="3" t="s">
        <v>501</v>
      </c>
      <c r="E290" s="3" t="n">
        <v>663</v>
      </c>
      <c r="F290" s="3" t="n">
        <v>6</v>
      </c>
      <c r="G290" s="3" t="n">
        <v>394</v>
      </c>
      <c r="H290" s="4" t="n">
        <f aca="false">G290/E290</f>
        <v>0.594268476621418</v>
      </c>
      <c r="I290" s="3" t="n">
        <v>3.2</v>
      </c>
      <c r="J290" s="4" t="n">
        <f aca="false">(F290-Assumptions!$B$17)/(Assumptions!$C$17-Assumptions!$B$17)</f>
        <v>0.454545454545455</v>
      </c>
      <c r="K290" s="4" t="n">
        <f aca="false">(H290-Assumptions!$B$18)/(Assumptions!$C$18-Assumptions!$B$18)</f>
        <v>0.000661823579675319</v>
      </c>
      <c r="L290" s="4" t="n">
        <f aca="false">(I290-Assumptions!$B$19)/(Assumptions!$C$19-Assumptions!$B$19)</f>
        <v>0.634146341463415</v>
      </c>
      <c r="M290" s="4" t="n">
        <f aca="false">0.4*J290+0.4*K290+0.2*L290</f>
        <v>0.308912179542735</v>
      </c>
    </row>
    <row r="291" customFormat="false" ht="15" hidden="false" customHeight="false" outlineLevel="0" collapsed="false">
      <c r="A291" s="3" t="s">
        <v>3</v>
      </c>
      <c r="B291" s="3" t="s">
        <v>387</v>
      </c>
      <c r="C291" s="3" t="s">
        <v>388</v>
      </c>
      <c r="D291" s="3" t="s">
        <v>502</v>
      </c>
      <c r="E291" s="3" t="n">
        <v>4.5</v>
      </c>
      <c r="F291" s="3" t="n">
        <v>5</v>
      </c>
      <c r="G291" s="3" t="n">
        <v>814</v>
      </c>
      <c r="H291" s="4" t="n">
        <f aca="false">G291/E291</f>
        <v>180.888888888889</v>
      </c>
      <c r="I291" s="3" t="n">
        <v>2.4</v>
      </c>
      <c r="J291" s="4" t="n">
        <f aca="false">(F291-Assumptions!$B$17)/(Assumptions!$C$17-Assumptions!$B$17)</f>
        <v>0.363636363636364</v>
      </c>
      <c r="K291" s="4" t="n">
        <f aca="false">(H291-Assumptions!$B$18)/(Assumptions!$C$18-Assumptions!$B$18)</f>
        <v>0.224369316746379</v>
      </c>
      <c r="L291" s="4" t="n">
        <f aca="false">(I291-Assumptions!$B$19)/(Assumptions!$C$19-Assumptions!$B$19)</f>
        <v>0.439024390243902</v>
      </c>
      <c r="M291" s="4" t="n">
        <f aca="false">0.4*J291+0.4*K291+0.2*L291</f>
        <v>0.323007150201878</v>
      </c>
    </row>
    <row r="292" customFormat="false" ht="15" hidden="false" customHeight="false" outlineLevel="0" collapsed="false">
      <c r="A292" s="3" t="s">
        <v>3</v>
      </c>
      <c r="B292" s="3" t="s">
        <v>390</v>
      </c>
      <c r="C292" s="3" t="s">
        <v>391</v>
      </c>
      <c r="D292" s="3" t="s">
        <v>503</v>
      </c>
      <c r="E292" s="3" t="n">
        <v>29.5</v>
      </c>
      <c r="F292" s="3" t="n">
        <v>11</v>
      </c>
      <c r="G292" s="3" t="n">
        <v>350</v>
      </c>
      <c r="H292" s="4" t="n">
        <f aca="false">G292/E292</f>
        <v>11.864406779661</v>
      </c>
      <c r="I292" s="3" t="n">
        <v>4.7</v>
      </c>
      <c r="J292" s="4" t="n">
        <f aca="false">(F292-Assumptions!$B$17)/(Assumptions!$C$17-Assumptions!$B$17)</f>
        <v>0.909090909090909</v>
      </c>
      <c r="K292" s="4" t="n">
        <f aca="false">(H292-Assumptions!$B$18)/(Assumptions!$C$18-Assumptions!$B$18)</f>
        <v>0.0146456816762172</v>
      </c>
      <c r="L292" s="4" t="n">
        <f aca="false">(I292-Assumptions!$B$19)/(Assumptions!$C$19-Assumptions!$B$19)</f>
        <v>1</v>
      </c>
      <c r="M292" s="4" t="n">
        <f aca="false">0.4*J292+0.4*K292+0.2*L292</f>
        <v>0.569494636306851</v>
      </c>
    </row>
    <row r="293" customFormat="false" ht="15" hidden="false" customHeight="false" outlineLevel="0" collapsed="false">
      <c r="A293" s="3" t="s">
        <v>3</v>
      </c>
      <c r="B293" s="3" t="s">
        <v>393</v>
      </c>
      <c r="C293" s="3" t="s">
        <v>391</v>
      </c>
      <c r="D293" s="3" t="s">
        <v>503</v>
      </c>
      <c r="E293" s="3" t="n">
        <v>19.5</v>
      </c>
      <c r="F293" s="3" t="n">
        <v>11</v>
      </c>
      <c r="G293" s="3" t="n">
        <v>350</v>
      </c>
      <c r="H293" s="4" t="n">
        <f aca="false">G293/E293</f>
        <v>17.948717948718</v>
      </c>
      <c r="I293" s="3" t="n">
        <v>4.7</v>
      </c>
      <c r="J293" s="4" t="n">
        <f aca="false">(F293-Assumptions!$B$17)/(Assumptions!$C$17-Assumptions!$B$17)</f>
        <v>0.909090909090909</v>
      </c>
      <c r="K293" s="4" t="n">
        <f aca="false">(H293-Assumptions!$B$18)/(Assumptions!$C$18-Assumptions!$B$18)</f>
        <v>0.0221950250574204</v>
      </c>
      <c r="L293" s="4" t="n">
        <f aca="false">(I293-Assumptions!$B$19)/(Assumptions!$C$19-Assumptions!$B$19)</f>
        <v>1</v>
      </c>
      <c r="M293" s="4" t="n">
        <f aca="false">0.4*J293+0.4*K293+0.2*L293</f>
        <v>0.572514373659332</v>
      </c>
    </row>
    <row r="294" customFormat="false" ht="15" hidden="false" customHeight="false" outlineLevel="0" collapsed="false">
      <c r="A294" s="3" t="s">
        <v>3</v>
      </c>
      <c r="B294" s="3" t="s">
        <v>394</v>
      </c>
      <c r="C294" s="3" t="s">
        <v>391</v>
      </c>
      <c r="D294" s="3" t="s">
        <v>503</v>
      </c>
      <c r="E294" s="3" t="n">
        <v>4</v>
      </c>
      <c r="F294" s="3" t="n">
        <v>11</v>
      </c>
      <c r="G294" s="3" t="n">
        <v>350</v>
      </c>
      <c r="H294" s="4" t="n">
        <f aca="false">G294/E294</f>
        <v>87.5</v>
      </c>
      <c r="I294" s="3" t="n">
        <v>4.7</v>
      </c>
      <c r="J294" s="4" t="n">
        <f aca="false">(F294-Assumptions!$B$17)/(Assumptions!$C$17-Assumptions!$B$17)</f>
        <v>0.909090909090909</v>
      </c>
      <c r="K294" s="4" t="n">
        <f aca="false">(H294-Assumptions!$B$18)/(Assumptions!$C$18-Assumptions!$B$18)</f>
        <v>0.1084934565838</v>
      </c>
      <c r="L294" s="4" t="n">
        <f aca="false">(I294-Assumptions!$B$19)/(Assumptions!$C$19-Assumptions!$B$19)</f>
        <v>1</v>
      </c>
      <c r="M294" s="4" t="n">
        <f aca="false">0.4*J294+0.4*K294+0.2*L294</f>
        <v>0.607033746269884</v>
      </c>
    </row>
    <row r="295" customFormat="false" ht="15" hidden="false" customHeight="false" outlineLevel="0" collapsed="false">
      <c r="A295" s="3" t="s">
        <v>3</v>
      </c>
      <c r="B295" s="3" t="s">
        <v>395</v>
      </c>
      <c r="C295" s="3" t="s">
        <v>391</v>
      </c>
      <c r="D295" s="3" t="s">
        <v>503</v>
      </c>
      <c r="E295" s="3" t="n">
        <v>6</v>
      </c>
      <c r="F295" s="3" t="n">
        <v>11</v>
      </c>
      <c r="G295" s="3" t="n">
        <v>350</v>
      </c>
      <c r="H295" s="4" t="n">
        <f aca="false">G295/E295</f>
        <v>58.3333333333333</v>
      </c>
      <c r="I295" s="3" t="n">
        <v>4.7</v>
      </c>
      <c r="J295" s="4" t="n">
        <f aca="false">(F295-Assumptions!$B$17)/(Assumptions!$C$17-Assumptions!$B$17)</f>
        <v>0.909090909090909</v>
      </c>
      <c r="K295" s="4" t="n">
        <f aca="false">(H295-Assumptions!$B$18)/(Assumptions!$C$18-Assumptions!$B$18)</f>
        <v>0.0723037917501569</v>
      </c>
      <c r="L295" s="4" t="n">
        <f aca="false">(I295-Assumptions!$B$19)/(Assumptions!$C$19-Assumptions!$B$19)</f>
        <v>1</v>
      </c>
      <c r="M295" s="4" t="n">
        <f aca="false">0.4*J295+0.4*K295+0.2*L295</f>
        <v>0.592557880336426</v>
      </c>
    </row>
    <row r="296" customFormat="false" ht="15" hidden="false" customHeight="false" outlineLevel="0" collapsed="false">
      <c r="A296" s="3" t="s">
        <v>3</v>
      </c>
      <c r="B296" s="3" t="s">
        <v>396</v>
      </c>
      <c r="C296" s="3" t="s">
        <v>391</v>
      </c>
      <c r="D296" s="3" t="s">
        <v>503</v>
      </c>
      <c r="E296" s="3" t="n">
        <v>29.5</v>
      </c>
      <c r="F296" s="3" t="n">
        <v>11</v>
      </c>
      <c r="G296" s="3" t="n">
        <v>350</v>
      </c>
      <c r="H296" s="4" t="n">
        <f aca="false">G296/E296</f>
        <v>11.864406779661</v>
      </c>
      <c r="I296" s="3" t="n">
        <v>4.7</v>
      </c>
      <c r="J296" s="4" t="n">
        <f aca="false">(F296-Assumptions!$B$17)/(Assumptions!$C$17-Assumptions!$B$17)</f>
        <v>0.909090909090909</v>
      </c>
      <c r="K296" s="4" t="n">
        <f aca="false">(H296-Assumptions!$B$18)/(Assumptions!$C$18-Assumptions!$B$18)</f>
        <v>0.0146456816762172</v>
      </c>
      <c r="L296" s="4" t="n">
        <f aca="false">(I296-Assumptions!$B$19)/(Assumptions!$C$19-Assumptions!$B$19)</f>
        <v>1</v>
      </c>
      <c r="M296" s="4" t="n">
        <f aca="false">0.4*J296+0.4*K296+0.2*L296</f>
        <v>0.569494636306851</v>
      </c>
    </row>
    <row r="297" customFormat="false" ht="15" hidden="false" customHeight="false" outlineLevel="0" collapsed="false">
      <c r="A297" s="3" t="s">
        <v>3</v>
      </c>
      <c r="B297" s="3" t="s">
        <v>397</v>
      </c>
      <c r="C297" s="3" t="s">
        <v>391</v>
      </c>
      <c r="D297" s="3" t="s">
        <v>503</v>
      </c>
      <c r="E297" s="3" t="n">
        <v>411</v>
      </c>
      <c r="F297" s="3" t="n">
        <v>11</v>
      </c>
      <c r="G297" s="3" t="n">
        <v>350</v>
      </c>
      <c r="H297" s="4" t="n">
        <f aca="false">G297/E297</f>
        <v>0.851581508515815</v>
      </c>
      <c r="I297" s="3" t="n">
        <v>4.7</v>
      </c>
      <c r="J297" s="4" t="n">
        <f aca="false">(F297-Assumptions!$B$17)/(Assumptions!$C$17-Assumptions!$B$17)</f>
        <v>0.909090909090909</v>
      </c>
      <c r="K297" s="4" t="n">
        <f aca="false">(H297-Assumptions!$B$18)/(Assumptions!$C$18-Assumptions!$B$18)</f>
        <v>0.000981094632758293</v>
      </c>
      <c r="L297" s="4" t="n">
        <f aca="false">(I297-Assumptions!$B$19)/(Assumptions!$C$19-Assumptions!$B$19)</f>
        <v>1</v>
      </c>
      <c r="M297" s="4" t="n">
        <f aca="false">0.4*J297+0.4*K297+0.2*L297</f>
        <v>0.564028801489467</v>
      </c>
    </row>
    <row r="298" customFormat="false" ht="15" hidden="false" customHeight="false" outlineLevel="0" collapsed="false">
      <c r="A298" s="3" t="s">
        <v>3</v>
      </c>
      <c r="B298" s="3" t="s">
        <v>398</v>
      </c>
      <c r="C298" s="3" t="s">
        <v>399</v>
      </c>
      <c r="D298" s="3" t="s">
        <v>504</v>
      </c>
      <c r="E298" s="3" t="n">
        <v>177</v>
      </c>
      <c r="F298" s="3" t="n">
        <v>4</v>
      </c>
      <c r="G298" s="3" t="n">
        <v>654</v>
      </c>
      <c r="H298" s="4" t="n">
        <f aca="false">G298/E298</f>
        <v>3.69491525423729</v>
      </c>
      <c r="I298" s="3" t="n">
        <v>3.3</v>
      </c>
      <c r="J298" s="4" t="n">
        <f aca="false">(F298-Assumptions!$B$17)/(Assumptions!$C$17-Assumptions!$B$17)</f>
        <v>0.272727272727273</v>
      </c>
      <c r="K298" s="4" t="n">
        <f aca="false">(H298-Assumptions!$B$18)/(Assumptions!$C$18-Assumptions!$B$18)</f>
        <v>0.00450907047051304</v>
      </c>
      <c r="L298" s="4" t="n">
        <f aca="false">(I298-Assumptions!$B$19)/(Assumptions!$C$19-Assumptions!$B$19)</f>
        <v>0.658536585365854</v>
      </c>
      <c r="M298" s="4" t="n">
        <f aca="false">0.4*J298+0.4*K298+0.2*L298</f>
        <v>0.242601854352285</v>
      </c>
    </row>
    <row r="299" customFormat="false" ht="15" hidden="false" customHeight="false" outlineLevel="0" collapsed="false">
      <c r="A299" s="3" t="s">
        <v>3</v>
      </c>
      <c r="B299" s="3" t="s">
        <v>401</v>
      </c>
      <c r="C299" s="3" t="s">
        <v>402</v>
      </c>
      <c r="D299" s="3" t="s">
        <v>505</v>
      </c>
      <c r="E299" s="3" t="n">
        <v>6.5</v>
      </c>
      <c r="F299" s="3" t="n">
        <v>12</v>
      </c>
      <c r="G299" s="3" t="n">
        <v>314</v>
      </c>
      <c r="H299" s="4" t="n">
        <f aca="false">G299/E299</f>
        <v>48.3076923076923</v>
      </c>
      <c r="I299" s="3" t="n">
        <v>4.7</v>
      </c>
      <c r="J299" s="4" t="n">
        <f aca="false">(F299-Assumptions!$B$17)/(Assumptions!$C$17-Assumptions!$B$17)</f>
        <v>1</v>
      </c>
      <c r="K299" s="4" t="n">
        <f aca="false">(H299-Assumptions!$B$18)/(Assumptions!$C$18-Assumptions!$B$18)</f>
        <v>0.0598640915743728</v>
      </c>
      <c r="L299" s="4" t="n">
        <f aca="false">(I299-Assumptions!$B$19)/(Assumptions!$C$19-Assumptions!$B$19)</f>
        <v>1</v>
      </c>
      <c r="M299" s="4" t="n">
        <f aca="false">0.4*J299+0.4*K299+0.2*L299</f>
        <v>0.623945636629749</v>
      </c>
    </row>
    <row r="300" customFormat="false" ht="15" hidden="false" customHeight="false" outlineLevel="0" collapsed="false">
      <c r="A300" s="3" t="s">
        <v>3</v>
      </c>
      <c r="B300" s="3" t="s">
        <v>404</v>
      </c>
      <c r="C300" s="3" t="s">
        <v>402</v>
      </c>
      <c r="D300" s="3" t="s">
        <v>505</v>
      </c>
      <c r="E300" s="3" t="n">
        <v>27.5</v>
      </c>
      <c r="F300" s="3" t="n">
        <v>12</v>
      </c>
      <c r="G300" s="3" t="n">
        <v>314</v>
      </c>
      <c r="H300" s="4" t="n">
        <f aca="false">G300/E300</f>
        <v>11.4181818181818</v>
      </c>
      <c r="I300" s="3" t="n">
        <v>4.7</v>
      </c>
      <c r="J300" s="4" t="n">
        <f aca="false">(F300-Assumptions!$B$17)/(Assumptions!$C$17-Assumptions!$B$17)</f>
        <v>1</v>
      </c>
      <c r="K300" s="4" t="n">
        <f aca="false">(H300-Assumptions!$B$18)/(Assumptions!$C$18-Assumptions!$B$18)</f>
        <v>0.0140920108717714</v>
      </c>
      <c r="L300" s="4" t="n">
        <f aca="false">(I300-Assumptions!$B$19)/(Assumptions!$C$19-Assumptions!$B$19)</f>
        <v>1</v>
      </c>
      <c r="M300" s="4" t="n">
        <f aca="false">0.4*J300+0.4*K300+0.2*L300</f>
        <v>0.605636804348709</v>
      </c>
    </row>
    <row r="301" customFormat="false" ht="15" hidden="false" customHeight="false" outlineLevel="0" collapsed="false">
      <c r="A301" s="3" t="s">
        <v>3</v>
      </c>
      <c r="B301" s="3" t="s">
        <v>405</v>
      </c>
      <c r="C301" s="3" t="s">
        <v>402</v>
      </c>
      <c r="D301" s="3" t="s">
        <v>505</v>
      </c>
      <c r="E301" s="3" t="n">
        <v>8</v>
      </c>
      <c r="F301" s="3" t="n">
        <v>12</v>
      </c>
      <c r="G301" s="3" t="n">
        <v>314</v>
      </c>
      <c r="H301" s="4" t="n">
        <f aca="false">G301/E301</f>
        <v>39.25</v>
      </c>
      <c r="I301" s="3" t="n">
        <v>4.7</v>
      </c>
      <c r="J301" s="4" t="n">
        <f aca="false">(F301-Assumptions!$B$17)/(Assumptions!$C$17-Assumptions!$B$17)</f>
        <v>1</v>
      </c>
      <c r="K301" s="4" t="n">
        <f aca="false">(H301-Assumptions!$B$18)/(Assumptions!$C$18-Assumptions!$B$18)</f>
        <v>0.0486254110447162</v>
      </c>
      <c r="L301" s="4" t="n">
        <f aca="false">(I301-Assumptions!$B$19)/(Assumptions!$C$19-Assumptions!$B$19)</f>
        <v>1</v>
      </c>
      <c r="M301" s="4" t="n">
        <f aca="false">0.4*J301+0.4*K301+0.2*L301</f>
        <v>0.619450164417887</v>
      </c>
    </row>
    <row r="302" customFormat="false" ht="15" hidden="false" customHeight="false" outlineLevel="0" collapsed="false">
      <c r="A302" s="3" t="s">
        <v>3</v>
      </c>
      <c r="B302" s="3" t="s">
        <v>406</v>
      </c>
      <c r="C302" s="3" t="s">
        <v>402</v>
      </c>
      <c r="D302" s="3" t="s">
        <v>505</v>
      </c>
      <c r="E302" s="3" t="n">
        <v>5</v>
      </c>
      <c r="F302" s="3" t="n">
        <v>12</v>
      </c>
      <c r="G302" s="3" t="n">
        <v>314</v>
      </c>
      <c r="H302" s="4" t="n">
        <f aca="false">G302/E302</f>
        <v>62.8</v>
      </c>
      <c r="I302" s="3" t="n">
        <v>4.7</v>
      </c>
      <c r="J302" s="4" t="n">
        <f aca="false">(F302-Assumptions!$B$17)/(Assumptions!$C$17-Assumptions!$B$17)</f>
        <v>1</v>
      </c>
      <c r="K302" s="4" t="n">
        <f aca="false">(H302-Assumptions!$B$18)/(Assumptions!$C$18-Assumptions!$B$18)</f>
        <v>0.0778459804218234</v>
      </c>
      <c r="L302" s="4" t="n">
        <f aca="false">(I302-Assumptions!$B$19)/(Assumptions!$C$19-Assumptions!$B$19)</f>
        <v>1</v>
      </c>
      <c r="M302" s="4" t="n">
        <f aca="false">0.4*J302+0.4*K302+0.2*L302</f>
        <v>0.63113839216873</v>
      </c>
    </row>
    <row r="303" customFormat="false" ht="15" hidden="false" customHeight="false" outlineLevel="0" collapsed="false">
      <c r="A303" s="3" t="s">
        <v>3</v>
      </c>
      <c r="B303" s="3" t="s">
        <v>407</v>
      </c>
      <c r="C303" s="3" t="s">
        <v>402</v>
      </c>
      <c r="D303" s="3" t="s">
        <v>505</v>
      </c>
      <c r="E303" s="3" t="n">
        <v>1</v>
      </c>
      <c r="F303" s="3" t="n">
        <v>12</v>
      </c>
      <c r="G303" s="3" t="n">
        <v>314</v>
      </c>
      <c r="H303" s="4" t="n">
        <f aca="false">G303/E303</f>
        <v>314</v>
      </c>
      <c r="I303" s="3" t="n">
        <v>4.7</v>
      </c>
      <c r="J303" s="4" t="n">
        <f aca="false">(F303-Assumptions!$B$17)/(Assumptions!$C$17-Assumptions!$B$17)</f>
        <v>1</v>
      </c>
      <c r="K303" s="4" t="n">
        <f aca="false">(H303-Assumptions!$B$18)/(Assumptions!$C$18-Assumptions!$B$18)</f>
        <v>0.389532053777633</v>
      </c>
      <c r="L303" s="4" t="n">
        <f aca="false">(I303-Assumptions!$B$19)/(Assumptions!$C$19-Assumptions!$B$19)</f>
        <v>1</v>
      </c>
      <c r="M303" s="4" t="n">
        <f aca="false">0.4*J303+0.4*K303+0.2*L303</f>
        <v>0.755812821511053</v>
      </c>
    </row>
    <row r="304" customFormat="false" ht="15" hidden="false" customHeight="false" outlineLevel="0" collapsed="false">
      <c r="A304" s="3" t="s">
        <v>3</v>
      </c>
      <c r="B304" s="3" t="s">
        <v>408</v>
      </c>
      <c r="C304" s="3" t="s">
        <v>409</v>
      </c>
      <c r="D304" s="3" t="s">
        <v>506</v>
      </c>
      <c r="E304" s="3" t="n">
        <v>3.5</v>
      </c>
      <c r="F304" s="3" t="n">
        <v>4</v>
      </c>
      <c r="G304" s="3" t="n">
        <v>654</v>
      </c>
      <c r="H304" s="4" t="n">
        <f aca="false">G304/E304</f>
        <v>186.857142857143</v>
      </c>
      <c r="I304" s="3" t="n">
        <v>3.3</v>
      </c>
      <c r="J304" s="4" t="n">
        <f aca="false">(F304-Assumptions!$B$17)/(Assumptions!$C$17-Assumptions!$B$17)</f>
        <v>0.272727272727273</v>
      </c>
      <c r="K304" s="4" t="n">
        <f aca="false">(H304-Assumptions!$B$18)/(Assumptions!$C$18-Assumptions!$B$18)</f>
        <v>0.231774657686488</v>
      </c>
      <c r="L304" s="4" t="n">
        <f aca="false">(I304-Assumptions!$B$19)/(Assumptions!$C$19-Assumptions!$B$19)</f>
        <v>0.658536585365854</v>
      </c>
      <c r="M304" s="4" t="n">
        <f aca="false">0.4*J304+0.4*K304+0.2*L304</f>
        <v>0.333508089238675</v>
      </c>
    </row>
    <row r="305" customFormat="false" ht="15" hidden="false" customHeight="false" outlineLevel="0" collapsed="false">
      <c r="A305" s="3" t="s">
        <v>3</v>
      </c>
      <c r="B305" s="3" t="s">
        <v>411</v>
      </c>
      <c r="C305" s="3" t="s">
        <v>409</v>
      </c>
      <c r="D305" s="3" t="s">
        <v>506</v>
      </c>
      <c r="E305" s="3" t="n">
        <v>40.5</v>
      </c>
      <c r="F305" s="3" t="n">
        <v>4</v>
      </c>
      <c r="G305" s="3" t="n">
        <v>654</v>
      </c>
      <c r="H305" s="4" t="n">
        <f aca="false">G305/E305</f>
        <v>16.1481481481482</v>
      </c>
      <c r="I305" s="3" t="n">
        <v>3.3</v>
      </c>
      <c r="J305" s="4" t="n">
        <f aca="false">(F305-Assumptions!$B$17)/(Assumptions!$C$17-Assumptions!$B$17)</f>
        <v>0.272727272727273</v>
      </c>
      <c r="K305" s="4" t="n">
        <f aca="false">(H305-Assumptions!$B$18)/(Assumptions!$C$18-Assumptions!$B$18)</f>
        <v>0.0199608987399736</v>
      </c>
      <c r="L305" s="4" t="n">
        <f aca="false">(I305-Assumptions!$B$19)/(Assumptions!$C$19-Assumptions!$B$19)</f>
        <v>0.658536585365854</v>
      </c>
      <c r="M305" s="4" t="n">
        <f aca="false">0.4*J305+0.4*K305+0.2*L305</f>
        <v>0.248782585660069</v>
      </c>
    </row>
    <row r="306" customFormat="false" ht="15" hidden="false" customHeight="false" outlineLevel="0" collapsed="false">
      <c r="A306" s="3" t="s">
        <v>3</v>
      </c>
      <c r="B306" s="3" t="s">
        <v>412</v>
      </c>
      <c r="C306" s="3" t="s">
        <v>409</v>
      </c>
      <c r="D306" s="3" t="s">
        <v>506</v>
      </c>
      <c r="E306" s="3" t="n">
        <v>20.5</v>
      </c>
      <c r="F306" s="3" t="n">
        <v>4</v>
      </c>
      <c r="G306" s="3" t="n">
        <v>654</v>
      </c>
      <c r="H306" s="4" t="n">
        <f aca="false">G306/E306</f>
        <v>31.9024390243902</v>
      </c>
      <c r="I306" s="3" t="n">
        <v>3.3</v>
      </c>
      <c r="J306" s="4" t="n">
        <f aca="false">(F306-Assumptions!$B$17)/(Assumptions!$C$17-Assumptions!$B$17)</f>
        <v>0.272727272727273</v>
      </c>
      <c r="K306" s="4" t="n">
        <f aca="false">(H306-Assumptions!$B$18)/(Assumptions!$C$18-Assumptions!$B$18)</f>
        <v>0.0395086418200737</v>
      </c>
      <c r="L306" s="4" t="n">
        <f aca="false">(I306-Assumptions!$B$19)/(Assumptions!$C$19-Assumptions!$B$19)</f>
        <v>0.658536585365854</v>
      </c>
      <c r="M306" s="4" t="n">
        <f aca="false">0.4*J306+0.4*K306+0.2*L306</f>
        <v>0.256601682892109</v>
      </c>
    </row>
    <row r="307" customFormat="false" ht="15" hidden="false" customHeight="false" outlineLevel="0" collapsed="false">
      <c r="A307" s="3" t="s">
        <v>3</v>
      </c>
      <c r="B307" s="3" t="s">
        <v>413</v>
      </c>
      <c r="C307" s="3" t="s">
        <v>409</v>
      </c>
      <c r="D307" s="3" t="s">
        <v>506</v>
      </c>
      <c r="E307" s="3" t="n">
        <v>7</v>
      </c>
      <c r="F307" s="3" t="n">
        <v>4</v>
      </c>
      <c r="G307" s="3" t="n">
        <v>654</v>
      </c>
      <c r="H307" s="4" t="n">
        <f aca="false">G307/E307</f>
        <v>93.4285714285714</v>
      </c>
      <c r="I307" s="3" t="n">
        <v>3.3</v>
      </c>
      <c r="J307" s="4" t="n">
        <f aca="false">(F307-Assumptions!$B$17)/(Assumptions!$C$17-Assumptions!$B$17)</f>
        <v>0.272727272727273</v>
      </c>
      <c r="K307" s="4" t="n">
        <f aca="false">(H307-Assumptions!$B$18)/(Assumptions!$C$18-Assumptions!$B$18)</f>
        <v>0.115849559884679</v>
      </c>
      <c r="L307" s="4" t="n">
        <f aca="false">(I307-Assumptions!$B$19)/(Assumptions!$C$19-Assumptions!$B$19)</f>
        <v>0.658536585365854</v>
      </c>
      <c r="M307" s="4" t="n">
        <f aca="false">0.4*J307+0.4*K307+0.2*L307</f>
        <v>0.287138050117951</v>
      </c>
    </row>
    <row r="308" customFormat="false" ht="15" hidden="false" customHeight="false" outlineLevel="0" collapsed="false">
      <c r="A308" s="3" t="s">
        <v>3</v>
      </c>
      <c r="B308" s="3" t="s">
        <v>414</v>
      </c>
      <c r="C308" s="3" t="s">
        <v>415</v>
      </c>
      <c r="D308" s="3" t="s">
        <v>507</v>
      </c>
      <c r="E308" s="3" t="n">
        <v>165.5</v>
      </c>
      <c r="F308" s="3" t="n">
        <v>11</v>
      </c>
      <c r="G308" s="3" t="n">
        <v>314</v>
      </c>
      <c r="H308" s="4" t="n">
        <f aca="false">G308/E308</f>
        <v>1.89728096676737</v>
      </c>
      <c r="I308" s="3" t="n">
        <v>4.7</v>
      </c>
      <c r="J308" s="4" t="n">
        <f aca="false">(F308-Assumptions!$B$17)/(Assumptions!$C$17-Assumptions!$B$17)</f>
        <v>0.909090909090909</v>
      </c>
      <c r="K308" s="4" t="n">
        <f aca="false">(H308-Assumptions!$B$18)/(Assumptions!$C$18-Assumptions!$B$18)</f>
        <v>0.0022785865039873</v>
      </c>
      <c r="L308" s="4" t="n">
        <f aca="false">(I308-Assumptions!$B$19)/(Assumptions!$C$19-Assumptions!$B$19)</f>
        <v>1</v>
      </c>
      <c r="M308" s="4" t="n">
        <f aca="false">0.4*J308+0.4*K308+0.2*L308</f>
        <v>0.564547798237959</v>
      </c>
    </row>
    <row r="309" customFormat="false" ht="15" hidden="false" customHeight="false" outlineLevel="0" collapsed="false">
      <c r="A309" s="3" t="s">
        <v>3</v>
      </c>
      <c r="B309" s="3" t="s">
        <v>417</v>
      </c>
      <c r="C309" s="3" t="s">
        <v>415</v>
      </c>
      <c r="D309" s="3" t="s">
        <v>507</v>
      </c>
      <c r="E309" s="3" t="n">
        <v>762</v>
      </c>
      <c r="F309" s="3" t="n">
        <v>11</v>
      </c>
      <c r="G309" s="3" t="n">
        <v>314</v>
      </c>
      <c r="H309" s="4" t="n">
        <f aca="false">G309/E309</f>
        <v>0.412073490813648</v>
      </c>
      <c r="I309" s="3" t="n">
        <v>4.7</v>
      </c>
      <c r="J309" s="4" t="n">
        <f aca="false">(F309-Assumptions!$B$17)/(Assumptions!$C$17-Assumptions!$B$17)</f>
        <v>0.909090909090909</v>
      </c>
      <c r="K309" s="4" t="n">
        <f aca="false">(H309-Assumptions!$B$18)/(Assumptions!$C$18-Assumptions!$B$18)</f>
        <v>0.00043575813496377</v>
      </c>
      <c r="L309" s="4" t="n">
        <f aca="false">(I309-Assumptions!$B$19)/(Assumptions!$C$19-Assumptions!$B$19)</f>
        <v>1</v>
      </c>
      <c r="M309" s="4" t="n">
        <f aca="false">0.4*J309+0.4*K309+0.2*L309</f>
        <v>0.563810666890349</v>
      </c>
    </row>
    <row r="310" customFormat="false" ht="15" hidden="false" customHeight="false" outlineLevel="0" collapsed="false">
      <c r="A310" s="3" t="s">
        <v>3</v>
      </c>
      <c r="B310" s="3" t="s">
        <v>418</v>
      </c>
      <c r="C310" s="3" t="s">
        <v>415</v>
      </c>
      <c r="D310" s="3" t="s">
        <v>507</v>
      </c>
      <c r="E310" s="3" t="n">
        <v>152</v>
      </c>
      <c r="F310" s="3" t="n">
        <v>11</v>
      </c>
      <c r="G310" s="3" t="n">
        <v>314</v>
      </c>
      <c r="H310" s="4" t="n">
        <f aca="false">G310/E310</f>
        <v>2.06578947368421</v>
      </c>
      <c r="I310" s="3" t="n">
        <v>4.7</v>
      </c>
      <c r="J310" s="4" t="n">
        <f aca="false">(F310-Assumptions!$B$17)/(Assumptions!$C$17-Assumptions!$B$17)</f>
        <v>0.909090909090909</v>
      </c>
      <c r="K310" s="4" t="n">
        <f aca="false">(H310-Assumptions!$B$18)/(Assumptions!$C$18-Assumptions!$B$18)</f>
        <v>0.00248766992296803</v>
      </c>
      <c r="L310" s="4" t="n">
        <f aca="false">(I310-Assumptions!$B$19)/(Assumptions!$C$19-Assumptions!$B$19)</f>
        <v>1</v>
      </c>
      <c r="M310" s="4" t="n">
        <f aca="false">0.4*J310+0.4*K310+0.2*L310</f>
        <v>0.564631431605551</v>
      </c>
    </row>
    <row r="311" customFormat="false" ht="15" hidden="false" customHeight="false" outlineLevel="0" collapsed="false">
      <c r="A311" s="3" t="s">
        <v>3</v>
      </c>
      <c r="B311" s="3" t="s">
        <v>419</v>
      </c>
      <c r="C311" s="3" t="s">
        <v>420</v>
      </c>
      <c r="D311" s="3" t="s">
        <v>508</v>
      </c>
      <c r="E311" s="3" t="n">
        <v>32</v>
      </c>
      <c r="F311" s="3" t="n">
        <v>4</v>
      </c>
      <c r="G311" s="3" t="n">
        <v>690</v>
      </c>
      <c r="H311" s="4" t="n">
        <f aca="false">G311/E311</f>
        <v>21.5625</v>
      </c>
      <c r="I311" s="3" t="n">
        <v>3.3</v>
      </c>
      <c r="J311" s="4" t="n">
        <f aca="false">(F311-Assumptions!$B$17)/(Assumptions!$C$17-Assumptions!$B$17)</f>
        <v>0.272727272727273</v>
      </c>
      <c r="K311" s="4" t="n">
        <f aca="false">(H311-Assumptions!$B$18)/(Assumptions!$C$18-Assumptions!$B$18)</f>
        <v>0.0266789642991713</v>
      </c>
      <c r="L311" s="4" t="n">
        <f aca="false">(I311-Assumptions!$B$19)/(Assumptions!$C$19-Assumptions!$B$19)</f>
        <v>0.658536585365854</v>
      </c>
      <c r="M311" s="4" t="n">
        <f aca="false">0.4*J311+0.4*K311+0.2*L311</f>
        <v>0.251469811883748</v>
      </c>
    </row>
    <row r="312" customFormat="false" ht="15" hidden="false" customHeight="false" outlineLevel="0" collapsed="false">
      <c r="A312" s="3" t="s">
        <v>3</v>
      </c>
      <c r="B312" s="3" t="s">
        <v>422</v>
      </c>
      <c r="C312" s="3" t="s">
        <v>423</v>
      </c>
      <c r="D312" s="3" t="s">
        <v>509</v>
      </c>
      <c r="E312" s="3" t="n">
        <v>839.5</v>
      </c>
      <c r="F312" s="3" t="n">
        <v>6</v>
      </c>
      <c r="G312" s="3" t="n">
        <v>394</v>
      </c>
      <c r="H312" s="4" t="n">
        <f aca="false">G312/E312</f>
        <v>0.469326980345444</v>
      </c>
      <c r="I312" s="3" t="n">
        <v>3.2</v>
      </c>
      <c r="J312" s="4" t="n">
        <f aca="false">(F312-Assumptions!$B$17)/(Assumptions!$C$17-Assumptions!$B$17)</f>
        <v>0.454545454545455</v>
      </c>
      <c r="K312" s="4" t="n">
        <f aca="false">(H312-Assumptions!$B$18)/(Assumptions!$C$18-Assumptions!$B$18)</f>
        <v>0.000506797606851044</v>
      </c>
      <c r="L312" s="4" t="n">
        <f aca="false">(I312-Assumptions!$B$19)/(Assumptions!$C$19-Assumptions!$B$19)</f>
        <v>0.634146341463415</v>
      </c>
      <c r="M312" s="4" t="n">
        <f aca="false">0.4*J312+0.4*K312+0.2*L312</f>
        <v>0.308850169153605</v>
      </c>
    </row>
    <row r="313" customFormat="false" ht="15" hidden="false" customHeight="false" outlineLevel="0" collapsed="false">
      <c r="A313" s="3" t="s">
        <v>3</v>
      </c>
      <c r="B313" s="3" t="s">
        <v>425</v>
      </c>
      <c r="C313" s="3" t="s">
        <v>426</v>
      </c>
      <c r="D313" s="3" t="s">
        <v>510</v>
      </c>
      <c r="E313" s="3" t="n">
        <v>78</v>
      </c>
      <c r="F313" s="3" t="n">
        <v>6</v>
      </c>
      <c r="G313" s="3" t="n">
        <v>654</v>
      </c>
      <c r="H313" s="4" t="n">
        <f aca="false">G313/E313</f>
        <v>8.38461538461539</v>
      </c>
      <c r="I313" s="3" t="n">
        <v>3.3</v>
      </c>
      <c r="J313" s="4" t="n">
        <f aca="false">(F313-Assumptions!$B$17)/(Assumptions!$C$17-Assumptions!$B$17)</f>
        <v>0.454545454545455</v>
      </c>
      <c r="K313" s="4" t="n">
        <f aca="false">(H313-Assumptions!$B$18)/(Assumptions!$C$18-Assumptions!$B$18)</f>
        <v>0.0103279965009819</v>
      </c>
      <c r="L313" s="4" t="n">
        <f aca="false">(I313-Assumptions!$B$19)/(Assumptions!$C$19-Assumptions!$B$19)</f>
        <v>0.658536585365854</v>
      </c>
      <c r="M313" s="4" t="n">
        <f aca="false">0.4*J313+0.4*K313+0.2*L313</f>
        <v>0.317656697491745</v>
      </c>
    </row>
    <row r="314" customFormat="false" ht="15" hidden="false" customHeight="false" outlineLevel="0" collapsed="false">
      <c r="A314" s="3" t="s">
        <v>4</v>
      </c>
      <c r="B314" s="3" t="s">
        <v>72</v>
      </c>
      <c r="C314" s="3" t="s">
        <v>73</v>
      </c>
      <c r="D314" s="3" t="s">
        <v>511</v>
      </c>
      <c r="E314" s="3" t="n">
        <v>4</v>
      </c>
      <c r="F314" s="3" t="n">
        <v>11</v>
      </c>
      <c r="G314" s="3" t="n">
        <v>306</v>
      </c>
      <c r="H314" s="4" t="n">
        <f aca="false">G314/E314</f>
        <v>76.5</v>
      </c>
      <c r="I314" s="3" t="n">
        <v>3.9</v>
      </c>
      <c r="J314" s="4" t="n">
        <f aca="false">(F314-Assumptions!$B$17)/(Assumptions!$C$17-Assumptions!$B$17)</f>
        <v>0.909090909090909</v>
      </c>
      <c r="K314" s="4" t="n">
        <f aca="false">(H314-Assumptions!$B$18)/(Assumptions!$C$18-Assumptions!$B$18)</f>
        <v>0.0948447829893974</v>
      </c>
      <c r="L314" s="4" t="n">
        <f aca="false">(I314-Assumptions!$B$19)/(Assumptions!$C$19-Assumptions!$B$19)</f>
        <v>0.804878048780488</v>
      </c>
      <c r="M314" s="4" t="n">
        <f aca="false">0.4*J314+0.4*K314+0.2*L314</f>
        <v>0.56254988658822</v>
      </c>
    </row>
    <row r="315" customFormat="false" ht="15" hidden="false" customHeight="false" outlineLevel="0" collapsed="false">
      <c r="A315" s="3" t="s">
        <v>4</v>
      </c>
      <c r="B315" s="3" t="s">
        <v>75</v>
      </c>
      <c r="C315" s="3" t="s">
        <v>73</v>
      </c>
      <c r="D315" s="3" t="s">
        <v>511</v>
      </c>
      <c r="E315" s="3" t="n">
        <v>1</v>
      </c>
      <c r="F315" s="3" t="n">
        <v>11</v>
      </c>
      <c r="G315" s="3" t="n">
        <v>306</v>
      </c>
      <c r="H315" s="4" t="n">
        <f aca="false">G315/E315</f>
        <v>306</v>
      </c>
      <c r="I315" s="3" t="n">
        <v>3.9</v>
      </c>
      <c r="J315" s="4" t="n">
        <f aca="false">(F315-Assumptions!$B$17)/(Assumptions!$C$17-Assumptions!$B$17)</f>
        <v>0.909090909090909</v>
      </c>
      <c r="K315" s="4" t="n">
        <f aca="false">(H315-Assumptions!$B$18)/(Assumptions!$C$18-Assumptions!$B$18)</f>
        <v>0.379605745708977</v>
      </c>
      <c r="L315" s="4" t="n">
        <f aca="false">(I315-Assumptions!$B$19)/(Assumptions!$C$19-Assumptions!$B$19)</f>
        <v>0.804878048780488</v>
      </c>
      <c r="M315" s="4" t="n">
        <f aca="false">0.4*J315+0.4*K315+0.2*L315</f>
        <v>0.676454271676052</v>
      </c>
    </row>
    <row r="316" customFormat="false" ht="15" hidden="false" customHeight="false" outlineLevel="0" collapsed="false">
      <c r="A316" s="3" t="s">
        <v>4</v>
      </c>
      <c r="B316" s="3" t="s">
        <v>76</v>
      </c>
      <c r="C316" s="3" t="s">
        <v>77</v>
      </c>
      <c r="D316" s="3" t="s">
        <v>512</v>
      </c>
      <c r="E316" s="3" t="n">
        <v>1063.5</v>
      </c>
      <c r="F316" s="3" t="n">
        <v>3</v>
      </c>
      <c r="G316" s="3" t="n">
        <v>770</v>
      </c>
      <c r="H316" s="4" t="n">
        <f aca="false">G316/E316</f>
        <v>0.724024447578749</v>
      </c>
      <c r="I316" s="3" t="n">
        <v>1.7</v>
      </c>
      <c r="J316" s="4" t="n">
        <f aca="false">(F316-Assumptions!$B$17)/(Assumptions!$C$17-Assumptions!$B$17)</f>
        <v>0.181818181818182</v>
      </c>
      <c r="K316" s="4" t="n">
        <f aca="false">(H316-Assumptions!$B$18)/(Assumptions!$C$18-Assumptions!$B$18)</f>
        <v>0.000822823297359082</v>
      </c>
      <c r="L316" s="4" t="n">
        <f aca="false">(I316-Assumptions!$B$19)/(Assumptions!$C$19-Assumptions!$B$19)</f>
        <v>0.268292682926829</v>
      </c>
      <c r="M316" s="4" t="n">
        <f aca="false">0.4*J316+0.4*K316+0.2*L316</f>
        <v>0.126714938631582</v>
      </c>
    </row>
    <row r="317" customFormat="false" ht="15" hidden="false" customHeight="false" outlineLevel="0" collapsed="false">
      <c r="A317" s="3" t="s">
        <v>4</v>
      </c>
      <c r="B317" s="3" t="s">
        <v>79</v>
      </c>
      <c r="C317" s="3" t="s">
        <v>77</v>
      </c>
      <c r="D317" s="3" t="s">
        <v>512</v>
      </c>
      <c r="E317" s="3" t="n">
        <v>36</v>
      </c>
      <c r="F317" s="3" t="n">
        <v>3</v>
      </c>
      <c r="G317" s="3" t="n">
        <v>770</v>
      </c>
      <c r="H317" s="4" t="n">
        <f aca="false">G317/E317</f>
        <v>21.3888888888889</v>
      </c>
      <c r="I317" s="3" t="n">
        <v>1.7</v>
      </c>
      <c r="J317" s="4" t="n">
        <f aca="false">(F317-Assumptions!$B$17)/(Assumptions!$C$17-Assumptions!$B$17)</f>
        <v>0.181818181818182</v>
      </c>
      <c r="K317" s="4" t="n">
        <f aca="false">(H317-Assumptions!$B$18)/(Assumptions!$C$18-Assumptions!$B$18)</f>
        <v>0.0264635496275424</v>
      </c>
      <c r="L317" s="4" t="n">
        <f aca="false">(I317-Assumptions!$B$19)/(Assumptions!$C$19-Assumptions!$B$19)</f>
        <v>0.268292682926829</v>
      </c>
      <c r="M317" s="4" t="n">
        <f aca="false">0.4*J317+0.4*K317+0.2*L317</f>
        <v>0.136971229163656</v>
      </c>
    </row>
    <row r="318" customFormat="false" ht="15" hidden="false" customHeight="false" outlineLevel="0" collapsed="false">
      <c r="A318" s="3" t="s">
        <v>4</v>
      </c>
      <c r="B318" s="3" t="s">
        <v>80</v>
      </c>
      <c r="C318" s="3" t="s">
        <v>81</v>
      </c>
      <c r="D318" s="3" t="s">
        <v>513</v>
      </c>
      <c r="E318" s="3" t="n">
        <v>2113.5</v>
      </c>
      <c r="F318" s="3" t="n">
        <v>5</v>
      </c>
      <c r="G318" s="3" t="n">
        <v>350</v>
      </c>
      <c r="H318" s="4" t="n">
        <f aca="false">G318/E318</f>
        <v>0.165602081854743</v>
      </c>
      <c r="I318" s="3" t="n">
        <v>2.5</v>
      </c>
      <c r="J318" s="4" t="n">
        <f aca="false">(F318-Assumptions!$B$17)/(Assumptions!$C$17-Assumptions!$B$17)</f>
        <v>0.363636363636364</v>
      </c>
      <c r="K318" s="4" t="n">
        <f aca="false">(H318-Assumptions!$B$18)/(Assumptions!$C$18-Assumptions!$B$18)</f>
        <v>0.000129939243033535</v>
      </c>
      <c r="L318" s="4" t="n">
        <f aca="false">(I318-Assumptions!$B$19)/(Assumptions!$C$19-Assumptions!$B$19)</f>
        <v>0.463414634146341</v>
      </c>
      <c r="M318" s="4" t="n">
        <f aca="false">0.4*J318+0.4*K318+0.2*L318</f>
        <v>0.238189447981027</v>
      </c>
    </row>
    <row r="319" customFormat="false" ht="15" hidden="false" customHeight="false" outlineLevel="0" collapsed="false">
      <c r="A319" s="3" t="s">
        <v>4</v>
      </c>
      <c r="B319" s="3" t="s">
        <v>83</v>
      </c>
      <c r="C319" s="3" t="s">
        <v>81</v>
      </c>
      <c r="D319" s="3" t="s">
        <v>513</v>
      </c>
      <c r="E319" s="3" t="n">
        <v>4.5</v>
      </c>
      <c r="F319" s="3" t="n">
        <v>5</v>
      </c>
      <c r="G319" s="3" t="n">
        <v>350</v>
      </c>
      <c r="H319" s="4" t="n">
        <f aca="false">G319/E319</f>
        <v>77.7777777777778</v>
      </c>
      <c r="I319" s="3" t="n">
        <v>2.5</v>
      </c>
      <c r="J319" s="4" t="n">
        <f aca="false">(F319-Assumptions!$B$17)/(Assumptions!$C$17-Assumptions!$B$17)</f>
        <v>0.363636363636364</v>
      </c>
      <c r="K319" s="4" t="n">
        <f aca="false">(H319-Assumptions!$B$18)/(Assumptions!$C$18-Assumptions!$B$18)</f>
        <v>0.0964302349725856</v>
      </c>
      <c r="L319" s="4" t="n">
        <f aca="false">(I319-Assumptions!$B$19)/(Assumptions!$C$19-Assumptions!$B$19)</f>
        <v>0.463414634146341</v>
      </c>
      <c r="M319" s="4" t="n">
        <f aca="false">0.4*J319+0.4*K319+0.2*L319</f>
        <v>0.276709566272848</v>
      </c>
    </row>
    <row r="320" customFormat="false" ht="15" hidden="false" customHeight="false" outlineLevel="0" collapsed="false">
      <c r="A320" s="3" t="s">
        <v>4</v>
      </c>
      <c r="B320" s="3" t="s">
        <v>84</v>
      </c>
      <c r="C320" s="3" t="s">
        <v>85</v>
      </c>
      <c r="D320" s="3" t="s">
        <v>514</v>
      </c>
      <c r="E320" s="3" t="n">
        <v>208</v>
      </c>
      <c r="F320" s="3" t="n">
        <v>10</v>
      </c>
      <c r="G320" s="3" t="n">
        <v>342</v>
      </c>
      <c r="H320" s="4" t="n">
        <f aca="false">G320/E320</f>
        <v>1.64423076923077</v>
      </c>
      <c r="I320" s="3" t="n">
        <v>3.9</v>
      </c>
      <c r="J320" s="4" t="n">
        <f aca="false">(F320-Assumptions!$B$17)/(Assumptions!$C$17-Assumptions!$B$17)</f>
        <v>0.818181818181818</v>
      </c>
      <c r="K320" s="4" t="n">
        <f aca="false">(H320-Assumptions!$B$18)/(Assumptions!$C$18-Assumptions!$B$18)</f>
        <v>0.00196460472678946</v>
      </c>
      <c r="L320" s="4" t="n">
        <f aca="false">(I320-Assumptions!$B$19)/(Assumptions!$C$19-Assumptions!$B$19)</f>
        <v>0.804878048780488</v>
      </c>
      <c r="M320" s="4" t="n">
        <f aca="false">0.4*J320+0.4*K320+0.2*L320</f>
        <v>0.489034178919541</v>
      </c>
    </row>
    <row r="321" customFormat="false" ht="15" hidden="false" customHeight="false" outlineLevel="0" collapsed="false">
      <c r="A321" s="3" t="s">
        <v>4</v>
      </c>
      <c r="B321" s="3" t="s">
        <v>87</v>
      </c>
      <c r="C321" s="3" t="s">
        <v>85</v>
      </c>
      <c r="D321" s="3" t="s">
        <v>514</v>
      </c>
      <c r="E321" s="3" t="n">
        <v>168.5</v>
      </c>
      <c r="F321" s="3" t="n">
        <v>10</v>
      </c>
      <c r="G321" s="3" t="n">
        <v>342</v>
      </c>
      <c r="H321" s="4" t="n">
        <f aca="false">G321/E321</f>
        <v>2.02967359050445</v>
      </c>
      <c r="I321" s="3" t="n">
        <v>3.9</v>
      </c>
      <c r="J321" s="4" t="n">
        <f aca="false">(F321-Assumptions!$B$17)/(Assumptions!$C$17-Assumptions!$B$17)</f>
        <v>0.818181818181818</v>
      </c>
      <c r="K321" s="4" t="n">
        <f aca="false">(H321-Assumptions!$B$18)/(Assumptions!$C$18-Assumptions!$B$18)</f>
        <v>0.00244285775014129</v>
      </c>
      <c r="L321" s="4" t="n">
        <f aca="false">(I321-Assumptions!$B$19)/(Assumptions!$C$19-Assumptions!$B$19)</f>
        <v>0.804878048780488</v>
      </c>
      <c r="M321" s="4" t="n">
        <f aca="false">0.4*J321+0.4*K321+0.2*L321</f>
        <v>0.489225480128881</v>
      </c>
    </row>
    <row r="322" customFormat="false" ht="15" hidden="false" customHeight="false" outlineLevel="0" collapsed="false">
      <c r="A322" s="3" t="s">
        <v>4</v>
      </c>
      <c r="B322" s="3" t="s">
        <v>88</v>
      </c>
      <c r="C322" s="3" t="s">
        <v>85</v>
      </c>
      <c r="D322" s="3" t="s">
        <v>514</v>
      </c>
      <c r="E322" s="3" t="n">
        <v>187</v>
      </c>
      <c r="F322" s="3" t="n">
        <v>10</v>
      </c>
      <c r="G322" s="3" t="n">
        <v>342</v>
      </c>
      <c r="H322" s="4" t="n">
        <f aca="false">G322/E322</f>
        <v>1.82887700534759</v>
      </c>
      <c r="I322" s="3" t="n">
        <v>3.9</v>
      </c>
      <c r="J322" s="4" t="n">
        <f aca="false">(F322-Assumptions!$B$17)/(Assumptions!$C$17-Assumptions!$B$17)</f>
        <v>0.818181818181818</v>
      </c>
      <c r="K322" s="4" t="n">
        <f aca="false">(H322-Assumptions!$B$18)/(Assumptions!$C$18-Assumptions!$B$18)</f>
        <v>0.00219371165471614</v>
      </c>
      <c r="L322" s="4" t="n">
        <f aca="false">(I322-Assumptions!$B$19)/(Assumptions!$C$19-Assumptions!$B$19)</f>
        <v>0.804878048780488</v>
      </c>
      <c r="M322" s="4" t="n">
        <f aca="false">0.4*J322+0.4*K322+0.2*L322</f>
        <v>0.489125821690711</v>
      </c>
    </row>
    <row r="323" customFormat="false" ht="15" hidden="false" customHeight="false" outlineLevel="0" collapsed="false">
      <c r="A323" s="3" t="s">
        <v>4</v>
      </c>
      <c r="B323" s="3" t="s">
        <v>89</v>
      </c>
      <c r="C323" s="3" t="s">
        <v>90</v>
      </c>
      <c r="D323" s="3" t="s">
        <v>515</v>
      </c>
      <c r="E323" s="3" t="n">
        <v>4</v>
      </c>
      <c r="F323" s="3" t="n">
        <v>5</v>
      </c>
      <c r="G323" s="3" t="n">
        <v>682</v>
      </c>
      <c r="H323" s="4" t="n">
        <f aca="false">G323/E323</f>
        <v>170.5</v>
      </c>
      <c r="I323" s="3" t="n">
        <v>2.6</v>
      </c>
      <c r="J323" s="4" t="n">
        <f aca="false">(F323-Assumptions!$B$17)/(Assumptions!$C$17-Assumptions!$B$17)</f>
        <v>0.363636363636364</v>
      </c>
      <c r="K323" s="4" t="n">
        <f aca="false">(H323-Assumptions!$B$18)/(Assumptions!$C$18-Assumptions!$B$18)</f>
        <v>0.21147890279611</v>
      </c>
      <c r="L323" s="4" t="n">
        <f aca="false">(I323-Assumptions!$B$19)/(Assumptions!$C$19-Assumptions!$B$19)</f>
        <v>0.48780487804878</v>
      </c>
      <c r="M323" s="4" t="n">
        <f aca="false">0.4*J323+0.4*K323+0.2*L323</f>
        <v>0.327607082182746</v>
      </c>
    </row>
    <row r="324" customFormat="false" ht="15" hidden="false" customHeight="false" outlineLevel="0" collapsed="false">
      <c r="A324" s="3" t="s">
        <v>4</v>
      </c>
      <c r="B324" s="3" t="s">
        <v>92</v>
      </c>
      <c r="C324" s="3" t="s">
        <v>90</v>
      </c>
      <c r="D324" s="3" t="s">
        <v>515</v>
      </c>
      <c r="E324" s="3" t="n">
        <v>1395</v>
      </c>
      <c r="F324" s="3" t="n">
        <v>5</v>
      </c>
      <c r="G324" s="3" t="n">
        <v>682</v>
      </c>
      <c r="H324" s="4" t="n">
        <f aca="false">G324/E324</f>
        <v>0.488888888888889</v>
      </c>
      <c r="I324" s="3" t="n">
        <v>2.6</v>
      </c>
      <c r="J324" s="4" t="n">
        <f aca="false">(F324-Assumptions!$B$17)/(Assumptions!$C$17-Assumptions!$B$17)</f>
        <v>0.363636363636364</v>
      </c>
      <c r="K324" s="4" t="n">
        <f aca="false">(H324-Assumptions!$B$18)/(Assumptions!$C$18-Assumptions!$B$18)</f>
        <v>0.000531069798177684</v>
      </c>
      <c r="L324" s="4" t="n">
        <f aca="false">(I324-Assumptions!$B$19)/(Assumptions!$C$19-Assumptions!$B$19)</f>
        <v>0.48780487804878</v>
      </c>
      <c r="M324" s="4" t="n">
        <f aca="false">0.4*J324+0.4*K324+0.2*L324</f>
        <v>0.243227948983573</v>
      </c>
    </row>
    <row r="325" customFormat="false" ht="15" hidden="false" customHeight="false" outlineLevel="0" collapsed="false">
      <c r="A325" s="3" t="s">
        <v>4</v>
      </c>
      <c r="B325" s="3" t="s">
        <v>93</v>
      </c>
      <c r="C325" s="3" t="s">
        <v>90</v>
      </c>
      <c r="D325" s="3" t="s">
        <v>515</v>
      </c>
      <c r="E325" s="3" t="n">
        <v>518.5</v>
      </c>
      <c r="F325" s="3" t="n">
        <v>5</v>
      </c>
      <c r="G325" s="3" t="n">
        <v>682</v>
      </c>
      <c r="H325" s="4" t="n">
        <f aca="false">G325/E325</f>
        <v>1.31533269045323</v>
      </c>
      <c r="I325" s="3" t="n">
        <v>2.6</v>
      </c>
      <c r="J325" s="4" t="n">
        <f aca="false">(F325-Assumptions!$B$17)/(Assumptions!$C$17-Assumptions!$B$17)</f>
        <v>0.363636363636364</v>
      </c>
      <c r="K325" s="4" t="n">
        <f aca="false">(H325-Assumptions!$B$18)/(Assumptions!$C$18-Assumptions!$B$18)</f>
        <v>0.00155651177014758</v>
      </c>
      <c r="L325" s="4" t="n">
        <f aca="false">(I325-Assumptions!$B$19)/(Assumptions!$C$19-Assumptions!$B$19)</f>
        <v>0.48780487804878</v>
      </c>
      <c r="M325" s="4" t="n">
        <f aca="false">0.4*J325+0.4*K325+0.2*L325</f>
        <v>0.243638125772361</v>
      </c>
    </row>
    <row r="326" customFormat="false" ht="15" hidden="false" customHeight="false" outlineLevel="0" collapsed="false">
      <c r="A326" s="3" t="s">
        <v>4</v>
      </c>
      <c r="B326" s="3" t="s">
        <v>94</v>
      </c>
      <c r="C326" s="3" t="s">
        <v>90</v>
      </c>
      <c r="D326" s="3" t="s">
        <v>515</v>
      </c>
      <c r="E326" s="3" t="n">
        <v>451</v>
      </c>
      <c r="F326" s="3" t="n">
        <v>5</v>
      </c>
      <c r="G326" s="3" t="n">
        <v>682</v>
      </c>
      <c r="H326" s="4" t="n">
        <f aca="false">G326/E326</f>
        <v>1.51219512195122</v>
      </c>
      <c r="I326" s="3" t="n">
        <v>2.6</v>
      </c>
      <c r="J326" s="4" t="n">
        <f aca="false">(F326-Assumptions!$B$17)/(Assumptions!$C$17-Assumptions!$B$17)</f>
        <v>0.363636363636364</v>
      </c>
      <c r="K326" s="4" t="n">
        <f aca="false">(H326-Assumptions!$B$18)/(Assumptions!$C$18-Assumptions!$B$18)</f>
        <v>0.0018007764129218</v>
      </c>
      <c r="L326" s="4" t="n">
        <f aca="false">(I326-Assumptions!$B$19)/(Assumptions!$C$19-Assumptions!$B$19)</f>
        <v>0.48780487804878</v>
      </c>
      <c r="M326" s="4" t="n">
        <f aca="false">0.4*J326+0.4*K326+0.2*L326</f>
        <v>0.24373583162947</v>
      </c>
    </row>
    <row r="327" customFormat="false" ht="15" hidden="false" customHeight="false" outlineLevel="0" collapsed="false">
      <c r="A327" s="3" t="s">
        <v>4</v>
      </c>
      <c r="B327" s="3" t="s">
        <v>95</v>
      </c>
      <c r="C327" s="3" t="s">
        <v>90</v>
      </c>
      <c r="D327" s="3" t="s">
        <v>515</v>
      </c>
      <c r="E327" s="3" t="n">
        <v>3.5</v>
      </c>
      <c r="F327" s="3" t="n">
        <v>5</v>
      </c>
      <c r="G327" s="3" t="n">
        <v>682</v>
      </c>
      <c r="H327" s="4" t="n">
        <f aca="false">G327/E327</f>
        <v>194.857142857143</v>
      </c>
      <c r="I327" s="3" t="n">
        <v>2.6</v>
      </c>
      <c r="J327" s="4" t="n">
        <f aca="false">(F327-Assumptions!$B$17)/(Assumptions!$C$17-Assumptions!$B$17)</f>
        <v>0.363636363636364</v>
      </c>
      <c r="K327" s="4" t="n">
        <f aca="false">(H327-Assumptions!$B$18)/(Assumptions!$C$18-Assumptions!$B$18)</f>
        <v>0.241700965755144</v>
      </c>
      <c r="L327" s="4" t="n">
        <f aca="false">(I327-Assumptions!$B$19)/(Assumptions!$C$19-Assumptions!$B$19)</f>
        <v>0.48780487804878</v>
      </c>
      <c r="M327" s="4" t="n">
        <f aca="false">0.4*J327+0.4*K327+0.2*L327</f>
        <v>0.339695907366359</v>
      </c>
    </row>
    <row r="328" customFormat="false" ht="15" hidden="false" customHeight="false" outlineLevel="0" collapsed="false">
      <c r="A328" s="3" t="s">
        <v>4</v>
      </c>
      <c r="B328" s="3" t="s">
        <v>96</v>
      </c>
      <c r="C328" s="3" t="s">
        <v>97</v>
      </c>
      <c r="D328" s="3" t="s">
        <v>516</v>
      </c>
      <c r="E328" s="3" t="n">
        <v>96</v>
      </c>
      <c r="F328" s="3" t="n">
        <v>2</v>
      </c>
      <c r="G328" s="3" t="n">
        <v>770</v>
      </c>
      <c r="H328" s="4" t="n">
        <f aca="false">G328/E328</f>
        <v>8.02083333333333</v>
      </c>
      <c r="I328" s="3" t="n">
        <v>1.7</v>
      </c>
      <c r="J328" s="4" t="n">
        <f aca="false">(F328-Assumptions!$B$17)/(Assumptions!$C$17-Assumptions!$B$17)</f>
        <v>0.0909090909090909</v>
      </c>
      <c r="K328" s="4" t="n">
        <f aca="false">(H328-Assumptions!$B$18)/(Assumptions!$C$18-Assumptions!$B$18)</f>
        <v>0.00987661991212273</v>
      </c>
      <c r="L328" s="4" t="n">
        <f aca="false">(I328-Assumptions!$B$19)/(Assumptions!$C$19-Assumptions!$B$19)</f>
        <v>0.268292682926829</v>
      </c>
      <c r="M328" s="4" t="n">
        <f aca="false">0.4*J328+0.4*K328+0.2*L328</f>
        <v>0.0939728209138513</v>
      </c>
    </row>
    <row r="329" customFormat="false" ht="15" hidden="false" customHeight="false" outlineLevel="0" collapsed="false">
      <c r="A329" s="3" t="s">
        <v>4</v>
      </c>
      <c r="B329" s="3" t="s">
        <v>99</v>
      </c>
      <c r="C329" s="3" t="s">
        <v>100</v>
      </c>
      <c r="D329" s="3" t="s">
        <v>517</v>
      </c>
      <c r="E329" s="3" t="n">
        <v>265.5</v>
      </c>
      <c r="F329" s="3" t="n">
        <v>6</v>
      </c>
      <c r="G329" s="3" t="n">
        <v>386</v>
      </c>
      <c r="H329" s="4" t="n">
        <f aca="false">G329/E329</f>
        <v>1.45386064030132</v>
      </c>
      <c r="I329" s="3" t="n">
        <v>2.5</v>
      </c>
      <c r="J329" s="4" t="n">
        <f aca="false">(F329-Assumptions!$B$17)/(Assumptions!$C$17-Assumptions!$B$17)</f>
        <v>0.454545454545455</v>
      </c>
      <c r="K329" s="4" t="n">
        <f aca="false">(H329-Assumptions!$B$18)/(Assumptions!$C$18-Assumptions!$B$18)</f>
        <v>0.00172839565843652</v>
      </c>
      <c r="L329" s="4" t="n">
        <f aca="false">(I329-Assumptions!$B$19)/(Assumptions!$C$19-Assumptions!$B$19)</f>
        <v>0.463414634146341</v>
      </c>
      <c r="M329" s="4" t="n">
        <f aca="false">0.4*J329+0.4*K329+0.2*L329</f>
        <v>0.275192466910825</v>
      </c>
    </row>
    <row r="330" customFormat="false" ht="15" hidden="false" customHeight="false" outlineLevel="0" collapsed="false">
      <c r="A330" s="3" t="s">
        <v>4</v>
      </c>
      <c r="B330" s="3" t="s">
        <v>102</v>
      </c>
      <c r="C330" s="3" t="s">
        <v>100</v>
      </c>
      <c r="D330" s="3" t="s">
        <v>517</v>
      </c>
      <c r="E330" s="3" t="n">
        <v>4</v>
      </c>
      <c r="F330" s="3" t="n">
        <v>6</v>
      </c>
      <c r="G330" s="3" t="n">
        <v>386</v>
      </c>
      <c r="H330" s="4" t="n">
        <f aca="false">G330/E330</f>
        <v>96.5</v>
      </c>
      <c r="I330" s="3" t="n">
        <v>2.5</v>
      </c>
      <c r="J330" s="4" t="n">
        <f aca="false">(F330-Assumptions!$B$17)/(Assumptions!$C$17-Assumptions!$B$17)</f>
        <v>0.454545454545455</v>
      </c>
      <c r="K330" s="4" t="n">
        <f aca="false">(H330-Assumptions!$B$18)/(Assumptions!$C$18-Assumptions!$B$18)</f>
        <v>0.119660553161038</v>
      </c>
      <c r="L330" s="4" t="n">
        <f aca="false">(I330-Assumptions!$B$19)/(Assumptions!$C$19-Assumptions!$B$19)</f>
        <v>0.463414634146341</v>
      </c>
      <c r="M330" s="4" t="n">
        <f aca="false">0.4*J330+0.4*K330+0.2*L330</f>
        <v>0.322365329911865</v>
      </c>
    </row>
    <row r="331" customFormat="false" ht="15" hidden="false" customHeight="false" outlineLevel="0" collapsed="false">
      <c r="A331" s="3" t="s">
        <v>4</v>
      </c>
      <c r="B331" s="3" t="s">
        <v>103</v>
      </c>
      <c r="C331" s="3" t="s">
        <v>100</v>
      </c>
      <c r="D331" s="3" t="s">
        <v>517</v>
      </c>
      <c r="E331" s="3" t="n">
        <v>6.5</v>
      </c>
      <c r="F331" s="3" t="n">
        <v>6</v>
      </c>
      <c r="G331" s="3" t="n">
        <v>386</v>
      </c>
      <c r="H331" s="4" t="n">
        <f aca="false">G331/E331</f>
        <v>59.3846153846154</v>
      </c>
      <c r="I331" s="3" t="n">
        <v>2.5</v>
      </c>
      <c r="J331" s="4" t="n">
        <f aca="false">(F331-Assumptions!$B$17)/(Assumptions!$C$17-Assumptions!$B$17)</f>
        <v>0.454545454545455</v>
      </c>
      <c r="K331" s="4" t="n">
        <f aca="false">(H331-Assumptions!$B$18)/(Assumptions!$C$18-Assumptions!$B$18)</f>
        <v>0.0736082104386663</v>
      </c>
      <c r="L331" s="4" t="n">
        <f aca="false">(I331-Assumptions!$B$19)/(Assumptions!$C$19-Assumptions!$B$19)</f>
        <v>0.463414634146341</v>
      </c>
      <c r="M331" s="4" t="n">
        <f aca="false">0.4*J331+0.4*K331+0.2*L331</f>
        <v>0.303944392822917</v>
      </c>
    </row>
    <row r="332" customFormat="false" ht="15" hidden="false" customHeight="false" outlineLevel="0" collapsed="false">
      <c r="A332" s="3" t="s">
        <v>4</v>
      </c>
      <c r="B332" s="3" t="s">
        <v>104</v>
      </c>
      <c r="C332" s="3" t="s">
        <v>105</v>
      </c>
      <c r="D332" s="3" t="s">
        <v>518</v>
      </c>
      <c r="E332" s="3" t="n">
        <v>7</v>
      </c>
      <c r="F332" s="3" t="n">
        <v>4</v>
      </c>
      <c r="G332" s="3" t="n">
        <v>806</v>
      </c>
      <c r="H332" s="4" t="n">
        <f aca="false">G332/E332</f>
        <v>115.142857142857</v>
      </c>
      <c r="I332" s="3" t="n">
        <v>1.7</v>
      </c>
      <c r="J332" s="4" t="n">
        <f aca="false">(F332-Assumptions!$B$17)/(Assumptions!$C$17-Assumptions!$B$17)</f>
        <v>0.272727272727273</v>
      </c>
      <c r="K332" s="4" t="n">
        <f aca="false">(H332-Assumptions!$B$18)/(Assumptions!$C$18-Assumptions!$B$18)</f>
        <v>0.142792396071032</v>
      </c>
      <c r="L332" s="4" t="n">
        <f aca="false">(I332-Assumptions!$B$19)/(Assumptions!$C$19-Assumptions!$B$19)</f>
        <v>0.268292682926829</v>
      </c>
      <c r="M332" s="4" t="n">
        <f aca="false">0.4*J332+0.4*K332+0.2*L332</f>
        <v>0.219866404104688</v>
      </c>
    </row>
    <row r="333" customFormat="false" ht="15" hidden="false" customHeight="false" outlineLevel="0" collapsed="false">
      <c r="A333" s="3" t="s">
        <v>4</v>
      </c>
      <c r="B333" s="3" t="s">
        <v>107</v>
      </c>
      <c r="C333" s="3" t="s">
        <v>108</v>
      </c>
      <c r="D333" s="3" t="s">
        <v>519</v>
      </c>
      <c r="E333" s="3" t="n">
        <v>334</v>
      </c>
      <c r="F333" s="3" t="n">
        <v>10</v>
      </c>
      <c r="G333" s="3" t="n">
        <v>270</v>
      </c>
      <c r="H333" s="4" t="n">
        <f aca="false">G333/E333</f>
        <v>0.808383233532934</v>
      </c>
      <c r="I333" s="3" t="n">
        <v>3.9</v>
      </c>
      <c r="J333" s="4" t="n">
        <f aca="false">(F333-Assumptions!$B$17)/(Assumptions!$C$17-Assumptions!$B$17)</f>
        <v>0.818181818181818</v>
      </c>
      <c r="K333" s="4" t="n">
        <f aca="false">(H333-Assumptions!$B$18)/(Assumptions!$C$18-Assumptions!$B$18)</f>
        <v>0.000927494709568967</v>
      </c>
      <c r="L333" s="4" t="n">
        <f aca="false">(I333-Assumptions!$B$19)/(Assumptions!$C$19-Assumptions!$B$19)</f>
        <v>0.804878048780488</v>
      </c>
      <c r="M333" s="4" t="n">
        <f aca="false">0.4*J333+0.4*K333+0.2*L333</f>
        <v>0.488619334912652</v>
      </c>
    </row>
    <row r="334" customFormat="false" ht="15" hidden="false" customHeight="false" outlineLevel="0" collapsed="false">
      <c r="A334" s="3" t="s">
        <v>4</v>
      </c>
      <c r="B334" s="3" t="s">
        <v>110</v>
      </c>
      <c r="C334" s="3" t="s">
        <v>111</v>
      </c>
      <c r="D334" s="3" t="s">
        <v>520</v>
      </c>
      <c r="E334" s="3" t="n">
        <v>12.5</v>
      </c>
      <c r="F334" s="3" t="n">
        <v>3</v>
      </c>
      <c r="G334" s="3" t="n">
        <v>610</v>
      </c>
      <c r="H334" s="4" t="n">
        <f aca="false">G334/E334</f>
        <v>48.8</v>
      </c>
      <c r="I334" s="3" t="n">
        <v>2.6</v>
      </c>
      <c r="J334" s="4" t="n">
        <f aca="false">(F334-Assumptions!$B$17)/(Assumptions!$C$17-Assumptions!$B$17)</f>
        <v>0.181818181818182</v>
      </c>
      <c r="K334" s="4" t="n">
        <f aca="false">(H334-Assumptions!$B$18)/(Assumptions!$C$18-Assumptions!$B$18)</f>
        <v>0.0604749413016747</v>
      </c>
      <c r="L334" s="4" t="n">
        <f aca="false">(I334-Assumptions!$B$19)/(Assumptions!$C$19-Assumptions!$B$19)</f>
        <v>0.48780487804878</v>
      </c>
      <c r="M334" s="4" t="n">
        <f aca="false">0.4*J334+0.4*K334+0.2*L334</f>
        <v>0.194478224857699</v>
      </c>
    </row>
    <row r="335" customFormat="false" ht="15" hidden="false" customHeight="false" outlineLevel="0" collapsed="false">
      <c r="A335" s="3" t="s">
        <v>4</v>
      </c>
      <c r="B335" s="3" t="s">
        <v>113</v>
      </c>
      <c r="C335" s="3" t="s">
        <v>111</v>
      </c>
      <c r="D335" s="3" t="s">
        <v>520</v>
      </c>
      <c r="E335" s="3" t="n">
        <v>8.5</v>
      </c>
      <c r="F335" s="3" t="n">
        <v>3</v>
      </c>
      <c r="G335" s="3" t="n">
        <v>610</v>
      </c>
      <c r="H335" s="4" t="n">
        <f aca="false">G335/E335</f>
        <v>71.7647058823529</v>
      </c>
      <c r="I335" s="3" t="n">
        <v>2.6</v>
      </c>
      <c r="J335" s="4" t="n">
        <f aca="false">(F335-Assumptions!$B$17)/(Assumptions!$C$17-Assumptions!$B$17)</f>
        <v>0.181818181818182</v>
      </c>
      <c r="K335" s="4" t="n">
        <f aca="false">(H335-Assumptions!$B$18)/(Assumptions!$C$18-Assumptions!$B$18)</f>
        <v>0.0889692844634648</v>
      </c>
      <c r="L335" s="4" t="n">
        <f aca="false">(I335-Assumptions!$B$19)/(Assumptions!$C$19-Assumptions!$B$19)</f>
        <v>0.48780487804878</v>
      </c>
      <c r="M335" s="4" t="n">
        <f aca="false">0.4*J335+0.4*K335+0.2*L335</f>
        <v>0.205875962122415</v>
      </c>
    </row>
    <row r="336" customFormat="false" ht="15" hidden="false" customHeight="false" outlineLevel="0" collapsed="false">
      <c r="A336" s="3" t="s">
        <v>4</v>
      </c>
      <c r="B336" s="3" t="s">
        <v>114</v>
      </c>
      <c r="C336" s="3" t="s">
        <v>115</v>
      </c>
      <c r="D336" s="3" t="s">
        <v>521</v>
      </c>
      <c r="E336" s="3" t="n">
        <v>137</v>
      </c>
      <c r="F336" s="3" t="n">
        <v>11</v>
      </c>
      <c r="G336" s="3" t="n">
        <v>306</v>
      </c>
      <c r="H336" s="4" t="n">
        <f aca="false">G336/E336</f>
        <v>2.23357664233577</v>
      </c>
      <c r="I336" s="3" t="n">
        <v>3.9</v>
      </c>
      <c r="J336" s="4" t="n">
        <f aca="false">(F336-Assumptions!$B$17)/(Assumptions!$C$17-Assumptions!$B$17)</f>
        <v>0.909090909090909</v>
      </c>
      <c r="K336" s="4" t="n">
        <f aca="false">(H336-Assumptions!$B$18)/(Assumptions!$C$18-Assumptions!$B$18)</f>
        <v>0.0026958583137184</v>
      </c>
      <c r="L336" s="4" t="n">
        <f aca="false">(I336-Assumptions!$B$19)/(Assumptions!$C$19-Assumptions!$B$19)</f>
        <v>0.804878048780488</v>
      </c>
      <c r="M336" s="4" t="n">
        <f aca="false">0.4*J336+0.4*K336+0.2*L336</f>
        <v>0.525690316717949</v>
      </c>
    </row>
    <row r="337" customFormat="false" ht="15" hidden="false" customHeight="false" outlineLevel="0" collapsed="false">
      <c r="A337" s="3" t="s">
        <v>4</v>
      </c>
      <c r="B337" s="3" t="s">
        <v>117</v>
      </c>
      <c r="C337" s="3" t="s">
        <v>115</v>
      </c>
      <c r="D337" s="3" t="s">
        <v>521</v>
      </c>
      <c r="E337" s="3" t="n">
        <v>22</v>
      </c>
      <c r="F337" s="3" t="n">
        <v>11</v>
      </c>
      <c r="G337" s="3" t="n">
        <v>306</v>
      </c>
      <c r="H337" s="4" t="n">
        <f aca="false">G337/E337</f>
        <v>13.9090909090909</v>
      </c>
      <c r="I337" s="3" t="n">
        <v>3.9</v>
      </c>
      <c r="J337" s="4" t="n">
        <f aca="false">(F337-Assumptions!$B$17)/(Assumptions!$C$17-Assumptions!$B$17)</f>
        <v>0.909090909090909</v>
      </c>
      <c r="K337" s="4" t="n">
        <f aca="false">(H337-Assumptions!$B$18)/(Assumptions!$C$18-Assumptions!$B$18)</f>
        <v>0.0171827022476939</v>
      </c>
      <c r="L337" s="4" t="n">
        <f aca="false">(I337-Assumptions!$B$19)/(Assumptions!$C$19-Assumptions!$B$19)</f>
        <v>0.804878048780488</v>
      </c>
      <c r="M337" s="4" t="n">
        <f aca="false">0.4*J337+0.4*K337+0.2*L337</f>
        <v>0.531485054291539</v>
      </c>
    </row>
    <row r="338" customFormat="false" ht="15" hidden="false" customHeight="false" outlineLevel="0" collapsed="false">
      <c r="A338" s="3" t="s">
        <v>4</v>
      </c>
      <c r="B338" s="3" t="s">
        <v>118</v>
      </c>
      <c r="C338" s="3" t="s">
        <v>115</v>
      </c>
      <c r="D338" s="3" t="s">
        <v>521</v>
      </c>
      <c r="E338" s="3" t="n">
        <v>2553</v>
      </c>
      <c r="F338" s="3" t="n">
        <v>11</v>
      </c>
      <c r="G338" s="3" t="n">
        <v>306</v>
      </c>
      <c r="H338" s="4" t="n">
        <f aca="false">G338/E338</f>
        <v>0.119858989424207</v>
      </c>
      <c r="I338" s="3" t="n">
        <v>3.9</v>
      </c>
      <c r="J338" s="4" t="n">
        <f aca="false">(F338-Assumptions!$B$17)/(Assumptions!$C$17-Assumptions!$B$17)</f>
        <v>0.909090909090909</v>
      </c>
      <c r="K338" s="4" t="n">
        <f aca="false">(H338-Assumptions!$B$18)/(Assumptions!$C$18-Assumptions!$B$18)</f>
        <v>7.31817395987185E-005</v>
      </c>
      <c r="L338" s="4" t="n">
        <f aca="false">(I338-Assumptions!$B$19)/(Assumptions!$C$19-Assumptions!$B$19)</f>
        <v>0.804878048780488</v>
      </c>
      <c r="M338" s="4" t="n">
        <f aca="false">0.4*J338+0.4*K338+0.2*L338</f>
        <v>0.524641246088301</v>
      </c>
    </row>
    <row r="339" customFormat="false" ht="15" hidden="false" customHeight="false" outlineLevel="0" collapsed="false">
      <c r="A339" s="3" t="s">
        <v>4</v>
      </c>
      <c r="B339" s="3" t="s">
        <v>119</v>
      </c>
      <c r="C339" s="3" t="s">
        <v>115</v>
      </c>
      <c r="D339" s="3" t="s">
        <v>521</v>
      </c>
      <c r="E339" s="3" t="n">
        <v>8</v>
      </c>
      <c r="F339" s="3" t="n">
        <v>11</v>
      </c>
      <c r="G339" s="3" t="n">
        <v>306</v>
      </c>
      <c r="H339" s="4" t="n">
        <f aca="false">G339/E339</f>
        <v>38.25</v>
      </c>
      <c r="I339" s="3" t="n">
        <v>3.9</v>
      </c>
      <c r="J339" s="4" t="n">
        <f aca="false">(F339-Assumptions!$B$17)/(Assumptions!$C$17-Assumptions!$B$17)</f>
        <v>0.909090909090909</v>
      </c>
      <c r="K339" s="4" t="n">
        <f aca="false">(H339-Assumptions!$B$18)/(Assumptions!$C$18-Assumptions!$B$18)</f>
        <v>0.0473846225361342</v>
      </c>
      <c r="L339" s="4" t="n">
        <f aca="false">(I339-Assumptions!$B$19)/(Assumptions!$C$19-Assumptions!$B$19)</f>
        <v>0.804878048780488</v>
      </c>
      <c r="M339" s="4" t="n">
        <f aca="false">0.4*J339+0.4*K339+0.2*L339</f>
        <v>0.543565822406915</v>
      </c>
    </row>
    <row r="340" customFormat="false" ht="15" hidden="false" customHeight="false" outlineLevel="0" collapsed="false">
      <c r="A340" s="3" t="s">
        <v>4</v>
      </c>
      <c r="B340" s="3" t="s">
        <v>120</v>
      </c>
      <c r="C340" s="3" t="s">
        <v>115</v>
      </c>
      <c r="D340" s="3" t="s">
        <v>521</v>
      </c>
      <c r="E340" s="3" t="n">
        <v>8</v>
      </c>
      <c r="F340" s="3" t="n">
        <v>11</v>
      </c>
      <c r="G340" s="3" t="n">
        <v>306</v>
      </c>
      <c r="H340" s="4" t="n">
        <f aca="false">G340/E340</f>
        <v>38.25</v>
      </c>
      <c r="I340" s="3" t="n">
        <v>3.9</v>
      </c>
      <c r="J340" s="4" t="n">
        <f aca="false">(F340-Assumptions!$B$17)/(Assumptions!$C$17-Assumptions!$B$17)</f>
        <v>0.909090909090909</v>
      </c>
      <c r="K340" s="4" t="n">
        <f aca="false">(H340-Assumptions!$B$18)/(Assumptions!$C$18-Assumptions!$B$18)</f>
        <v>0.0473846225361342</v>
      </c>
      <c r="L340" s="4" t="n">
        <f aca="false">(I340-Assumptions!$B$19)/(Assumptions!$C$19-Assumptions!$B$19)</f>
        <v>0.804878048780488</v>
      </c>
      <c r="M340" s="4" t="n">
        <f aca="false">0.4*J340+0.4*K340+0.2*L340</f>
        <v>0.543565822406915</v>
      </c>
    </row>
    <row r="341" customFormat="false" ht="15" hidden="false" customHeight="false" outlineLevel="0" collapsed="false">
      <c r="A341" s="3" t="s">
        <v>4</v>
      </c>
      <c r="B341" s="3" t="s">
        <v>121</v>
      </c>
      <c r="C341" s="3" t="s">
        <v>122</v>
      </c>
      <c r="D341" s="3" t="s">
        <v>522</v>
      </c>
      <c r="E341" s="3" t="n">
        <v>6.5</v>
      </c>
      <c r="F341" s="3" t="n">
        <v>3</v>
      </c>
      <c r="G341" s="3" t="n">
        <v>770</v>
      </c>
      <c r="H341" s="4" t="n">
        <f aca="false">G341/E341</f>
        <v>118.461538461538</v>
      </c>
      <c r="I341" s="3" t="n">
        <v>1.7</v>
      </c>
      <c r="J341" s="4" t="n">
        <f aca="false">(F341-Assumptions!$B$17)/(Assumptions!$C$17-Assumptions!$B$17)</f>
        <v>0.181818181818182</v>
      </c>
      <c r="K341" s="4" t="n">
        <f aca="false">(H341-Assumptions!$B$18)/(Assumptions!$C$18-Assumptions!$B$18)</f>
        <v>0.146910177714898</v>
      </c>
      <c r="L341" s="4" t="n">
        <f aca="false">(I341-Assumptions!$B$19)/(Assumptions!$C$19-Assumptions!$B$19)</f>
        <v>0.268292682926829</v>
      </c>
      <c r="M341" s="4" t="n">
        <f aca="false">0.4*J341+0.4*K341+0.2*L341</f>
        <v>0.185149880398598</v>
      </c>
    </row>
    <row r="342" customFormat="false" ht="15" hidden="false" customHeight="false" outlineLevel="0" collapsed="false">
      <c r="A342" s="3" t="s">
        <v>4</v>
      </c>
      <c r="B342" s="3" t="s">
        <v>124</v>
      </c>
      <c r="C342" s="3" t="s">
        <v>125</v>
      </c>
      <c r="D342" s="3" t="s">
        <v>523</v>
      </c>
      <c r="E342" s="3" t="n">
        <v>4</v>
      </c>
      <c r="F342" s="3" t="n">
        <v>5</v>
      </c>
      <c r="G342" s="3" t="n">
        <v>350</v>
      </c>
      <c r="H342" s="4" t="n">
        <f aca="false">G342/E342</f>
        <v>87.5</v>
      </c>
      <c r="I342" s="3" t="n">
        <v>2.5</v>
      </c>
      <c r="J342" s="4" t="n">
        <f aca="false">(F342-Assumptions!$B$17)/(Assumptions!$C$17-Assumptions!$B$17)</f>
        <v>0.363636363636364</v>
      </c>
      <c r="K342" s="4" t="n">
        <f aca="false">(H342-Assumptions!$B$18)/(Assumptions!$C$18-Assumptions!$B$18)</f>
        <v>0.1084934565838</v>
      </c>
      <c r="L342" s="4" t="n">
        <f aca="false">(I342-Assumptions!$B$19)/(Assumptions!$C$19-Assumptions!$B$19)</f>
        <v>0.463414634146341</v>
      </c>
      <c r="M342" s="4" t="n">
        <f aca="false">0.4*J342+0.4*K342+0.2*L342</f>
        <v>0.281534854917334</v>
      </c>
    </row>
    <row r="343" customFormat="false" ht="15" hidden="false" customHeight="false" outlineLevel="0" collapsed="false">
      <c r="A343" s="3" t="s">
        <v>4</v>
      </c>
      <c r="B343" s="3" t="s">
        <v>127</v>
      </c>
      <c r="C343" s="3" t="s">
        <v>128</v>
      </c>
      <c r="D343" s="3" t="s">
        <v>524</v>
      </c>
      <c r="E343" s="3" t="n">
        <v>152.5</v>
      </c>
      <c r="F343" s="3" t="n">
        <v>10</v>
      </c>
      <c r="G343" s="3" t="n">
        <v>342</v>
      </c>
      <c r="H343" s="4" t="n">
        <f aca="false">G343/E343</f>
        <v>2.24262295081967</v>
      </c>
      <c r="I343" s="3" t="n">
        <v>3.9</v>
      </c>
      <c r="J343" s="4" t="n">
        <f aca="false">(F343-Assumptions!$B$17)/(Assumptions!$C$17-Assumptions!$B$17)</f>
        <v>0.818181818181818</v>
      </c>
      <c r="K343" s="4" t="n">
        <f aca="false">(H343-Assumptions!$B$18)/(Assumptions!$C$18-Assumptions!$B$18)</f>
        <v>0.00270708286933031</v>
      </c>
      <c r="L343" s="4" t="n">
        <f aca="false">(I343-Assumptions!$B$19)/(Assumptions!$C$19-Assumptions!$B$19)</f>
        <v>0.804878048780488</v>
      </c>
      <c r="M343" s="4" t="n">
        <f aca="false">0.4*J343+0.4*K343+0.2*L343</f>
        <v>0.489331170176557</v>
      </c>
    </row>
    <row r="344" customFormat="false" ht="15" hidden="false" customHeight="false" outlineLevel="0" collapsed="false">
      <c r="A344" s="3" t="s">
        <v>4</v>
      </c>
      <c r="B344" s="3" t="s">
        <v>130</v>
      </c>
      <c r="C344" s="3" t="s">
        <v>131</v>
      </c>
      <c r="D344" s="3" t="s">
        <v>525</v>
      </c>
      <c r="E344" s="3" t="n">
        <v>2575</v>
      </c>
      <c r="F344" s="3" t="n">
        <v>5</v>
      </c>
      <c r="G344" s="3" t="n">
        <v>610</v>
      </c>
      <c r="H344" s="4" t="n">
        <f aca="false">G344/E344</f>
        <v>0.236893203883495</v>
      </c>
      <c r="I344" s="3" t="n">
        <v>2.6</v>
      </c>
      <c r="J344" s="4" t="n">
        <f aca="false">(F344-Assumptions!$B$17)/(Assumptions!$C$17-Assumptions!$B$17)</f>
        <v>0.363636363636364</v>
      </c>
      <c r="K344" s="4" t="n">
        <f aca="false">(H344-Assumptions!$B$18)/(Assumptions!$C$18-Assumptions!$B$18)</f>
        <v>0.00021839644801073</v>
      </c>
      <c r="L344" s="4" t="n">
        <f aca="false">(I344-Assumptions!$B$19)/(Assumptions!$C$19-Assumptions!$B$19)</f>
        <v>0.48780487804878</v>
      </c>
      <c r="M344" s="4" t="n">
        <f aca="false">0.4*J344+0.4*K344+0.2*L344</f>
        <v>0.243102879643506</v>
      </c>
    </row>
    <row r="345" customFormat="false" ht="15" hidden="false" customHeight="false" outlineLevel="0" collapsed="false">
      <c r="A345" s="3" t="s">
        <v>4</v>
      </c>
      <c r="B345" s="3" t="s">
        <v>133</v>
      </c>
      <c r="C345" s="3" t="s">
        <v>131</v>
      </c>
      <c r="D345" s="3" t="s">
        <v>525</v>
      </c>
      <c r="E345" s="3" t="n">
        <v>616</v>
      </c>
      <c r="F345" s="3" t="n">
        <v>5</v>
      </c>
      <c r="G345" s="3" t="n">
        <v>610</v>
      </c>
      <c r="H345" s="4" t="n">
        <f aca="false">G345/E345</f>
        <v>0.99025974025974</v>
      </c>
      <c r="I345" s="3" t="n">
        <v>2.6</v>
      </c>
      <c r="J345" s="4" t="n">
        <f aca="false">(F345-Assumptions!$B$17)/(Assumptions!$C$17-Assumptions!$B$17)</f>
        <v>0.363636363636364</v>
      </c>
      <c r="K345" s="4" t="n">
        <f aca="false">(H345-Assumptions!$B$18)/(Assumptions!$C$18-Assumptions!$B$18)</f>
        <v>0.00115316498909663</v>
      </c>
      <c r="L345" s="4" t="n">
        <f aca="false">(I345-Assumptions!$B$19)/(Assumptions!$C$19-Assumptions!$B$19)</f>
        <v>0.48780487804878</v>
      </c>
      <c r="M345" s="4" t="n">
        <f aca="false">0.4*J345+0.4*K345+0.2*L345</f>
        <v>0.24347678705994</v>
      </c>
    </row>
    <row r="346" customFormat="false" ht="15" hidden="false" customHeight="false" outlineLevel="0" collapsed="false">
      <c r="A346" s="3" t="s">
        <v>4</v>
      </c>
      <c r="B346" s="3" t="s">
        <v>134</v>
      </c>
      <c r="C346" s="3" t="s">
        <v>135</v>
      </c>
      <c r="D346" s="3" t="s">
        <v>526</v>
      </c>
      <c r="E346" s="3" t="n">
        <v>3.5</v>
      </c>
      <c r="F346" s="3" t="n">
        <v>3</v>
      </c>
      <c r="G346" s="3" t="n">
        <v>646</v>
      </c>
      <c r="H346" s="4" t="n">
        <f aca="false">G346/E346</f>
        <v>184.571428571429</v>
      </c>
      <c r="I346" s="3" t="n">
        <v>2.6</v>
      </c>
      <c r="J346" s="4" t="n">
        <f aca="false">(F346-Assumptions!$B$17)/(Assumptions!$C$17-Assumptions!$B$17)</f>
        <v>0.181818181818182</v>
      </c>
      <c r="K346" s="4" t="n">
        <f aca="false">(H346-Assumptions!$B$18)/(Assumptions!$C$18-Assumptions!$B$18)</f>
        <v>0.228938569666871</v>
      </c>
      <c r="L346" s="4" t="n">
        <f aca="false">(I346-Assumptions!$B$19)/(Assumptions!$C$19-Assumptions!$B$19)</f>
        <v>0.48780487804878</v>
      </c>
      <c r="M346" s="4" t="n">
        <f aca="false">0.4*J346+0.4*K346+0.2*L346</f>
        <v>0.261863676203777</v>
      </c>
    </row>
    <row r="347" customFormat="false" ht="15" hidden="false" customHeight="false" outlineLevel="0" collapsed="false">
      <c r="A347" s="3" t="s">
        <v>4</v>
      </c>
      <c r="B347" s="3" t="s">
        <v>137</v>
      </c>
      <c r="C347" s="3" t="s">
        <v>135</v>
      </c>
      <c r="D347" s="3" t="s">
        <v>526</v>
      </c>
      <c r="E347" s="3" t="n">
        <v>20.5</v>
      </c>
      <c r="F347" s="3" t="n">
        <v>3</v>
      </c>
      <c r="G347" s="3" t="n">
        <v>646</v>
      </c>
      <c r="H347" s="4" t="n">
        <f aca="false">G347/E347</f>
        <v>31.5121951219512</v>
      </c>
      <c r="I347" s="3" t="n">
        <v>2.6</v>
      </c>
      <c r="J347" s="4" t="n">
        <f aca="false">(F347-Assumptions!$B$17)/(Assumptions!$C$17-Assumptions!$B$17)</f>
        <v>0.181818181818182</v>
      </c>
      <c r="K347" s="4" t="n">
        <f aca="false">(H347-Assumptions!$B$18)/(Assumptions!$C$18-Assumptions!$B$18)</f>
        <v>0.0390244316703832</v>
      </c>
      <c r="L347" s="4" t="n">
        <f aca="false">(I347-Assumptions!$B$19)/(Assumptions!$C$19-Assumptions!$B$19)</f>
        <v>0.48780487804878</v>
      </c>
      <c r="M347" s="4" t="n">
        <f aca="false">0.4*J347+0.4*K347+0.2*L347</f>
        <v>0.185898021005182</v>
      </c>
    </row>
    <row r="348" customFormat="false" ht="15" hidden="false" customHeight="false" outlineLevel="0" collapsed="false">
      <c r="A348" s="3" t="s">
        <v>4</v>
      </c>
      <c r="B348" s="3" t="s">
        <v>138</v>
      </c>
      <c r="C348" s="3" t="s">
        <v>139</v>
      </c>
      <c r="D348" s="3" t="s">
        <v>527</v>
      </c>
      <c r="E348" s="3" t="n">
        <v>115</v>
      </c>
      <c r="F348" s="3" t="n">
        <v>10</v>
      </c>
      <c r="G348" s="3" t="n">
        <v>306</v>
      </c>
      <c r="H348" s="4" t="n">
        <f aca="false">G348/E348</f>
        <v>2.66086956521739</v>
      </c>
      <c r="I348" s="3" t="n">
        <v>3.9</v>
      </c>
      <c r="J348" s="4" t="n">
        <f aca="false">(F348-Assumptions!$B$17)/(Assumptions!$C$17-Assumptions!$B$17)</f>
        <v>0.818181818181818</v>
      </c>
      <c r="K348" s="4" t="n">
        <f aca="false">(H348-Assumptions!$B$18)/(Assumptions!$C$18-Assumptions!$B$18)</f>
        <v>0.00322603846222835</v>
      </c>
      <c r="L348" s="4" t="n">
        <f aca="false">(I348-Assumptions!$B$19)/(Assumptions!$C$19-Assumptions!$B$19)</f>
        <v>0.804878048780488</v>
      </c>
      <c r="M348" s="4" t="n">
        <f aca="false">0.4*J348+0.4*K348+0.2*L348</f>
        <v>0.489538752413716</v>
      </c>
    </row>
    <row r="349" customFormat="false" ht="15" hidden="false" customHeight="false" outlineLevel="0" collapsed="false">
      <c r="A349" s="3" t="s">
        <v>4</v>
      </c>
      <c r="B349" s="3" t="s">
        <v>141</v>
      </c>
      <c r="C349" s="3" t="s">
        <v>139</v>
      </c>
      <c r="D349" s="3" t="s">
        <v>527</v>
      </c>
      <c r="E349" s="3" t="n">
        <v>1</v>
      </c>
      <c r="F349" s="3" t="n">
        <v>10</v>
      </c>
      <c r="G349" s="3" t="n">
        <v>306</v>
      </c>
      <c r="H349" s="4" t="n">
        <f aca="false">G349/E349</f>
        <v>306</v>
      </c>
      <c r="I349" s="3" t="n">
        <v>3.9</v>
      </c>
      <c r="J349" s="4" t="n">
        <f aca="false">(F349-Assumptions!$B$17)/(Assumptions!$C$17-Assumptions!$B$17)</f>
        <v>0.818181818181818</v>
      </c>
      <c r="K349" s="4" t="n">
        <f aca="false">(H349-Assumptions!$B$18)/(Assumptions!$C$18-Assumptions!$B$18)</f>
        <v>0.379605745708977</v>
      </c>
      <c r="L349" s="4" t="n">
        <f aca="false">(I349-Assumptions!$B$19)/(Assumptions!$C$19-Assumptions!$B$19)</f>
        <v>0.804878048780488</v>
      </c>
      <c r="M349" s="4" t="n">
        <f aca="false">0.4*J349+0.4*K349+0.2*L349</f>
        <v>0.640090635312416</v>
      </c>
    </row>
    <row r="350" customFormat="false" ht="15" hidden="false" customHeight="false" outlineLevel="0" collapsed="false">
      <c r="A350" s="3" t="s">
        <v>4</v>
      </c>
      <c r="B350" s="3" t="s">
        <v>142</v>
      </c>
      <c r="C350" s="3" t="s">
        <v>139</v>
      </c>
      <c r="D350" s="3" t="s">
        <v>527</v>
      </c>
      <c r="E350" s="3" t="n">
        <v>241</v>
      </c>
      <c r="F350" s="3" t="n">
        <v>10</v>
      </c>
      <c r="G350" s="3" t="n">
        <v>306</v>
      </c>
      <c r="H350" s="4" t="n">
        <f aca="false">G350/E350</f>
        <v>1.26970954356846</v>
      </c>
      <c r="I350" s="3" t="n">
        <v>3.9</v>
      </c>
      <c r="J350" s="4" t="n">
        <f aca="false">(F350-Assumptions!$B$17)/(Assumptions!$C$17-Assumptions!$B$17)</f>
        <v>0.818181818181818</v>
      </c>
      <c r="K350" s="4" t="n">
        <f aca="false">(H350-Assumptions!$B$18)/(Assumptions!$C$18-Assumptions!$B$18)</f>
        <v>0.00149990309376761</v>
      </c>
      <c r="L350" s="4" t="n">
        <f aca="false">(I350-Assumptions!$B$19)/(Assumptions!$C$19-Assumptions!$B$19)</f>
        <v>0.804878048780488</v>
      </c>
      <c r="M350" s="4" t="n">
        <f aca="false">0.4*J350+0.4*K350+0.2*L350</f>
        <v>0.488848298266332</v>
      </c>
    </row>
    <row r="351" customFormat="false" ht="15" hidden="false" customHeight="false" outlineLevel="0" collapsed="false">
      <c r="A351" s="3" t="s">
        <v>4</v>
      </c>
      <c r="B351" s="3" t="s">
        <v>143</v>
      </c>
      <c r="C351" s="3" t="s">
        <v>144</v>
      </c>
      <c r="D351" s="3" t="s">
        <v>528</v>
      </c>
      <c r="E351" s="3" t="n">
        <v>78</v>
      </c>
      <c r="F351" s="3" t="n">
        <v>6</v>
      </c>
      <c r="G351" s="3" t="n">
        <v>350</v>
      </c>
      <c r="H351" s="4" t="n">
        <f aca="false">G351/E351</f>
        <v>4.48717948717949</v>
      </c>
      <c r="I351" s="3" t="n">
        <v>2.5</v>
      </c>
      <c r="J351" s="4" t="n">
        <f aca="false">(F351-Assumptions!$B$17)/(Assumptions!$C$17-Assumptions!$B$17)</f>
        <v>0.454545454545455</v>
      </c>
      <c r="K351" s="4" t="n">
        <f aca="false">(H351-Assumptions!$B$18)/(Assumptions!$C$18-Assumptions!$B$18)</f>
        <v>0.00549210282650829</v>
      </c>
      <c r="L351" s="4" t="n">
        <f aca="false">(I351-Assumptions!$B$19)/(Assumptions!$C$19-Assumptions!$B$19)</f>
        <v>0.463414634146341</v>
      </c>
      <c r="M351" s="4" t="n">
        <f aca="false">0.4*J351+0.4*K351+0.2*L351</f>
        <v>0.276697949778053</v>
      </c>
    </row>
    <row r="352" customFormat="false" ht="15" hidden="false" customHeight="false" outlineLevel="0" collapsed="false">
      <c r="A352" s="3" t="s">
        <v>4</v>
      </c>
      <c r="B352" s="3" t="s">
        <v>146</v>
      </c>
      <c r="C352" s="3" t="s">
        <v>147</v>
      </c>
      <c r="D352" s="3" t="s">
        <v>529</v>
      </c>
      <c r="E352" s="3" t="n">
        <v>5.5</v>
      </c>
      <c r="F352" s="3" t="n">
        <v>3</v>
      </c>
      <c r="G352" s="3" t="n">
        <v>610</v>
      </c>
      <c r="H352" s="4" t="n">
        <f aca="false">G352/E352</f>
        <v>110.909090909091</v>
      </c>
      <c r="I352" s="3" t="n">
        <v>2.6</v>
      </c>
      <c r="J352" s="4" t="n">
        <f aca="false">(F352-Assumptions!$B$17)/(Assumptions!$C$17-Assumptions!$B$17)</f>
        <v>0.181818181818182</v>
      </c>
      <c r="K352" s="4" t="n">
        <f aca="false">(H352-Assumptions!$B$18)/(Assumptions!$C$18-Assumptions!$B$18)</f>
        <v>0.137539187580152</v>
      </c>
      <c r="L352" s="4" t="n">
        <f aca="false">(I352-Assumptions!$B$19)/(Assumptions!$C$19-Assumptions!$B$19)</f>
        <v>0.48780487804878</v>
      </c>
      <c r="M352" s="4" t="n">
        <f aca="false">0.4*J352+0.4*K352+0.2*L352</f>
        <v>0.22530392336909</v>
      </c>
    </row>
    <row r="353" customFormat="false" ht="15" hidden="false" customHeight="false" outlineLevel="0" collapsed="false">
      <c r="A353" s="3" t="s">
        <v>4</v>
      </c>
      <c r="B353" s="3" t="s">
        <v>149</v>
      </c>
      <c r="C353" s="3" t="s">
        <v>150</v>
      </c>
      <c r="D353" s="3" t="s">
        <v>530</v>
      </c>
      <c r="E353" s="3" t="n">
        <v>188</v>
      </c>
      <c r="F353" s="3" t="n">
        <v>4</v>
      </c>
      <c r="G353" s="3" t="n">
        <v>806</v>
      </c>
      <c r="H353" s="4" t="n">
        <f aca="false">G353/E353</f>
        <v>4.28723404255319</v>
      </c>
      <c r="I353" s="3" t="n">
        <v>1.7</v>
      </c>
      <c r="J353" s="4" t="n">
        <f aca="false">(F353-Assumptions!$B$17)/(Assumptions!$C$17-Assumptions!$B$17)</f>
        <v>0.272727272727273</v>
      </c>
      <c r="K353" s="4" t="n">
        <f aca="false">(H353-Assumptions!$B$18)/(Assumptions!$C$18-Assumptions!$B$18)</f>
        <v>0.00524401281647266</v>
      </c>
      <c r="L353" s="4" t="n">
        <f aca="false">(I353-Assumptions!$B$19)/(Assumptions!$C$19-Assumptions!$B$19)</f>
        <v>0.268292682926829</v>
      </c>
      <c r="M353" s="4" t="n">
        <f aca="false">0.4*J353+0.4*K353+0.2*L353</f>
        <v>0.164847050802864</v>
      </c>
    </row>
    <row r="354" customFormat="false" ht="15" hidden="false" customHeight="false" outlineLevel="0" collapsed="false">
      <c r="A354" s="3" t="s">
        <v>4</v>
      </c>
      <c r="B354" s="3" t="s">
        <v>152</v>
      </c>
      <c r="C354" s="3" t="s">
        <v>150</v>
      </c>
      <c r="D354" s="3" t="s">
        <v>530</v>
      </c>
      <c r="E354" s="3" t="n">
        <v>7</v>
      </c>
      <c r="F354" s="3" t="n">
        <v>4</v>
      </c>
      <c r="G354" s="3" t="n">
        <v>806</v>
      </c>
      <c r="H354" s="4" t="n">
        <f aca="false">G354/E354</f>
        <v>115.142857142857</v>
      </c>
      <c r="I354" s="3" t="n">
        <v>1.7</v>
      </c>
      <c r="J354" s="4" t="n">
        <f aca="false">(F354-Assumptions!$B$17)/(Assumptions!$C$17-Assumptions!$B$17)</f>
        <v>0.272727272727273</v>
      </c>
      <c r="K354" s="4" t="n">
        <f aca="false">(H354-Assumptions!$B$18)/(Assumptions!$C$18-Assumptions!$B$18)</f>
        <v>0.142792396071032</v>
      </c>
      <c r="L354" s="4" t="n">
        <f aca="false">(I354-Assumptions!$B$19)/(Assumptions!$C$19-Assumptions!$B$19)</f>
        <v>0.268292682926829</v>
      </c>
      <c r="M354" s="4" t="n">
        <f aca="false">0.4*J354+0.4*K354+0.2*L354</f>
        <v>0.219866404104688</v>
      </c>
    </row>
    <row r="355" customFormat="false" ht="15" hidden="false" customHeight="false" outlineLevel="0" collapsed="false">
      <c r="A355" s="3" t="s">
        <v>4</v>
      </c>
      <c r="B355" s="3" t="s">
        <v>153</v>
      </c>
      <c r="C355" s="3" t="s">
        <v>154</v>
      </c>
      <c r="D355" s="3" t="s">
        <v>531</v>
      </c>
      <c r="E355" s="3" t="n">
        <v>4.5</v>
      </c>
      <c r="F355" s="3" t="n">
        <v>5</v>
      </c>
      <c r="G355" s="3" t="n">
        <v>386</v>
      </c>
      <c r="H355" s="4" t="n">
        <f aca="false">G355/E355</f>
        <v>85.7777777777778</v>
      </c>
      <c r="I355" s="3" t="n">
        <v>2.5</v>
      </c>
      <c r="J355" s="4" t="n">
        <f aca="false">(F355-Assumptions!$B$17)/(Assumptions!$C$17-Assumptions!$B$17)</f>
        <v>0.363636363636364</v>
      </c>
      <c r="K355" s="4" t="n">
        <f aca="false">(H355-Assumptions!$B$18)/(Assumptions!$C$18-Assumptions!$B$18)</f>
        <v>0.106356543041242</v>
      </c>
      <c r="L355" s="4" t="n">
        <f aca="false">(I355-Assumptions!$B$19)/(Assumptions!$C$19-Assumptions!$B$19)</f>
        <v>0.463414634146341</v>
      </c>
      <c r="M355" s="4" t="n">
        <f aca="false">0.4*J355+0.4*K355+0.2*L355</f>
        <v>0.280680089500311</v>
      </c>
    </row>
    <row r="356" customFormat="false" ht="15" hidden="false" customHeight="false" outlineLevel="0" collapsed="false">
      <c r="A356" s="3" t="s">
        <v>4</v>
      </c>
      <c r="B356" s="3" t="s">
        <v>156</v>
      </c>
      <c r="C356" s="3" t="s">
        <v>157</v>
      </c>
      <c r="D356" s="3" t="s">
        <v>532</v>
      </c>
      <c r="E356" s="3" t="n">
        <v>406</v>
      </c>
      <c r="F356" s="3" t="n">
        <v>3</v>
      </c>
      <c r="G356" s="3" t="n">
        <v>610</v>
      </c>
      <c r="H356" s="4" t="n">
        <f aca="false">G356/E356</f>
        <v>1.50246305418719</v>
      </c>
      <c r="I356" s="3" t="n">
        <v>2.6</v>
      </c>
      <c r="J356" s="4" t="n">
        <f aca="false">(F356-Assumptions!$B$17)/(Assumptions!$C$17-Assumptions!$B$17)</f>
        <v>0.181818181818182</v>
      </c>
      <c r="K356" s="4" t="n">
        <f aca="false">(H356-Assumptions!$B$18)/(Assumptions!$C$18-Assumptions!$B$18)</f>
        <v>0.00178870097507546</v>
      </c>
      <c r="L356" s="4" t="n">
        <f aca="false">(I356-Assumptions!$B$19)/(Assumptions!$C$19-Assumptions!$B$19)</f>
        <v>0.48780487804878</v>
      </c>
      <c r="M356" s="4" t="n">
        <f aca="false">0.4*J356+0.4*K356+0.2*L356</f>
        <v>0.171003728727059</v>
      </c>
    </row>
    <row r="357" customFormat="false" ht="15" hidden="false" customHeight="false" outlineLevel="0" collapsed="false">
      <c r="A357" s="3" t="s">
        <v>4</v>
      </c>
      <c r="B357" s="3" t="s">
        <v>159</v>
      </c>
      <c r="C357" s="3" t="s">
        <v>160</v>
      </c>
      <c r="D357" s="3" t="s">
        <v>533</v>
      </c>
      <c r="E357" s="3" t="n">
        <v>204</v>
      </c>
      <c r="F357" s="3" t="n">
        <v>5</v>
      </c>
      <c r="G357" s="3" t="n">
        <v>350</v>
      </c>
      <c r="H357" s="4" t="n">
        <f aca="false">G357/E357</f>
        <v>1.7156862745098</v>
      </c>
      <c r="I357" s="3" t="n">
        <v>2.5</v>
      </c>
      <c r="J357" s="4" t="n">
        <f aca="false">(F357-Assumptions!$B$17)/(Assumptions!$C$17-Assumptions!$B$17)</f>
        <v>0.363636363636364</v>
      </c>
      <c r="K357" s="4" t="n">
        <f aca="false">(H357-Assumptions!$B$18)/(Assumptions!$C$18-Assumptions!$B$18)</f>
        <v>0.00205326589661461</v>
      </c>
      <c r="L357" s="4" t="n">
        <f aca="false">(I357-Assumptions!$B$19)/(Assumptions!$C$19-Assumptions!$B$19)</f>
        <v>0.463414634146341</v>
      </c>
      <c r="M357" s="4" t="n">
        <f aca="false">0.4*J357+0.4*K357+0.2*L357</f>
        <v>0.23895877864246</v>
      </c>
    </row>
    <row r="358" customFormat="false" ht="15" hidden="false" customHeight="false" outlineLevel="0" collapsed="false">
      <c r="A358" s="3" t="s">
        <v>4</v>
      </c>
      <c r="B358" s="3" t="s">
        <v>162</v>
      </c>
      <c r="C358" s="3" t="s">
        <v>160</v>
      </c>
      <c r="D358" s="3" t="s">
        <v>533</v>
      </c>
      <c r="E358" s="3" t="n">
        <v>2400</v>
      </c>
      <c r="F358" s="3" t="n">
        <v>5</v>
      </c>
      <c r="G358" s="3" t="n">
        <v>350</v>
      </c>
      <c r="H358" s="4" t="n">
        <f aca="false">G358/E358</f>
        <v>0.145833333333333</v>
      </c>
      <c r="I358" s="3" t="n">
        <v>2.5</v>
      </c>
      <c r="J358" s="4" t="n">
        <f aca="false">(F358-Assumptions!$B$17)/(Assumptions!$C$17-Assumptions!$B$17)</f>
        <v>0.363636363636364</v>
      </c>
      <c r="K358" s="4" t="n">
        <f aca="false">(H358-Assumptions!$B$18)/(Assumptions!$C$18-Assumptions!$B$18)</f>
        <v>0.000105410407039121</v>
      </c>
      <c r="L358" s="4" t="n">
        <f aca="false">(I358-Assumptions!$B$19)/(Assumptions!$C$19-Assumptions!$B$19)</f>
        <v>0.463414634146341</v>
      </c>
      <c r="M358" s="4" t="n">
        <f aca="false">0.4*J358+0.4*K358+0.2*L358</f>
        <v>0.238179636446629</v>
      </c>
    </row>
    <row r="359" customFormat="false" ht="15" hidden="false" customHeight="false" outlineLevel="0" collapsed="false">
      <c r="A359" s="3" t="s">
        <v>4</v>
      </c>
      <c r="B359" s="3" t="s">
        <v>163</v>
      </c>
      <c r="C359" s="3" t="s">
        <v>160</v>
      </c>
      <c r="D359" s="3" t="s">
        <v>533</v>
      </c>
      <c r="E359" s="3" t="n">
        <v>336.5</v>
      </c>
      <c r="F359" s="3" t="n">
        <v>5</v>
      </c>
      <c r="G359" s="3" t="n">
        <v>350</v>
      </c>
      <c r="H359" s="4" t="n">
        <f aca="false">G359/E359</f>
        <v>1.04011887072808</v>
      </c>
      <c r="I359" s="3" t="n">
        <v>2.5</v>
      </c>
      <c r="J359" s="4" t="n">
        <f aca="false">(F359-Assumptions!$B$17)/(Assumptions!$C$17-Assumptions!$B$17)</f>
        <v>0.363636363636364</v>
      </c>
      <c r="K359" s="4" t="n">
        <f aca="false">(H359-Assumptions!$B$18)/(Assumptions!$C$18-Assumptions!$B$18)</f>
        <v>0.00121502962522965</v>
      </c>
      <c r="L359" s="4" t="n">
        <f aca="false">(I359-Assumptions!$B$19)/(Assumptions!$C$19-Assumptions!$B$19)</f>
        <v>0.463414634146341</v>
      </c>
      <c r="M359" s="4" t="n">
        <f aca="false">0.4*J359+0.4*K359+0.2*L359</f>
        <v>0.238623484133906</v>
      </c>
    </row>
    <row r="360" customFormat="false" ht="15" hidden="false" customHeight="false" outlineLevel="0" collapsed="false">
      <c r="A360" s="3" t="s">
        <v>4</v>
      </c>
      <c r="B360" s="3" t="s">
        <v>164</v>
      </c>
      <c r="C360" s="3" t="s">
        <v>165</v>
      </c>
      <c r="D360" s="3" t="s">
        <v>534</v>
      </c>
      <c r="E360" s="3" t="n">
        <v>4</v>
      </c>
      <c r="F360" s="3" t="n">
        <v>10</v>
      </c>
      <c r="G360" s="3" t="n">
        <v>270</v>
      </c>
      <c r="H360" s="4" t="n">
        <f aca="false">G360/E360</f>
        <v>67.5</v>
      </c>
      <c r="I360" s="3" t="n">
        <v>3.9</v>
      </c>
      <c r="J360" s="4" t="n">
        <f aca="false">(F360-Assumptions!$B$17)/(Assumptions!$C$17-Assumptions!$B$17)</f>
        <v>0.818181818181818</v>
      </c>
      <c r="K360" s="4" t="n">
        <f aca="false">(H360-Assumptions!$B$18)/(Assumptions!$C$18-Assumptions!$B$18)</f>
        <v>0.083677686412159</v>
      </c>
      <c r="L360" s="4" t="n">
        <f aca="false">(I360-Assumptions!$B$19)/(Assumptions!$C$19-Assumptions!$B$19)</f>
        <v>0.804878048780488</v>
      </c>
      <c r="M360" s="4" t="n">
        <f aca="false">0.4*J360+0.4*K360+0.2*L360</f>
        <v>0.521719411593689</v>
      </c>
    </row>
    <row r="361" customFormat="false" ht="15" hidden="false" customHeight="false" outlineLevel="0" collapsed="false">
      <c r="A361" s="3" t="s">
        <v>4</v>
      </c>
      <c r="B361" s="3" t="s">
        <v>167</v>
      </c>
      <c r="C361" s="3" t="s">
        <v>168</v>
      </c>
      <c r="D361" s="3" t="s">
        <v>535</v>
      </c>
      <c r="E361" s="3" t="n">
        <v>1759.5</v>
      </c>
      <c r="F361" s="3" t="n">
        <v>5</v>
      </c>
      <c r="G361" s="3" t="n">
        <v>610</v>
      </c>
      <c r="H361" s="4" t="n">
        <f aca="false">G361/E361</f>
        <v>0.34668940039784</v>
      </c>
      <c r="I361" s="3" t="n">
        <v>2.6</v>
      </c>
      <c r="J361" s="4" t="n">
        <f aca="false">(F361-Assumptions!$B$17)/(Assumptions!$C$17-Assumptions!$B$17)</f>
        <v>0.363636363636364</v>
      </c>
      <c r="K361" s="4" t="n">
        <f aca="false">(H361-Assumptions!$B$18)/(Assumptions!$C$18-Assumptions!$B$18)</f>
        <v>0.000354630306931746</v>
      </c>
      <c r="L361" s="4" t="n">
        <f aca="false">(I361-Assumptions!$B$19)/(Assumptions!$C$19-Assumptions!$B$19)</f>
        <v>0.48780487804878</v>
      </c>
      <c r="M361" s="4" t="n">
        <f aca="false">0.4*J361+0.4*K361+0.2*L361</f>
        <v>0.243157373187074</v>
      </c>
    </row>
    <row r="362" customFormat="false" ht="15" hidden="false" customHeight="false" outlineLevel="0" collapsed="false">
      <c r="A362" s="3" t="s">
        <v>4</v>
      </c>
      <c r="B362" s="3" t="s">
        <v>170</v>
      </c>
      <c r="C362" s="3" t="s">
        <v>171</v>
      </c>
      <c r="D362" s="3" t="s">
        <v>536</v>
      </c>
      <c r="E362" s="3" t="n">
        <v>13</v>
      </c>
      <c r="F362" s="3" t="n">
        <v>10</v>
      </c>
      <c r="G362" s="3" t="n">
        <v>270</v>
      </c>
      <c r="H362" s="4" t="n">
        <f aca="false">G362/E362</f>
        <v>20.7692307692308</v>
      </c>
      <c r="I362" s="3" t="n">
        <v>3.9</v>
      </c>
      <c r="J362" s="4" t="n">
        <f aca="false">(F362-Assumptions!$B$17)/(Assumptions!$C$17-Assumptions!$B$17)</f>
        <v>0.818181818181818</v>
      </c>
      <c r="K362" s="4" t="n">
        <f aca="false">(H362-Assumptions!$B$18)/(Assumptions!$C$18-Assumptions!$B$18)</f>
        <v>0.0256946849534211</v>
      </c>
      <c r="L362" s="4" t="n">
        <f aca="false">(I362-Assumptions!$B$19)/(Assumptions!$C$19-Assumptions!$B$19)</f>
        <v>0.804878048780488</v>
      </c>
      <c r="M362" s="4" t="n">
        <f aca="false">0.4*J362+0.4*K362+0.2*L362</f>
        <v>0.498526211010193</v>
      </c>
    </row>
    <row r="363" customFormat="false" ht="15" hidden="false" customHeight="false" outlineLevel="0" collapsed="false">
      <c r="A363" s="3" t="s">
        <v>4</v>
      </c>
      <c r="B363" s="3" t="s">
        <v>173</v>
      </c>
      <c r="C363" s="3" t="s">
        <v>174</v>
      </c>
      <c r="D363" s="3" t="s">
        <v>537</v>
      </c>
      <c r="E363" s="3" t="n">
        <v>12.5</v>
      </c>
      <c r="F363" s="3" t="n">
        <v>6</v>
      </c>
      <c r="G363" s="3" t="n">
        <v>386</v>
      </c>
      <c r="H363" s="4" t="n">
        <f aca="false">G363/E363</f>
        <v>30.88</v>
      </c>
      <c r="I363" s="3" t="n">
        <v>2.5</v>
      </c>
      <c r="J363" s="4" t="n">
        <f aca="false">(F363-Assumptions!$B$17)/(Assumptions!$C$17-Assumptions!$B$17)</f>
        <v>0.454545454545455</v>
      </c>
      <c r="K363" s="4" t="n">
        <f aca="false">(H363-Assumptions!$B$18)/(Assumptions!$C$18-Assumptions!$B$18)</f>
        <v>0.0382400112278845</v>
      </c>
      <c r="L363" s="4" t="n">
        <f aca="false">(I363-Assumptions!$B$19)/(Assumptions!$C$19-Assumptions!$B$19)</f>
        <v>0.463414634146341</v>
      </c>
      <c r="M363" s="4" t="n">
        <f aca="false">0.4*J363+0.4*K363+0.2*L363</f>
        <v>0.289797113138604</v>
      </c>
    </row>
    <row r="364" customFormat="false" ht="15" hidden="false" customHeight="false" outlineLevel="0" collapsed="false">
      <c r="A364" s="3" t="s">
        <v>4</v>
      </c>
      <c r="B364" s="3" t="s">
        <v>176</v>
      </c>
      <c r="C364" s="3" t="s">
        <v>174</v>
      </c>
      <c r="D364" s="3" t="s">
        <v>537</v>
      </c>
      <c r="E364" s="3" t="n">
        <v>255</v>
      </c>
      <c r="F364" s="3" t="n">
        <v>6</v>
      </c>
      <c r="G364" s="3" t="n">
        <v>386</v>
      </c>
      <c r="H364" s="4" t="n">
        <f aca="false">G364/E364</f>
        <v>1.51372549019608</v>
      </c>
      <c r="I364" s="3" t="n">
        <v>2.5</v>
      </c>
      <c r="J364" s="4" t="n">
        <f aca="false">(F364-Assumptions!$B$17)/(Assumptions!$C$17-Assumptions!$B$17)</f>
        <v>0.454545454545455</v>
      </c>
      <c r="K364" s="4" t="n">
        <f aca="false">(H364-Assumptions!$B$18)/(Assumptions!$C$18-Assumptions!$B$18)</f>
        <v>0.00180267527625392</v>
      </c>
      <c r="L364" s="4" t="n">
        <f aca="false">(I364-Assumptions!$B$19)/(Assumptions!$C$19-Assumptions!$B$19)</f>
        <v>0.463414634146341</v>
      </c>
      <c r="M364" s="4" t="n">
        <f aca="false">0.4*J364+0.4*K364+0.2*L364</f>
        <v>0.275222178757952</v>
      </c>
    </row>
    <row r="365" customFormat="false" ht="15" hidden="false" customHeight="false" outlineLevel="0" collapsed="false">
      <c r="A365" s="3" t="s">
        <v>4</v>
      </c>
      <c r="B365" s="3" t="s">
        <v>177</v>
      </c>
      <c r="C365" s="3" t="s">
        <v>178</v>
      </c>
      <c r="D365" s="3" t="s">
        <v>538</v>
      </c>
      <c r="E365" s="3" t="n">
        <v>154</v>
      </c>
      <c r="F365" s="3" t="n">
        <v>3</v>
      </c>
      <c r="G365" s="3" t="n">
        <v>610</v>
      </c>
      <c r="H365" s="4" t="n">
        <f aca="false">G365/E365</f>
        <v>3.96103896103896</v>
      </c>
      <c r="I365" s="3" t="n">
        <v>2.6</v>
      </c>
      <c r="J365" s="4" t="n">
        <f aca="false">(F365-Assumptions!$B$17)/(Assumptions!$C$17-Assumptions!$B$17)</f>
        <v>0.181818181818182</v>
      </c>
      <c r="K365" s="4" t="n">
        <f aca="false">(H365-Assumptions!$B$18)/(Assumptions!$C$18-Assumptions!$B$18)</f>
        <v>0.00483927370777382</v>
      </c>
      <c r="L365" s="4" t="n">
        <f aca="false">(I365-Assumptions!$B$19)/(Assumptions!$C$19-Assumptions!$B$19)</f>
        <v>0.48780487804878</v>
      </c>
      <c r="M365" s="4" t="n">
        <f aca="false">0.4*J365+0.4*K365+0.2*L365</f>
        <v>0.172223957820138</v>
      </c>
    </row>
    <row r="366" customFormat="false" ht="15" hidden="false" customHeight="false" outlineLevel="0" collapsed="false">
      <c r="A366" s="3" t="s">
        <v>4</v>
      </c>
      <c r="B366" s="3" t="s">
        <v>180</v>
      </c>
      <c r="C366" s="3" t="s">
        <v>181</v>
      </c>
      <c r="D366" s="3" t="s">
        <v>539</v>
      </c>
      <c r="E366" s="3" t="n">
        <v>24</v>
      </c>
      <c r="F366" s="3" t="n">
        <v>5</v>
      </c>
      <c r="G366" s="3" t="n">
        <v>386</v>
      </c>
      <c r="H366" s="4" t="n">
        <f aca="false">G366/E366</f>
        <v>16.0833333333333</v>
      </c>
      <c r="I366" s="3" t="n">
        <v>2.5</v>
      </c>
      <c r="J366" s="4" t="n">
        <f aca="false">(F366-Assumptions!$B$17)/(Assumptions!$C$17-Assumptions!$B$17)</f>
        <v>0.363636363636364</v>
      </c>
      <c r="K366" s="4" t="n">
        <f aca="false">(H366-Assumptions!$B$18)/(Assumptions!$C$18-Assumptions!$B$18)</f>
        <v>0.0198804772625655</v>
      </c>
      <c r="L366" s="4" t="n">
        <f aca="false">(I366-Assumptions!$B$19)/(Assumptions!$C$19-Assumptions!$B$19)</f>
        <v>0.463414634146341</v>
      </c>
      <c r="M366" s="4" t="n">
        <f aca="false">0.4*J366+0.4*K366+0.2*L366</f>
        <v>0.24608966318884</v>
      </c>
    </row>
    <row r="367" customFormat="false" ht="15" hidden="false" customHeight="false" outlineLevel="0" collapsed="false">
      <c r="A367" s="3" t="s">
        <v>4</v>
      </c>
      <c r="B367" s="3" t="s">
        <v>183</v>
      </c>
      <c r="C367" s="3" t="s">
        <v>181</v>
      </c>
      <c r="D367" s="3" t="s">
        <v>539</v>
      </c>
      <c r="E367" s="3" t="n">
        <v>31</v>
      </c>
      <c r="F367" s="3" t="n">
        <v>5</v>
      </c>
      <c r="G367" s="3" t="n">
        <v>386</v>
      </c>
      <c r="H367" s="4" t="n">
        <f aca="false">G367/E367</f>
        <v>12.4516129032258</v>
      </c>
      <c r="I367" s="3" t="n">
        <v>2.5</v>
      </c>
      <c r="J367" s="4" t="n">
        <f aca="false">(F367-Assumptions!$B$17)/(Assumptions!$C$17-Assumptions!$B$17)</f>
        <v>0.363636363636364</v>
      </c>
      <c r="K367" s="4" t="n">
        <f aca="false">(H367-Assumptions!$B$18)/(Assumptions!$C$18-Assumptions!$B$18)</f>
        <v>0.0153742802865054</v>
      </c>
      <c r="L367" s="4" t="n">
        <f aca="false">(I367-Assumptions!$B$19)/(Assumptions!$C$19-Assumptions!$B$19)</f>
        <v>0.463414634146341</v>
      </c>
      <c r="M367" s="4" t="n">
        <f aca="false">0.4*J367+0.4*K367+0.2*L367</f>
        <v>0.244287184398416</v>
      </c>
    </row>
    <row r="368" customFormat="false" ht="15" hidden="false" customHeight="false" outlineLevel="0" collapsed="false">
      <c r="A368" s="3" t="s">
        <v>4</v>
      </c>
      <c r="B368" s="3" t="s">
        <v>184</v>
      </c>
      <c r="C368" s="3" t="s">
        <v>185</v>
      </c>
      <c r="D368" s="3" t="s">
        <v>540</v>
      </c>
      <c r="E368" s="3" t="n">
        <v>10.5</v>
      </c>
      <c r="F368" s="3" t="n">
        <v>3</v>
      </c>
      <c r="G368" s="3" t="n">
        <v>610</v>
      </c>
      <c r="H368" s="4" t="n">
        <f aca="false">G368/E368</f>
        <v>58.0952380952381</v>
      </c>
      <c r="I368" s="3" t="n">
        <v>2.6</v>
      </c>
      <c r="J368" s="4" t="n">
        <f aca="false">(F368-Assumptions!$B$17)/(Assumptions!$C$17-Assumptions!$B$17)</f>
        <v>0.181818181818182</v>
      </c>
      <c r="K368" s="4" t="n">
        <f aca="false">(H368-Assumptions!$B$18)/(Assumptions!$C$18-Assumptions!$B$18)</f>
        <v>0.0720083659147802</v>
      </c>
      <c r="L368" s="4" t="n">
        <f aca="false">(I368-Assumptions!$B$19)/(Assumptions!$C$19-Assumptions!$B$19)</f>
        <v>0.48780487804878</v>
      </c>
      <c r="M368" s="4" t="n">
        <f aca="false">0.4*J368+0.4*K368+0.2*L368</f>
        <v>0.199091594702941</v>
      </c>
    </row>
    <row r="369" customFormat="false" ht="15" hidden="false" customHeight="false" outlineLevel="0" collapsed="false">
      <c r="A369" s="3" t="s">
        <v>4</v>
      </c>
      <c r="B369" s="3" t="s">
        <v>187</v>
      </c>
      <c r="C369" s="3" t="s">
        <v>188</v>
      </c>
      <c r="D369" s="3" t="s">
        <v>541</v>
      </c>
      <c r="E369" s="3" t="n">
        <v>1838</v>
      </c>
      <c r="F369" s="3" t="n">
        <v>11</v>
      </c>
      <c r="G369" s="3" t="n">
        <v>306</v>
      </c>
      <c r="H369" s="4" t="n">
        <f aca="false">G369/E369</f>
        <v>0.166485310119695</v>
      </c>
      <c r="I369" s="3" t="n">
        <v>3.9</v>
      </c>
      <c r="J369" s="4" t="n">
        <f aca="false">(F369-Assumptions!$B$17)/(Assumptions!$C$17-Assumptions!$B$17)</f>
        <v>0.909090909090909</v>
      </c>
      <c r="K369" s="4" t="n">
        <f aca="false">(H369-Assumptions!$B$18)/(Assumptions!$C$18-Assumptions!$B$18)</f>
        <v>0.000131035142515142</v>
      </c>
      <c r="L369" s="4" t="n">
        <f aca="false">(I369-Assumptions!$B$19)/(Assumptions!$C$19-Assumptions!$B$19)</f>
        <v>0.804878048780488</v>
      </c>
      <c r="M369" s="4" t="n">
        <f aca="false">0.4*J369+0.4*K369+0.2*L369</f>
        <v>0.524664387449467</v>
      </c>
    </row>
    <row r="370" customFormat="false" ht="15" hidden="false" customHeight="false" outlineLevel="0" collapsed="false">
      <c r="A370" s="3" t="s">
        <v>4</v>
      </c>
      <c r="B370" s="3" t="s">
        <v>190</v>
      </c>
      <c r="C370" s="3" t="s">
        <v>188</v>
      </c>
      <c r="D370" s="3" t="s">
        <v>541</v>
      </c>
      <c r="E370" s="3" t="n">
        <v>3.5</v>
      </c>
      <c r="F370" s="3" t="n">
        <v>11</v>
      </c>
      <c r="G370" s="3" t="n">
        <v>306</v>
      </c>
      <c r="H370" s="4" t="n">
        <f aca="false">G370/E370</f>
        <v>87.4285714285714</v>
      </c>
      <c r="I370" s="3" t="n">
        <v>3.9</v>
      </c>
      <c r="J370" s="4" t="n">
        <f aca="false">(F370-Assumptions!$B$17)/(Assumptions!$C$17-Assumptions!$B$17)</f>
        <v>0.909090909090909</v>
      </c>
      <c r="K370" s="4" t="n">
        <f aca="false">(H370-Assumptions!$B$18)/(Assumptions!$C$18-Assumptions!$B$18)</f>
        <v>0.108404828833187</v>
      </c>
      <c r="L370" s="4" t="n">
        <f aca="false">(I370-Assumptions!$B$19)/(Assumptions!$C$19-Assumptions!$B$19)</f>
        <v>0.804878048780488</v>
      </c>
      <c r="M370" s="4" t="n">
        <f aca="false">0.4*J370+0.4*K370+0.2*L370</f>
        <v>0.567973904925736</v>
      </c>
    </row>
    <row r="371" customFormat="false" ht="15" hidden="false" customHeight="false" outlineLevel="0" collapsed="false">
      <c r="A371" s="3" t="s">
        <v>4</v>
      </c>
      <c r="B371" s="3" t="s">
        <v>191</v>
      </c>
      <c r="C371" s="3" t="s">
        <v>188</v>
      </c>
      <c r="D371" s="3" t="s">
        <v>541</v>
      </c>
      <c r="E371" s="3" t="n">
        <v>262</v>
      </c>
      <c r="F371" s="3" t="n">
        <v>11</v>
      </c>
      <c r="G371" s="3" t="n">
        <v>306</v>
      </c>
      <c r="H371" s="4" t="n">
        <f aca="false">G371/E371</f>
        <v>1.16793893129771</v>
      </c>
      <c r="I371" s="3" t="n">
        <v>3.9</v>
      </c>
      <c r="J371" s="4" t="n">
        <f aca="false">(F371-Assumptions!$B$17)/(Assumptions!$C$17-Assumptions!$B$17)</f>
        <v>0.909090909090909</v>
      </c>
      <c r="K371" s="4" t="n">
        <f aca="false">(H371-Assumptions!$B$18)/(Assumptions!$C$18-Assumptions!$B$18)</f>
        <v>0.0013736272875507</v>
      </c>
      <c r="L371" s="4" t="n">
        <f aca="false">(I371-Assumptions!$B$19)/(Assumptions!$C$19-Assumptions!$B$19)</f>
        <v>0.804878048780488</v>
      </c>
      <c r="M371" s="4" t="n">
        <f aca="false">0.4*J371+0.4*K371+0.2*L371</f>
        <v>0.525161424307482</v>
      </c>
    </row>
    <row r="372" customFormat="false" ht="15" hidden="false" customHeight="false" outlineLevel="0" collapsed="false">
      <c r="A372" s="3" t="s">
        <v>4</v>
      </c>
      <c r="B372" s="3" t="s">
        <v>192</v>
      </c>
      <c r="C372" s="3" t="s">
        <v>193</v>
      </c>
      <c r="D372" s="3" t="s">
        <v>542</v>
      </c>
      <c r="E372" s="3" t="n">
        <v>242.5</v>
      </c>
      <c r="F372" s="3" t="n">
        <v>3</v>
      </c>
      <c r="G372" s="3" t="n">
        <v>770</v>
      </c>
      <c r="H372" s="4" t="n">
        <f aca="false">G372/E372</f>
        <v>3.17525773195876</v>
      </c>
      <c r="I372" s="3" t="n">
        <v>1.7</v>
      </c>
      <c r="J372" s="4" t="n">
        <f aca="false">(F372-Assumptions!$B$17)/(Assumptions!$C$17-Assumptions!$B$17)</f>
        <v>0.181818181818182</v>
      </c>
      <c r="K372" s="4" t="n">
        <f aca="false">(H372-Assumptions!$B$18)/(Assumptions!$C$18-Assumptions!$B$18)</f>
        <v>0.00386428538847163</v>
      </c>
      <c r="L372" s="4" t="n">
        <f aca="false">(I372-Assumptions!$B$19)/(Assumptions!$C$19-Assumptions!$B$19)</f>
        <v>0.268292682926829</v>
      </c>
      <c r="M372" s="4" t="n">
        <f aca="false">0.4*J372+0.4*K372+0.2*L372</f>
        <v>0.127931523468027</v>
      </c>
    </row>
    <row r="373" customFormat="false" ht="15" hidden="false" customHeight="false" outlineLevel="0" collapsed="false">
      <c r="A373" s="3" t="s">
        <v>4</v>
      </c>
      <c r="B373" s="3" t="s">
        <v>195</v>
      </c>
      <c r="C373" s="3" t="s">
        <v>196</v>
      </c>
      <c r="D373" s="3" t="s">
        <v>543</v>
      </c>
      <c r="E373" s="3" t="n">
        <v>6.5</v>
      </c>
      <c r="F373" s="3" t="n">
        <v>5</v>
      </c>
      <c r="G373" s="3" t="n">
        <v>350</v>
      </c>
      <c r="H373" s="4" t="n">
        <f aca="false">G373/E373</f>
        <v>53.8461538461539</v>
      </c>
      <c r="I373" s="3" t="n">
        <v>2.5</v>
      </c>
      <c r="J373" s="4" t="n">
        <f aca="false">(F373-Assumptions!$B$17)/(Assumptions!$C$17-Assumptions!$B$17)</f>
        <v>0.363636363636364</v>
      </c>
      <c r="K373" s="4" t="n">
        <f aca="false">(H373-Assumptions!$B$18)/(Assumptions!$C$18-Assumptions!$B$18)</f>
        <v>0.0667361510065195</v>
      </c>
      <c r="L373" s="4" t="n">
        <f aca="false">(I373-Assumptions!$B$19)/(Assumptions!$C$19-Assumptions!$B$19)</f>
        <v>0.463414634146341</v>
      </c>
      <c r="M373" s="4" t="n">
        <f aca="false">0.4*J373+0.4*K373+0.2*L373</f>
        <v>0.264831932686422</v>
      </c>
    </row>
    <row r="374" customFormat="false" ht="15" hidden="false" customHeight="false" outlineLevel="0" collapsed="false">
      <c r="A374" s="3" t="s">
        <v>4</v>
      </c>
      <c r="B374" s="3" t="s">
        <v>544</v>
      </c>
      <c r="C374" s="3" t="s">
        <v>545</v>
      </c>
      <c r="D374" s="3" t="s">
        <v>546</v>
      </c>
      <c r="E374" s="3" t="n">
        <v>67</v>
      </c>
      <c r="F374" s="3" t="n">
        <v>7</v>
      </c>
      <c r="G374" s="3" t="n">
        <v>386</v>
      </c>
      <c r="H374" s="4" t="n">
        <f aca="false">G374/E374</f>
        <v>5.76119402985075</v>
      </c>
      <c r="I374" s="3" t="n">
        <v>2.5</v>
      </c>
      <c r="J374" s="4" t="n">
        <f aca="false">(F374-Assumptions!$B$17)/(Assumptions!$C$17-Assumptions!$B$17)</f>
        <v>0.545454545454545</v>
      </c>
      <c r="K374" s="4" t="n">
        <f aca="false">(H374-Assumptions!$B$18)/(Assumptions!$C$18-Assumptions!$B$18)</f>
        <v>0.0070728854308212</v>
      </c>
      <c r="L374" s="4" t="n">
        <f aca="false">(I374-Assumptions!$B$19)/(Assumptions!$C$19-Assumptions!$B$19)</f>
        <v>0.463414634146341</v>
      </c>
      <c r="M374" s="4" t="n">
        <f aca="false">0.4*J374+0.4*K374+0.2*L374</f>
        <v>0.313693899183415</v>
      </c>
    </row>
    <row r="375" customFormat="false" ht="15" hidden="false" customHeight="false" outlineLevel="0" collapsed="false">
      <c r="A375" s="3" t="s">
        <v>4</v>
      </c>
      <c r="B375" s="3" t="s">
        <v>198</v>
      </c>
      <c r="C375" s="3" t="s">
        <v>199</v>
      </c>
      <c r="D375" s="3" t="s">
        <v>547</v>
      </c>
      <c r="E375" s="3" t="n">
        <v>2776</v>
      </c>
      <c r="F375" s="3" t="n">
        <v>3</v>
      </c>
      <c r="G375" s="3" t="n">
        <v>610</v>
      </c>
      <c r="H375" s="4" t="n">
        <f aca="false">G375/E375</f>
        <v>0.219740634005764</v>
      </c>
      <c r="I375" s="3" t="n">
        <v>2.6</v>
      </c>
      <c r="J375" s="4" t="n">
        <f aca="false">(F375-Assumptions!$B$17)/(Assumptions!$C$17-Assumptions!$B$17)</f>
        <v>0.181818181818182</v>
      </c>
      <c r="K375" s="4" t="n">
        <f aca="false">(H375-Assumptions!$B$18)/(Assumptions!$C$18-Assumptions!$B$18)</f>
        <v>0.00019711373641379</v>
      </c>
      <c r="L375" s="4" t="n">
        <f aca="false">(I375-Assumptions!$B$19)/(Assumptions!$C$19-Assumptions!$B$19)</f>
        <v>0.48780487804878</v>
      </c>
      <c r="M375" s="4" t="n">
        <f aca="false">0.4*J375+0.4*K375+0.2*L375</f>
        <v>0.170367093831594</v>
      </c>
    </row>
    <row r="376" customFormat="false" ht="15" hidden="false" customHeight="false" outlineLevel="0" collapsed="false">
      <c r="A376" s="3" t="s">
        <v>4</v>
      </c>
      <c r="B376" s="3" t="s">
        <v>201</v>
      </c>
      <c r="C376" s="3" t="s">
        <v>202</v>
      </c>
      <c r="D376" s="3" t="s">
        <v>548</v>
      </c>
      <c r="E376" s="3" t="n">
        <v>12</v>
      </c>
      <c r="F376" s="3" t="n">
        <v>4</v>
      </c>
      <c r="G376" s="3" t="n">
        <v>806</v>
      </c>
      <c r="H376" s="4" t="n">
        <f aca="false">G376/E376</f>
        <v>67.1666666666667</v>
      </c>
      <c r="I376" s="3" t="n">
        <v>1.7</v>
      </c>
      <c r="J376" s="4" t="n">
        <f aca="false">(F376-Assumptions!$B$17)/(Assumptions!$C$17-Assumptions!$B$17)</f>
        <v>0.272727272727273</v>
      </c>
      <c r="K376" s="4" t="n">
        <f aca="false">(H376-Assumptions!$B$18)/(Assumptions!$C$18-Assumptions!$B$18)</f>
        <v>0.0832640902426317</v>
      </c>
      <c r="L376" s="4" t="n">
        <f aca="false">(I376-Assumptions!$B$19)/(Assumptions!$C$19-Assumptions!$B$19)</f>
        <v>0.268292682926829</v>
      </c>
      <c r="M376" s="4" t="n">
        <f aca="false">0.4*J376+0.4*K376+0.2*L376</f>
        <v>0.196055081773328</v>
      </c>
    </row>
    <row r="377" customFormat="false" ht="15" hidden="false" customHeight="false" outlineLevel="0" collapsed="false">
      <c r="A377" s="3" t="s">
        <v>4</v>
      </c>
      <c r="B377" s="3" t="s">
        <v>204</v>
      </c>
      <c r="C377" s="3" t="s">
        <v>205</v>
      </c>
      <c r="D377" s="3" t="s">
        <v>549</v>
      </c>
      <c r="E377" s="3" t="n">
        <v>157.5</v>
      </c>
      <c r="F377" s="3" t="n">
        <v>5</v>
      </c>
      <c r="G377" s="3" t="n">
        <v>350</v>
      </c>
      <c r="H377" s="4" t="n">
        <f aca="false">G377/E377</f>
        <v>2.22222222222222</v>
      </c>
      <c r="I377" s="3" t="n">
        <v>2.5</v>
      </c>
      <c r="J377" s="4" t="n">
        <f aca="false">(F377-Assumptions!$B$17)/(Assumptions!$C$17-Assumptions!$B$17)</f>
        <v>0.363636363636364</v>
      </c>
      <c r="K377" s="4" t="n">
        <f aca="false">(H377-Assumptions!$B$18)/(Assumptions!$C$18-Assumptions!$B$18)</f>
        <v>0.0026817698797199</v>
      </c>
      <c r="L377" s="4" t="n">
        <f aca="false">(I377-Assumptions!$B$19)/(Assumptions!$C$19-Assumptions!$B$19)</f>
        <v>0.463414634146341</v>
      </c>
      <c r="M377" s="4" t="n">
        <f aca="false">0.4*J377+0.4*K377+0.2*L377</f>
        <v>0.239210180235702</v>
      </c>
    </row>
    <row r="378" customFormat="false" ht="15" hidden="false" customHeight="false" outlineLevel="0" collapsed="false">
      <c r="A378" s="3" t="s">
        <v>4</v>
      </c>
      <c r="B378" s="3" t="s">
        <v>207</v>
      </c>
      <c r="C378" s="3" t="s">
        <v>205</v>
      </c>
      <c r="D378" s="3" t="s">
        <v>549</v>
      </c>
      <c r="E378" s="3" t="n">
        <v>7.5</v>
      </c>
      <c r="F378" s="3" t="n">
        <v>5</v>
      </c>
      <c r="G378" s="3" t="n">
        <v>350</v>
      </c>
      <c r="H378" s="4" t="n">
        <f aca="false">G378/E378</f>
        <v>46.6666666666667</v>
      </c>
      <c r="I378" s="3" t="n">
        <v>2.5</v>
      </c>
      <c r="J378" s="4" t="n">
        <f aca="false">(F378-Assumptions!$B$17)/(Assumptions!$C$17-Assumptions!$B$17)</f>
        <v>0.363636363636364</v>
      </c>
      <c r="K378" s="4" t="n">
        <f aca="false">(H378-Assumptions!$B$18)/(Assumptions!$C$18-Assumptions!$B$18)</f>
        <v>0.0578279258166997</v>
      </c>
      <c r="L378" s="4" t="n">
        <f aca="false">(I378-Assumptions!$B$19)/(Assumptions!$C$19-Assumptions!$B$19)</f>
        <v>0.463414634146341</v>
      </c>
      <c r="M378" s="4" t="n">
        <f aca="false">0.4*J378+0.4*K378+0.2*L378</f>
        <v>0.261268642610494</v>
      </c>
    </row>
    <row r="379" customFormat="false" ht="15" hidden="false" customHeight="false" outlineLevel="0" collapsed="false">
      <c r="A379" s="3" t="s">
        <v>4</v>
      </c>
      <c r="B379" s="3" t="s">
        <v>208</v>
      </c>
      <c r="C379" s="3" t="s">
        <v>209</v>
      </c>
      <c r="D379" s="3" t="s">
        <v>550</v>
      </c>
      <c r="E379" s="3" t="n">
        <v>459</v>
      </c>
      <c r="F379" s="3" t="n">
        <v>5</v>
      </c>
      <c r="G379" s="3" t="n">
        <v>386</v>
      </c>
      <c r="H379" s="4" t="n">
        <f aca="false">G379/E379</f>
        <v>0.840958605664488</v>
      </c>
      <c r="I379" s="3" t="n">
        <v>2.5</v>
      </c>
      <c r="J379" s="4" t="n">
        <f aca="false">(F379-Assumptions!$B$17)/(Assumptions!$C$17-Assumptions!$B$17)</f>
        <v>0.363636363636364</v>
      </c>
      <c r="K379" s="4" t="n">
        <f aca="false">(H379-Assumptions!$B$18)/(Assumptions!$C$18-Assumptions!$B$18)</f>
        <v>0.000967913856972583</v>
      </c>
      <c r="L379" s="4" t="n">
        <f aca="false">(I379-Assumptions!$B$19)/(Assumptions!$C$19-Assumptions!$B$19)</f>
        <v>0.463414634146341</v>
      </c>
      <c r="M379" s="4" t="n">
        <f aca="false">0.4*J379+0.4*K379+0.2*L379</f>
        <v>0.238524637826603</v>
      </c>
    </row>
    <row r="380" customFormat="false" ht="15" hidden="false" customHeight="false" outlineLevel="0" collapsed="false">
      <c r="A380" s="3" t="s">
        <v>4</v>
      </c>
      <c r="B380" s="3" t="s">
        <v>211</v>
      </c>
      <c r="C380" s="3" t="s">
        <v>212</v>
      </c>
      <c r="D380" s="3" t="s">
        <v>551</v>
      </c>
      <c r="E380" s="3" t="n">
        <v>90.5</v>
      </c>
      <c r="F380" s="3" t="n">
        <v>10</v>
      </c>
      <c r="G380" s="3" t="n">
        <v>270</v>
      </c>
      <c r="H380" s="4" t="n">
        <f aca="false">G380/E380</f>
        <v>2.98342541436464</v>
      </c>
      <c r="I380" s="3" t="n">
        <v>3.9</v>
      </c>
      <c r="J380" s="4" t="n">
        <f aca="false">(F380-Assumptions!$B$17)/(Assumptions!$C$17-Assumptions!$B$17)</f>
        <v>0.818181818181818</v>
      </c>
      <c r="K380" s="4" t="n">
        <f aca="false">(H380-Assumptions!$B$18)/(Assumptions!$C$18-Assumptions!$B$18)</f>
        <v>0.00362626205322618</v>
      </c>
      <c r="L380" s="4" t="n">
        <f aca="false">(I380-Assumptions!$B$19)/(Assumptions!$C$19-Assumptions!$B$19)</f>
        <v>0.804878048780488</v>
      </c>
      <c r="M380" s="4" t="n">
        <f aca="false">0.4*J380+0.4*K380+0.2*L380</f>
        <v>0.489698841850115</v>
      </c>
    </row>
    <row r="381" customFormat="false" ht="15" hidden="false" customHeight="false" outlineLevel="0" collapsed="false">
      <c r="A381" s="3" t="s">
        <v>4</v>
      </c>
      <c r="B381" s="3" t="s">
        <v>214</v>
      </c>
      <c r="C381" s="3" t="s">
        <v>212</v>
      </c>
      <c r="D381" s="3" t="s">
        <v>551</v>
      </c>
      <c r="E381" s="3" t="n">
        <v>165</v>
      </c>
      <c r="F381" s="3" t="n">
        <v>10</v>
      </c>
      <c r="G381" s="3" t="n">
        <v>270</v>
      </c>
      <c r="H381" s="4" t="n">
        <f aca="false">G381/E381</f>
        <v>1.63636363636364</v>
      </c>
      <c r="I381" s="3" t="n">
        <v>3.9</v>
      </c>
      <c r="J381" s="4" t="n">
        <f aca="false">(F381-Assumptions!$B$17)/(Assumptions!$C$17-Assumptions!$B$17)</f>
        <v>0.818181818181818</v>
      </c>
      <c r="K381" s="4" t="n">
        <f aca="false">(H381-Assumptions!$B$18)/(Assumptions!$C$18-Assumptions!$B$18)</f>
        <v>0.00195484327873244</v>
      </c>
      <c r="L381" s="4" t="n">
        <f aca="false">(I381-Assumptions!$B$19)/(Assumptions!$C$19-Assumptions!$B$19)</f>
        <v>0.804878048780488</v>
      </c>
      <c r="M381" s="4" t="n">
        <f aca="false">0.4*J381+0.4*K381+0.2*L381</f>
        <v>0.489030274340318</v>
      </c>
    </row>
    <row r="382" customFormat="false" ht="15" hidden="false" customHeight="false" outlineLevel="0" collapsed="false">
      <c r="A382" s="3" t="s">
        <v>4</v>
      </c>
      <c r="B382" s="3" t="s">
        <v>215</v>
      </c>
      <c r="C382" s="3" t="s">
        <v>216</v>
      </c>
      <c r="D382" s="3" t="s">
        <v>552</v>
      </c>
      <c r="E382" s="3" t="n">
        <v>438</v>
      </c>
      <c r="F382" s="3" t="n">
        <v>3</v>
      </c>
      <c r="G382" s="3" t="n">
        <v>610</v>
      </c>
      <c r="H382" s="4" t="n">
        <f aca="false">G382/E382</f>
        <v>1.39269406392694</v>
      </c>
      <c r="I382" s="3" t="n">
        <v>2.6</v>
      </c>
      <c r="J382" s="4" t="n">
        <f aca="false">(F382-Assumptions!$B$17)/(Assumptions!$C$17-Assumptions!$B$17)</f>
        <v>0.181818181818182</v>
      </c>
      <c r="K382" s="4" t="n">
        <f aca="false">(H382-Assumptions!$B$18)/(Assumptions!$C$18-Assumptions!$B$18)</f>
        <v>0.00165250087336188</v>
      </c>
      <c r="L382" s="4" t="n">
        <f aca="false">(I382-Assumptions!$B$19)/(Assumptions!$C$19-Assumptions!$B$19)</f>
        <v>0.48780487804878</v>
      </c>
      <c r="M382" s="4" t="n">
        <f aca="false">0.4*J382+0.4*K382+0.2*L382</f>
        <v>0.170949248686374</v>
      </c>
    </row>
    <row r="383" customFormat="false" ht="15" hidden="false" customHeight="false" outlineLevel="0" collapsed="false">
      <c r="A383" s="3" t="s">
        <v>4</v>
      </c>
      <c r="B383" s="3" t="s">
        <v>221</v>
      </c>
      <c r="C383" s="3" t="s">
        <v>222</v>
      </c>
      <c r="D383" s="3" t="s">
        <v>553</v>
      </c>
      <c r="E383" s="3" t="n">
        <v>2635</v>
      </c>
      <c r="F383" s="3" t="n">
        <v>5</v>
      </c>
      <c r="G383" s="3" t="n">
        <v>386</v>
      </c>
      <c r="H383" s="4" t="n">
        <f aca="false">G383/E383</f>
        <v>0.146489563567362</v>
      </c>
      <c r="I383" s="3" t="n">
        <v>2.5</v>
      </c>
      <c r="J383" s="4" t="n">
        <f aca="false">(F383-Assumptions!$B$17)/(Assumptions!$C$17-Assumptions!$B$17)</f>
        <v>0.363636363636364</v>
      </c>
      <c r="K383" s="4" t="n">
        <f aca="false">(H383-Assumptions!$B$18)/(Assumptions!$C$18-Assumptions!$B$18)</f>
        <v>0.000106224649972488</v>
      </c>
      <c r="L383" s="4" t="n">
        <f aca="false">(I383-Assumptions!$B$19)/(Assumptions!$C$19-Assumptions!$B$19)</f>
        <v>0.463414634146341</v>
      </c>
      <c r="M383" s="4" t="n">
        <f aca="false">0.4*J383+0.4*K383+0.2*L383</f>
        <v>0.238179962143803</v>
      </c>
    </row>
    <row r="384" customFormat="false" ht="15" hidden="false" customHeight="false" outlineLevel="0" collapsed="false">
      <c r="A384" s="3" t="s">
        <v>4</v>
      </c>
      <c r="B384" s="3" t="s">
        <v>224</v>
      </c>
      <c r="C384" s="3" t="s">
        <v>222</v>
      </c>
      <c r="D384" s="3" t="s">
        <v>553</v>
      </c>
      <c r="E384" s="3" t="n">
        <v>1617</v>
      </c>
      <c r="F384" s="3" t="n">
        <v>5</v>
      </c>
      <c r="G384" s="3" t="n">
        <v>386</v>
      </c>
      <c r="H384" s="4" t="n">
        <f aca="false">G384/E384</f>
        <v>0.238713667285096</v>
      </c>
      <c r="I384" s="3" t="n">
        <v>2.5</v>
      </c>
      <c r="J384" s="4" t="n">
        <f aca="false">(F384-Assumptions!$B$17)/(Assumptions!$C$17-Assumptions!$B$17)</f>
        <v>0.363636363636364</v>
      </c>
      <c r="K384" s="4" t="n">
        <f aca="false">(H384-Assumptions!$B$18)/(Assumptions!$C$18-Assumptions!$B$18)</f>
        <v>0.000220655258079731</v>
      </c>
      <c r="L384" s="4" t="n">
        <f aca="false">(I384-Assumptions!$B$19)/(Assumptions!$C$19-Assumptions!$B$19)</f>
        <v>0.463414634146341</v>
      </c>
      <c r="M384" s="4" t="n">
        <f aca="false">0.4*J384+0.4*K384+0.2*L384</f>
        <v>0.238225734387046</v>
      </c>
    </row>
    <row r="385" customFormat="false" ht="15" hidden="false" customHeight="false" outlineLevel="0" collapsed="false">
      <c r="A385" s="3" t="s">
        <v>4</v>
      </c>
      <c r="B385" s="3" t="s">
        <v>225</v>
      </c>
      <c r="C385" s="3" t="s">
        <v>226</v>
      </c>
      <c r="D385" s="3" t="s">
        <v>554</v>
      </c>
      <c r="E385" s="3" t="n">
        <v>5</v>
      </c>
      <c r="F385" s="3" t="n">
        <v>10</v>
      </c>
      <c r="G385" s="3" t="n">
        <v>270</v>
      </c>
      <c r="H385" s="4" t="n">
        <f aca="false">G385/E385</f>
        <v>54</v>
      </c>
      <c r="I385" s="3" t="n">
        <v>3.9</v>
      </c>
      <c r="J385" s="4" t="n">
        <f aca="false">(F385-Assumptions!$B$17)/(Assumptions!$C$17-Assumptions!$B$17)</f>
        <v>0.818181818181818</v>
      </c>
      <c r="K385" s="4" t="n">
        <f aca="false">(H385-Assumptions!$B$18)/(Assumptions!$C$18-Assumptions!$B$18)</f>
        <v>0.0669270415463014</v>
      </c>
      <c r="L385" s="4" t="n">
        <f aca="false">(I385-Assumptions!$B$19)/(Assumptions!$C$19-Assumptions!$B$19)</f>
        <v>0.804878048780488</v>
      </c>
      <c r="M385" s="4" t="n">
        <f aca="false">0.4*J385+0.4*K385+0.2*L385</f>
        <v>0.515019153647345</v>
      </c>
    </row>
    <row r="386" customFormat="false" ht="15" hidden="false" customHeight="false" outlineLevel="0" collapsed="false">
      <c r="A386" s="3" t="s">
        <v>4</v>
      </c>
      <c r="B386" s="3" t="s">
        <v>228</v>
      </c>
      <c r="C386" s="3" t="s">
        <v>229</v>
      </c>
      <c r="D386" s="3" t="s">
        <v>555</v>
      </c>
      <c r="E386" s="3" t="n">
        <v>8.5</v>
      </c>
      <c r="F386" s="3" t="n">
        <v>5</v>
      </c>
      <c r="G386" s="3" t="n">
        <v>350</v>
      </c>
      <c r="H386" s="4" t="n">
        <f aca="false">G386/E386</f>
        <v>41.1764705882353</v>
      </c>
      <c r="I386" s="3" t="n">
        <v>2.5</v>
      </c>
      <c r="J386" s="4" t="n">
        <f aca="false">(F386-Assumptions!$B$17)/(Assumptions!$C$17-Assumptions!$B$17)</f>
        <v>0.363636363636364</v>
      </c>
      <c r="K386" s="4" t="n">
        <f aca="false">(H386-Assumptions!$B$18)/(Assumptions!$C$18-Assumptions!$B$18)</f>
        <v>0.0510157536127199</v>
      </c>
      <c r="L386" s="4" t="n">
        <f aca="false">(I386-Assumptions!$B$19)/(Assumptions!$C$19-Assumptions!$B$19)</f>
        <v>0.463414634146341</v>
      </c>
      <c r="M386" s="4" t="n">
        <f aca="false">0.4*J386+0.4*K386+0.2*L386</f>
        <v>0.258543773728902</v>
      </c>
    </row>
    <row r="387" customFormat="false" ht="15" hidden="false" customHeight="false" outlineLevel="0" collapsed="false">
      <c r="A387" s="3" t="s">
        <v>4</v>
      </c>
      <c r="B387" s="3" t="s">
        <v>231</v>
      </c>
      <c r="C387" s="3" t="s">
        <v>229</v>
      </c>
      <c r="D387" s="3" t="s">
        <v>555</v>
      </c>
      <c r="E387" s="3" t="n">
        <v>374</v>
      </c>
      <c r="F387" s="3" t="n">
        <v>5</v>
      </c>
      <c r="G387" s="3" t="n">
        <v>350</v>
      </c>
      <c r="H387" s="4" t="n">
        <f aca="false">G387/E387</f>
        <v>0.935828877005348</v>
      </c>
      <c r="I387" s="3" t="n">
        <v>2.5</v>
      </c>
      <c r="J387" s="4" t="n">
        <f aca="false">(F387-Assumptions!$B$17)/(Assumptions!$C$17-Assumptions!$B$17)</f>
        <v>0.363636363636364</v>
      </c>
      <c r="K387" s="4" t="n">
        <f aca="false">(H387-Assumptions!$B$18)/(Assumptions!$C$18-Assumptions!$B$18)</f>
        <v>0.00108562779945838</v>
      </c>
      <c r="L387" s="4" t="n">
        <f aca="false">(I387-Assumptions!$B$19)/(Assumptions!$C$19-Assumptions!$B$19)</f>
        <v>0.463414634146341</v>
      </c>
      <c r="M387" s="4" t="n">
        <f aca="false">0.4*J387+0.4*K387+0.2*L387</f>
        <v>0.238571723403597</v>
      </c>
    </row>
    <row r="388" customFormat="false" ht="15" hidden="false" customHeight="false" outlineLevel="0" collapsed="false">
      <c r="A388" s="3" t="s">
        <v>4</v>
      </c>
      <c r="B388" s="3" t="s">
        <v>232</v>
      </c>
      <c r="C388" s="3" t="s">
        <v>233</v>
      </c>
      <c r="D388" s="3" t="s">
        <v>556</v>
      </c>
      <c r="E388" s="3" t="n">
        <v>2</v>
      </c>
      <c r="F388" s="3" t="n">
        <v>3</v>
      </c>
      <c r="G388" s="3" t="n">
        <v>806</v>
      </c>
      <c r="H388" s="4" t="n">
        <f aca="false">G388/E388</f>
        <v>403</v>
      </c>
      <c r="I388" s="3" t="n">
        <v>1.7</v>
      </c>
      <c r="J388" s="4" t="n">
        <f aca="false">(F388-Assumptions!$B$17)/(Assumptions!$C$17-Assumptions!$B$17)</f>
        <v>0.181818181818182</v>
      </c>
      <c r="K388" s="4" t="n">
        <f aca="false">(H388-Assumptions!$B$18)/(Assumptions!$C$18-Assumptions!$B$18)</f>
        <v>0.499962231041435</v>
      </c>
      <c r="L388" s="4" t="n">
        <f aca="false">(I388-Assumptions!$B$19)/(Assumptions!$C$19-Assumptions!$B$19)</f>
        <v>0.268292682926829</v>
      </c>
      <c r="M388" s="4" t="n">
        <f aca="false">0.4*J388+0.4*K388+0.2*L388</f>
        <v>0.326370701729213</v>
      </c>
    </row>
    <row r="389" customFormat="false" ht="15" hidden="false" customHeight="false" outlineLevel="0" collapsed="false">
      <c r="A389" s="3" t="s">
        <v>4</v>
      </c>
      <c r="B389" s="3" t="s">
        <v>235</v>
      </c>
      <c r="C389" s="3" t="s">
        <v>233</v>
      </c>
      <c r="D389" s="3" t="s">
        <v>556</v>
      </c>
      <c r="E389" s="3" t="n">
        <v>8.5</v>
      </c>
      <c r="F389" s="3" t="n">
        <v>3</v>
      </c>
      <c r="G389" s="3" t="n">
        <v>806</v>
      </c>
      <c r="H389" s="4" t="n">
        <f aca="false">G389/E389</f>
        <v>94.8235294117647</v>
      </c>
      <c r="I389" s="3" t="n">
        <v>1.7</v>
      </c>
      <c r="J389" s="4" t="n">
        <f aca="false">(F389-Assumptions!$B$17)/(Assumptions!$C$17-Assumptions!$B$17)</f>
        <v>0.181818181818182</v>
      </c>
      <c r="K389" s="4" t="n">
        <f aca="false">(H389-Assumptions!$B$18)/(Assumptions!$C$18-Assumptions!$B$18)</f>
        <v>0.11758040772018</v>
      </c>
      <c r="L389" s="4" t="n">
        <f aca="false">(I389-Assumptions!$B$19)/(Assumptions!$C$19-Assumptions!$B$19)</f>
        <v>0.268292682926829</v>
      </c>
      <c r="M389" s="4" t="n">
        <f aca="false">0.4*J389+0.4*K389+0.2*L389</f>
        <v>0.173417972400711</v>
      </c>
    </row>
    <row r="390" customFormat="false" ht="15" hidden="false" customHeight="false" outlineLevel="0" collapsed="false">
      <c r="A390" s="3" t="s">
        <v>4</v>
      </c>
      <c r="B390" s="3" t="s">
        <v>236</v>
      </c>
      <c r="C390" s="3" t="s">
        <v>237</v>
      </c>
      <c r="D390" s="3" t="s">
        <v>557</v>
      </c>
      <c r="E390" s="3" t="n">
        <v>401.5</v>
      </c>
      <c r="F390" s="3" t="n">
        <v>10</v>
      </c>
      <c r="G390" s="3" t="n">
        <v>270</v>
      </c>
      <c r="H390" s="4" t="n">
        <f aca="false">G390/E390</f>
        <v>0.672478206724782</v>
      </c>
      <c r="I390" s="3" t="n">
        <v>3.9</v>
      </c>
      <c r="J390" s="4" t="n">
        <f aca="false">(F390-Assumptions!$B$17)/(Assumptions!$C$17-Assumptions!$B$17)</f>
        <v>0.818181818181818</v>
      </c>
      <c r="K390" s="4" t="n">
        <f aca="false">(H390-Assumptions!$B$18)/(Assumptions!$C$18-Assumptions!$B$18)</f>
        <v>0.000758865314046877</v>
      </c>
      <c r="L390" s="4" t="n">
        <f aca="false">(I390-Assumptions!$B$19)/(Assumptions!$C$19-Assumptions!$B$19)</f>
        <v>0.804878048780488</v>
      </c>
      <c r="M390" s="4" t="n">
        <f aca="false">0.4*J390+0.4*K390+0.2*L390</f>
        <v>0.488551883154444</v>
      </c>
    </row>
    <row r="391" customFormat="false" ht="15" hidden="false" customHeight="false" outlineLevel="0" collapsed="false">
      <c r="A391" s="3" t="s">
        <v>4</v>
      </c>
      <c r="B391" s="3" t="s">
        <v>239</v>
      </c>
      <c r="C391" s="3" t="s">
        <v>240</v>
      </c>
      <c r="D391" s="3" t="s">
        <v>558</v>
      </c>
      <c r="E391" s="3" t="n">
        <v>42.5</v>
      </c>
      <c r="F391" s="3" t="n">
        <v>5</v>
      </c>
      <c r="G391" s="3" t="n">
        <v>646</v>
      </c>
      <c r="H391" s="4" t="n">
        <f aca="false">G391/E391</f>
        <v>15.2</v>
      </c>
      <c r="I391" s="3" t="n">
        <v>2.6</v>
      </c>
      <c r="J391" s="4" t="n">
        <f aca="false">(F391-Assumptions!$B$17)/(Assumptions!$C$17-Assumptions!$B$17)</f>
        <v>0.363636363636364</v>
      </c>
      <c r="K391" s="4" t="n">
        <f aca="false">(H391-Assumptions!$B$18)/(Assumptions!$C$18-Assumptions!$B$18)</f>
        <v>0.018784447413318</v>
      </c>
      <c r="L391" s="4" t="n">
        <f aca="false">(I391-Assumptions!$B$19)/(Assumptions!$C$19-Assumptions!$B$19)</f>
        <v>0.48780487804878</v>
      </c>
      <c r="M391" s="4" t="n">
        <f aca="false">0.4*J391+0.4*K391+0.2*L391</f>
        <v>0.250529300029629</v>
      </c>
    </row>
    <row r="392" customFormat="false" ht="15" hidden="false" customHeight="false" outlineLevel="0" collapsed="false">
      <c r="A392" s="3" t="s">
        <v>4</v>
      </c>
      <c r="B392" s="3" t="s">
        <v>242</v>
      </c>
      <c r="C392" s="3" t="s">
        <v>243</v>
      </c>
      <c r="D392" s="3" t="s">
        <v>559</v>
      </c>
      <c r="E392" s="3" t="n">
        <v>21</v>
      </c>
      <c r="F392" s="3" t="n">
        <v>10</v>
      </c>
      <c r="G392" s="3" t="n">
        <v>342</v>
      </c>
      <c r="H392" s="4" t="n">
        <f aca="false">G392/E392</f>
        <v>16.2857142857143</v>
      </c>
      <c r="I392" s="3" t="n">
        <v>3.9</v>
      </c>
      <c r="J392" s="4" t="n">
        <f aca="false">(F392-Assumptions!$B$17)/(Assumptions!$C$17-Assumptions!$B$17)</f>
        <v>0.818181818181818</v>
      </c>
      <c r="K392" s="4" t="n">
        <f aca="false">(H392-Assumptions!$B$18)/(Assumptions!$C$18-Assumptions!$B$18)</f>
        <v>0.0201315892226357</v>
      </c>
      <c r="L392" s="4" t="n">
        <f aca="false">(I392-Assumptions!$B$19)/(Assumptions!$C$19-Assumptions!$B$19)</f>
        <v>0.804878048780488</v>
      </c>
      <c r="M392" s="4" t="n">
        <f aca="false">0.4*J392+0.4*K392+0.2*L392</f>
        <v>0.496300972717879</v>
      </c>
    </row>
    <row r="393" customFormat="false" ht="15" hidden="false" customHeight="false" outlineLevel="0" collapsed="false">
      <c r="A393" s="3" t="s">
        <v>4</v>
      </c>
      <c r="B393" s="3" t="s">
        <v>245</v>
      </c>
      <c r="C393" s="3" t="s">
        <v>243</v>
      </c>
      <c r="D393" s="3" t="s">
        <v>559</v>
      </c>
      <c r="E393" s="3" t="n">
        <v>27.5</v>
      </c>
      <c r="F393" s="3" t="n">
        <v>10</v>
      </c>
      <c r="G393" s="3" t="n">
        <v>342</v>
      </c>
      <c r="H393" s="4" t="n">
        <f aca="false">G393/E393</f>
        <v>12.4363636363636</v>
      </c>
      <c r="I393" s="3" t="n">
        <v>3.9</v>
      </c>
      <c r="J393" s="4" t="n">
        <f aca="false">(F393-Assumptions!$B$17)/(Assumptions!$C$17-Assumptions!$B$17)</f>
        <v>0.818181818181818</v>
      </c>
      <c r="K393" s="4" t="n">
        <f aca="false">(H393-Assumptions!$B$18)/(Assumptions!$C$18-Assumptions!$B$18)</f>
        <v>0.0153553591714185</v>
      </c>
      <c r="L393" s="4" t="n">
        <f aca="false">(I393-Assumptions!$B$19)/(Assumptions!$C$19-Assumptions!$B$19)</f>
        <v>0.804878048780488</v>
      </c>
      <c r="M393" s="4" t="n">
        <f aca="false">0.4*J393+0.4*K393+0.2*L393</f>
        <v>0.494390480697392</v>
      </c>
    </row>
    <row r="394" customFormat="false" ht="15" hidden="false" customHeight="false" outlineLevel="0" collapsed="false">
      <c r="A394" s="3" t="s">
        <v>4</v>
      </c>
      <c r="B394" s="3" t="s">
        <v>246</v>
      </c>
      <c r="C394" s="3" t="s">
        <v>243</v>
      </c>
      <c r="D394" s="3" t="s">
        <v>559</v>
      </c>
      <c r="E394" s="3" t="n">
        <v>20.5</v>
      </c>
      <c r="F394" s="3" t="n">
        <v>10</v>
      </c>
      <c r="G394" s="3" t="n">
        <v>342</v>
      </c>
      <c r="H394" s="4" t="n">
        <f aca="false">G394/E394</f>
        <v>16.6829268292683</v>
      </c>
      <c r="I394" s="3" t="n">
        <v>3.9</v>
      </c>
      <c r="J394" s="4" t="n">
        <f aca="false">(F394-Assumptions!$B$17)/(Assumptions!$C$17-Assumptions!$B$17)</f>
        <v>0.818181818181818</v>
      </c>
      <c r="K394" s="4" t="n">
        <f aca="false">(H394-Assumptions!$B$18)/(Assumptions!$C$18-Assumptions!$B$18)</f>
        <v>0.0206244459821421</v>
      </c>
      <c r="L394" s="4" t="n">
        <f aca="false">(I394-Assumptions!$B$19)/(Assumptions!$C$19-Assumptions!$B$19)</f>
        <v>0.804878048780488</v>
      </c>
      <c r="M394" s="4" t="n">
        <f aca="false">0.4*J394+0.4*K394+0.2*L394</f>
        <v>0.496498115421682</v>
      </c>
    </row>
    <row r="395" customFormat="false" ht="15" hidden="false" customHeight="false" outlineLevel="0" collapsed="false">
      <c r="A395" s="3" t="s">
        <v>4</v>
      </c>
      <c r="B395" s="3" t="s">
        <v>247</v>
      </c>
      <c r="C395" s="3" t="s">
        <v>248</v>
      </c>
      <c r="D395" s="3" t="s">
        <v>560</v>
      </c>
      <c r="E395" s="3" t="n">
        <v>230.5</v>
      </c>
      <c r="F395" s="3" t="n">
        <v>6</v>
      </c>
      <c r="G395" s="3" t="n">
        <v>350</v>
      </c>
      <c r="H395" s="4" t="n">
        <f aca="false">G395/E395</f>
        <v>1.51843817787419</v>
      </c>
      <c r="I395" s="3" t="n">
        <v>2.5</v>
      </c>
      <c r="J395" s="4" t="n">
        <f aca="false">(F395-Assumptions!$B$17)/(Assumptions!$C$17-Assumptions!$B$17)</f>
        <v>0.454545454545455</v>
      </c>
      <c r="K395" s="4" t="n">
        <f aca="false">(H395-Assumptions!$B$18)/(Assumptions!$C$18-Assumptions!$B$18)</f>
        <v>0.00180852272496946</v>
      </c>
      <c r="L395" s="4" t="n">
        <f aca="false">(I395-Assumptions!$B$19)/(Assumptions!$C$19-Assumptions!$B$19)</f>
        <v>0.463414634146341</v>
      </c>
      <c r="M395" s="4" t="n">
        <f aca="false">0.4*J395+0.4*K395+0.2*L395</f>
        <v>0.275224517737438</v>
      </c>
    </row>
    <row r="396" customFormat="false" ht="15" hidden="false" customHeight="false" outlineLevel="0" collapsed="false">
      <c r="A396" s="3" t="s">
        <v>4</v>
      </c>
      <c r="B396" s="3" t="s">
        <v>250</v>
      </c>
      <c r="C396" s="3" t="s">
        <v>251</v>
      </c>
      <c r="D396" s="3" t="s">
        <v>561</v>
      </c>
      <c r="E396" s="3" t="n">
        <v>2729</v>
      </c>
      <c r="F396" s="3" t="n">
        <v>3</v>
      </c>
      <c r="G396" s="3" t="n">
        <v>610</v>
      </c>
      <c r="H396" s="4" t="n">
        <f aca="false">G396/E396</f>
        <v>0.223525100769513</v>
      </c>
      <c r="I396" s="3" t="n">
        <v>2.6</v>
      </c>
      <c r="J396" s="4" t="n">
        <f aca="false">(F396-Assumptions!$B$17)/(Assumptions!$C$17-Assumptions!$B$17)</f>
        <v>0.181818181818182</v>
      </c>
      <c r="K396" s="4" t="n">
        <f aca="false">(H396-Assumptions!$B$18)/(Assumptions!$C$18-Assumptions!$B$18)</f>
        <v>0.000201809459285361</v>
      </c>
      <c r="L396" s="4" t="n">
        <f aca="false">(I396-Assumptions!$B$19)/(Assumptions!$C$19-Assumptions!$B$19)</f>
        <v>0.48780487804878</v>
      </c>
      <c r="M396" s="4" t="n">
        <f aca="false">0.4*J396+0.4*K396+0.2*L396</f>
        <v>0.170368972120743</v>
      </c>
    </row>
    <row r="397" customFormat="false" ht="15" hidden="false" customHeight="false" outlineLevel="0" collapsed="false">
      <c r="A397" s="3" t="s">
        <v>4</v>
      </c>
      <c r="B397" s="3" t="s">
        <v>263</v>
      </c>
      <c r="C397" s="3" t="s">
        <v>264</v>
      </c>
      <c r="D397" s="3" t="s">
        <v>533</v>
      </c>
      <c r="E397" s="3" t="n">
        <v>7.5</v>
      </c>
      <c r="F397" s="3" t="n">
        <v>5</v>
      </c>
      <c r="G397" s="3" t="n">
        <v>350</v>
      </c>
      <c r="H397" s="4" t="n">
        <f aca="false">G397/E397</f>
        <v>46.6666666666667</v>
      </c>
      <c r="I397" s="3" t="n">
        <v>2.5</v>
      </c>
      <c r="J397" s="4" t="n">
        <f aca="false">(F397-Assumptions!$B$17)/(Assumptions!$C$17-Assumptions!$B$17)</f>
        <v>0.363636363636364</v>
      </c>
      <c r="K397" s="4" t="n">
        <f aca="false">(H397-Assumptions!$B$18)/(Assumptions!$C$18-Assumptions!$B$18)</f>
        <v>0.0578279258166997</v>
      </c>
      <c r="L397" s="4" t="n">
        <f aca="false">(I397-Assumptions!$B$19)/(Assumptions!$C$19-Assumptions!$B$19)</f>
        <v>0.463414634146341</v>
      </c>
      <c r="M397" s="4" t="n">
        <f aca="false">0.4*J397+0.4*K397+0.2*L397</f>
        <v>0.261268642610494</v>
      </c>
    </row>
    <row r="398" customFormat="false" ht="15" hidden="false" customHeight="false" outlineLevel="0" collapsed="false">
      <c r="A398" s="3" t="s">
        <v>4</v>
      </c>
      <c r="B398" s="3" t="s">
        <v>265</v>
      </c>
      <c r="C398" s="3" t="s">
        <v>266</v>
      </c>
      <c r="D398" s="3" t="s">
        <v>562</v>
      </c>
      <c r="E398" s="3" t="n">
        <v>5.5</v>
      </c>
      <c r="F398" s="3" t="n">
        <v>11</v>
      </c>
      <c r="G398" s="3" t="n">
        <v>306</v>
      </c>
      <c r="H398" s="4" t="n">
        <f aca="false">G398/E398</f>
        <v>55.6363636363636</v>
      </c>
      <c r="I398" s="3" t="n">
        <v>3.9</v>
      </c>
      <c r="J398" s="4" t="n">
        <f aca="false">(F398-Assumptions!$B$17)/(Assumptions!$C$17-Assumptions!$B$17)</f>
        <v>0.909090909090909</v>
      </c>
      <c r="K398" s="4" t="n">
        <f aca="false">(H398-Assumptions!$B$18)/(Assumptions!$C$18-Assumptions!$B$18)</f>
        <v>0.0689574227421629</v>
      </c>
      <c r="L398" s="4" t="n">
        <f aca="false">(I398-Assumptions!$B$19)/(Assumptions!$C$19-Assumptions!$B$19)</f>
        <v>0.804878048780488</v>
      </c>
      <c r="M398" s="4" t="n">
        <f aca="false">0.4*J398+0.4*K398+0.2*L398</f>
        <v>0.552194942489326</v>
      </c>
    </row>
    <row r="399" customFormat="false" ht="15" hidden="false" customHeight="false" outlineLevel="0" collapsed="false">
      <c r="A399" s="3" t="s">
        <v>4</v>
      </c>
      <c r="B399" s="3" t="s">
        <v>268</v>
      </c>
      <c r="C399" s="3" t="s">
        <v>266</v>
      </c>
      <c r="D399" s="3" t="s">
        <v>562</v>
      </c>
      <c r="E399" s="3" t="n">
        <v>28</v>
      </c>
      <c r="F399" s="3" t="n">
        <v>11</v>
      </c>
      <c r="G399" s="3" t="n">
        <v>306</v>
      </c>
      <c r="H399" s="4" t="n">
        <f aca="false">G399/E399</f>
        <v>10.9285714285714</v>
      </c>
      <c r="I399" s="3" t="n">
        <v>3.9</v>
      </c>
      <c r="J399" s="4" t="n">
        <f aca="false">(F399-Assumptions!$B$17)/(Assumptions!$C$17-Assumptions!$B$17)</f>
        <v>0.909090909090909</v>
      </c>
      <c r="K399" s="4" t="n">
        <f aca="false">(H399-Assumptions!$B$18)/(Assumptions!$C$18-Assumptions!$B$18)</f>
        <v>0.0134845079266604</v>
      </c>
      <c r="L399" s="4" t="n">
        <f aca="false">(I399-Assumptions!$B$19)/(Assumptions!$C$19-Assumptions!$B$19)</f>
        <v>0.804878048780488</v>
      </c>
      <c r="M399" s="4" t="n">
        <f aca="false">0.4*J399+0.4*K399+0.2*L399</f>
        <v>0.530005776563125</v>
      </c>
    </row>
    <row r="400" customFormat="false" ht="15" hidden="false" customHeight="false" outlineLevel="0" collapsed="false">
      <c r="A400" s="3" t="s">
        <v>4</v>
      </c>
      <c r="B400" s="3" t="s">
        <v>269</v>
      </c>
      <c r="C400" s="3" t="s">
        <v>270</v>
      </c>
      <c r="D400" s="3" t="s">
        <v>563</v>
      </c>
      <c r="E400" s="3" t="n">
        <v>389</v>
      </c>
      <c r="F400" s="3" t="n">
        <v>5</v>
      </c>
      <c r="G400" s="3" t="n">
        <v>350</v>
      </c>
      <c r="H400" s="4" t="n">
        <f aca="false">G400/E400</f>
        <v>0.89974293059126</v>
      </c>
      <c r="I400" s="3" t="n">
        <v>2.5</v>
      </c>
      <c r="J400" s="4" t="n">
        <f aca="false">(F400-Assumptions!$B$17)/(Assumptions!$C$17-Assumptions!$B$17)</f>
        <v>0.363636363636364</v>
      </c>
      <c r="K400" s="4" t="n">
        <f aca="false">(H400-Assumptions!$B$18)/(Assumptions!$C$18-Assumptions!$B$18)</f>
        <v>0.00104085277182647</v>
      </c>
      <c r="L400" s="4" t="n">
        <f aca="false">(I400-Assumptions!$B$19)/(Assumptions!$C$19-Assumptions!$B$19)</f>
        <v>0.463414634146341</v>
      </c>
      <c r="M400" s="4" t="n">
        <f aca="false">0.4*J400+0.4*K400+0.2*L400</f>
        <v>0.238553813392544</v>
      </c>
    </row>
    <row r="401" customFormat="false" ht="15" hidden="false" customHeight="false" outlineLevel="0" collapsed="false">
      <c r="A401" s="3" t="s">
        <v>4</v>
      </c>
      <c r="B401" s="3" t="s">
        <v>272</v>
      </c>
      <c r="C401" s="3" t="s">
        <v>273</v>
      </c>
      <c r="D401" s="3" t="s">
        <v>564</v>
      </c>
      <c r="E401" s="3" t="n">
        <v>3.5</v>
      </c>
      <c r="F401" s="3" t="n">
        <v>10</v>
      </c>
      <c r="G401" s="3" t="n">
        <v>270</v>
      </c>
      <c r="H401" s="4" t="n">
        <f aca="false">G401/E401</f>
        <v>77.1428571428571</v>
      </c>
      <c r="I401" s="3" t="n">
        <v>3.9</v>
      </c>
      <c r="J401" s="4" t="n">
        <f aca="false">(F401-Assumptions!$B$17)/(Assumptions!$C$17-Assumptions!$B$17)</f>
        <v>0.818181818181818</v>
      </c>
      <c r="K401" s="4" t="n">
        <f aca="false">(H401-Assumptions!$B$18)/(Assumptions!$C$18-Assumptions!$B$18)</f>
        <v>0.0956424327449145</v>
      </c>
      <c r="L401" s="4" t="n">
        <f aca="false">(I401-Assumptions!$B$19)/(Assumptions!$C$19-Assumptions!$B$19)</f>
        <v>0.804878048780488</v>
      </c>
      <c r="M401" s="4" t="n">
        <f aca="false">0.4*J401+0.4*K401+0.2*L401</f>
        <v>0.526505310126791</v>
      </c>
    </row>
    <row r="402" customFormat="false" ht="15" hidden="false" customHeight="false" outlineLevel="0" collapsed="false">
      <c r="A402" s="3" t="s">
        <v>4</v>
      </c>
      <c r="B402" s="3" t="s">
        <v>275</v>
      </c>
      <c r="C402" s="3" t="s">
        <v>276</v>
      </c>
      <c r="D402" s="3" t="s">
        <v>565</v>
      </c>
      <c r="E402" s="3" t="n">
        <v>4</v>
      </c>
      <c r="F402" s="3" t="n">
        <v>5</v>
      </c>
      <c r="G402" s="3" t="n">
        <v>646</v>
      </c>
      <c r="H402" s="4" t="n">
        <f aca="false">G402/E402</f>
        <v>161.5</v>
      </c>
      <c r="I402" s="3" t="n">
        <v>2.6</v>
      </c>
      <c r="J402" s="4" t="n">
        <f aca="false">(F402-Assumptions!$B$17)/(Assumptions!$C$17-Assumptions!$B$17)</f>
        <v>0.363636363636364</v>
      </c>
      <c r="K402" s="4" t="n">
        <f aca="false">(H402-Assumptions!$B$18)/(Assumptions!$C$18-Assumptions!$B$18)</f>
        <v>0.200311806218871</v>
      </c>
      <c r="L402" s="4" t="n">
        <f aca="false">(I402-Assumptions!$B$19)/(Assumptions!$C$19-Assumptions!$B$19)</f>
        <v>0.48780487804878</v>
      </c>
      <c r="M402" s="4" t="n">
        <f aca="false">0.4*J402+0.4*K402+0.2*L402</f>
        <v>0.32314024355185</v>
      </c>
    </row>
    <row r="403" customFormat="false" ht="15" hidden="false" customHeight="false" outlineLevel="0" collapsed="false">
      <c r="A403" s="3" t="s">
        <v>4</v>
      </c>
      <c r="B403" s="3" t="s">
        <v>566</v>
      </c>
      <c r="C403" s="3" t="s">
        <v>567</v>
      </c>
      <c r="D403" s="3" t="s">
        <v>568</v>
      </c>
      <c r="E403" s="3" t="n">
        <v>27</v>
      </c>
      <c r="F403" s="3" t="n">
        <v>7</v>
      </c>
      <c r="G403" s="3" t="n">
        <v>386</v>
      </c>
      <c r="H403" s="4" t="n">
        <f aca="false">G403/E403</f>
        <v>14.2962962962963</v>
      </c>
      <c r="I403" s="3" t="n">
        <v>2.5</v>
      </c>
      <c r="J403" s="4" t="n">
        <f aca="false">(F403-Assumptions!$B$17)/(Assumptions!$C$17-Assumptions!$B$17)</f>
        <v>0.545454545454545</v>
      </c>
      <c r="K403" s="4" t="n">
        <f aca="false">(H403-Assumptions!$B$18)/(Assumptions!$C$18-Assumptions!$B$18)</f>
        <v>0.0176631422425994</v>
      </c>
      <c r="L403" s="4" t="n">
        <f aca="false">(I403-Assumptions!$B$19)/(Assumptions!$C$19-Assumptions!$B$19)</f>
        <v>0.463414634146341</v>
      </c>
      <c r="M403" s="4" t="n">
        <f aca="false">0.4*J403+0.4*K403+0.2*L403</f>
        <v>0.317930001908126</v>
      </c>
    </row>
    <row r="404" customFormat="false" ht="15" hidden="false" customHeight="false" outlineLevel="0" collapsed="false">
      <c r="A404" s="3" t="s">
        <v>4</v>
      </c>
      <c r="B404" s="3" t="s">
        <v>278</v>
      </c>
      <c r="C404" s="3" t="s">
        <v>279</v>
      </c>
      <c r="D404" s="3" t="s">
        <v>569</v>
      </c>
      <c r="E404" s="3" t="n">
        <v>1899.5</v>
      </c>
      <c r="F404" s="3" t="n">
        <v>3</v>
      </c>
      <c r="G404" s="3" t="n">
        <v>610</v>
      </c>
      <c r="H404" s="4" t="n">
        <f aca="false">G404/E404</f>
        <v>0.321137141352988</v>
      </c>
      <c r="I404" s="3" t="n">
        <v>2.6</v>
      </c>
      <c r="J404" s="4" t="n">
        <f aca="false">(F404-Assumptions!$B$17)/(Assumptions!$C$17-Assumptions!$B$17)</f>
        <v>0.181818181818182</v>
      </c>
      <c r="K404" s="4" t="n">
        <f aca="false">(H404-Assumptions!$B$18)/(Assumptions!$C$18-Assumptions!$B$18)</f>
        <v>0.000322925357540581</v>
      </c>
      <c r="L404" s="4" t="n">
        <f aca="false">(I404-Assumptions!$B$19)/(Assumptions!$C$19-Assumptions!$B$19)</f>
        <v>0.48780487804878</v>
      </c>
      <c r="M404" s="4" t="n">
        <f aca="false">0.4*J404+0.4*K404+0.2*L404</f>
        <v>0.170417418480045</v>
      </c>
    </row>
    <row r="405" customFormat="false" ht="15" hidden="false" customHeight="false" outlineLevel="0" collapsed="false">
      <c r="A405" s="3" t="s">
        <v>4</v>
      </c>
      <c r="B405" s="3" t="s">
        <v>284</v>
      </c>
      <c r="C405" s="3" t="s">
        <v>285</v>
      </c>
      <c r="D405" s="3" t="s">
        <v>570</v>
      </c>
      <c r="E405" s="3" t="n">
        <v>56</v>
      </c>
      <c r="F405" s="3" t="n">
        <v>2</v>
      </c>
      <c r="G405" s="3" t="n">
        <v>842</v>
      </c>
      <c r="H405" s="4" t="n">
        <f aca="false">G405/E405</f>
        <v>15.0357142857143</v>
      </c>
      <c r="I405" s="3" t="n">
        <v>1.7</v>
      </c>
      <c r="J405" s="4" t="n">
        <f aca="false">(F405-Assumptions!$B$17)/(Assumptions!$C$17-Assumptions!$B$17)</f>
        <v>0.0909090909090909</v>
      </c>
      <c r="K405" s="4" t="n">
        <f aca="false">(H405-Assumptions!$B$18)/(Assumptions!$C$18-Assumptions!$B$18)</f>
        <v>0.0185806035869081</v>
      </c>
      <c r="L405" s="4" t="n">
        <f aca="false">(I405-Assumptions!$B$19)/(Assumptions!$C$19-Assumptions!$B$19)</f>
        <v>0.268292682926829</v>
      </c>
      <c r="M405" s="4" t="n">
        <f aca="false">0.4*J405+0.4*K405+0.2*L405</f>
        <v>0.0974544143837655</v>
      </c>
    </row>
    <row r="406" customFormat="false" ht="15" hidden="false" customHeight="false" outlineLevel="0" collapsed="false">
      <c r="A406" s="3" t="s">
        <v>4</v>
      </c>
      <c r="B406" s="3" t="s">
        <v>287</v>
      </c>
      <c r="C406" s="3" t="s">
        <v>288</v>
      </c>
      <c r="D406" s="3" t="s">
        <v>571</v>
      </c>
      <c r="E406" s="3" t="n">
        <v>61</v>
      </c>
      <c r="F406" s="3" t="n">
        <v>5</v>
      </c>
      <c r="G406" s="3" t="n">
        <v>350</v>
      </c>
      <c r="H406" s="4" t="n">
        <f aca="false">G406/E406</f>
        <v>5.73770491803279</v>
      </c>
      <c r="I406" s="3" t="n">
        <v>2.5</v>
      </c>
      <c r="J406" s="4" t="n">
        <f aca="false">(F406-Assumptions!$B$17)/(Assumptions!$C$17-Assumptions!$B$17)</f>
        <v>0.363636363636364</v>
      </c>
      <c r="K406" s="4" t="n">
        <f aca="false">(H406-Assumptions!$B$18)/(Assumptions!$C$18-Assumptions!$B$18)</f>
        <v>0.00704374041080068</v>
      </c>
      <c r="L406" s="4" t="n">
        <f aca="false">(I406-Assumptions!$B$19)/(Assumptions!$C$19-Assumptions!$B$19)</f>
        <v>0.463414634146341</v>
      </c>
      <c r="M406" s="4" t="n">
        <f aca="false">0.4*J406+0.4*K406+0.2*L406</f>
        <v>0.240954968448134</v>
      </c>
    </row>
    <row r="407" customFormat="false" ht="15" hidden="false" customHeight="false" outlineLevel="0" collapsed="false">
      <c r="A407" s="3" t="s">
        <v>4</v>
      </c>
      <c r="B407" s="3" t="s">
        <v>290</v>
      </c>
      <c r="C407" s="3" t="s">
        <v>288</v>
      </c>
      <c r="D407" s="3" t="s">
        <v>571</v>
      </c>
      <c r="E407" s="3" t="n">
        <v>3438</v>
      </c>
      <c r="F407" s="3" t="n">
        <v>5</v>
      </c>
      <c r="G407" s="3" t="n">
        <v>350</v>
      </c>
      <c r="H407" s="4" t="n">
        <f aca="false">G407/E407</f>
        <v>0.101803374054683</v>
      </c>
      <c r="I407" s="3" t="n">
        <v>2.5</v>
      </c>
      <c r="J407" s="4" t="n">
        <f aca="false">(F407-Assumptions!$B$17)/(Assumptions!$C$17-Assumptions!$B$17)</f>
        <v>0.363636363636364</v>
      </c>
      <c r="K407" s="4" t="n">
        <f aca="false">(H407-Assumptions!$B$18)/(Assumptions!$C$18-Assumptions!$B$18)</f>
        <v>5.07785395328359E-005</v>
      </c>
      <c r="L407" s="4" t="n">
        <f aca="false">(I407-Assumptions!$B$19)/(Assumptions!$C$19-Assumptions!$B$19)</f>
        <v>0.463414634146341</v>
      </c>
      <c r="M407" s="4" t="n">
        <f aca="false">0.4*J407+0.4*K407+0.2*L407</f>
        <v>0.238157783699627</v>
      </c>
    </row>
    <row r="408" customFormat="false" ht="15" hidden="false" customHeight="false" outlineLevel="0" collapsed="false">
      <c r="A408" s="3" t="s">
        <v>4</v>
      </c>
      <c r="B408" s="3" t="s">
        <v>291</v>
      </c>
      <c r="C408" s="3" t="s">
        <v>288</v>
      </c>
      <c r="D408" s="3" t="s">
        <v>571</v>
      </c>
      <c r="E408" s="3" t="n">
        <v>12.5</v>
      </c>
      <c r="F408" s="3" t="n">
        <v>5</v>
      </c>
      <c r="G408" s="3" t="n">
        <v>350</v>
      </c>
      <c r="H408" s="4" t="n">
        <f aca="false">G408/E408</f>
        <v>28</v>
      </c>
      <c r="I408" s="3" t="n">
        <v>2.5</v>
      </c>
      <c r="J408" s="4" t="n">
        <f aca="false">(F408-Assumptions!$B$17)/(Assumptions!$C$17-Assumptions!$B$17)</f>
        <v>0.363636363636364</v>
      </c>
      <c r="K408" s="4" t="n">
        <f aca="false">(H408-Assumptions!$B$18)/(Assumptions!$C$18-Assumptions!$B$18)</f>
        <v>0.0346665403231682</v>
      </c>
      <c r="L408" s="4" t="n">
        <f aca="false">(I408-Assumptions!$B$19)/(Assumptions!$C$19-Assumptions!$B$19)</f>
        <v>0.463414634146341</v>
      </c>
      <c r="M408" s="4" t="n">
        <f aca="false">0.4*J408+0.4*K408+0.2*L408</f>
        <v>0.252004088413081</v>
      </c>
    </row>
    <row r="409" customFormat="false" ht="15" hidden="false" customHeight="false" outlineLevel="0" collapsed="false">
      <c r="A409" s="3" t="s">
        <v>4</v>
      </c>
      <c r="B409" s="3" t="s">
        <v>292</v>
      </c>
      <c r="C409" s="3" t="s">
        <v>288</v>
      </c>
      <c r="D409" s="3" t="s">
        <v>571</v>
      </c>
      <c r="E409" s="3" t="n">
        <v>2400</v>
      </c>
      <c r="F409" s="3" t="n">
        <v>5</v>
      </c>
      <c r="G409" s="3" t="n">
        <v>350</v>
      </c>
      <c r="H409" s="4" t="n">
        <f aca="false">G409/E409</f>
        <v>0.145833333333333</v>
      </c>
      <c r="I409" s="3" t="n">
        <v>2.5</v>
      </c>
      <c r="J409" s="4" t="n">
        <f aca="false">(F409-Assumptions!$B$17)/(Assumptions!$C$17-Assumptions!$B$17)</f>
        <v>0.363636363636364</v>
      </c>
      <c r="K409" s="4" t="n">
        <f aca="false">(H409-Assumptions!$B$18)/(Assumptions!$C$18-Assumptions!$B$18)</f>
        <v>0.000105410407039121</v>
      </c>
      <c r="L409" s="4" t="n">
        <f aca="false">(I409-Assumptions!$B$19)/(Assumptions!$C$19-Assumptions!$B$19)</f>
        <v>0.463414634146341</v>
      </c>
      <c r="M409" s="4" t="n">
        <f aca="false">0.4*J409+0.4*K409+0.2*L409</f>
        <v>0.238179636446629</v>
      </c>
    </row>
    <row r="410" customFormat="false" ht="15" hidden="false" customHeight="false" outlineLevel="0" collapsed="false">
      <c r="A410" s="3" t="s">
        <v>4</v>
      </c>
      <c r="B410" s="3" t="s">
        <v>293</v>
      </c>
      <c r="C410" s="3" t="s">
        <v>288</v>
      </c>
      <c r="D410" s="3" t="s">
        <v>571</v>
      </c>
      <c r="E410" s="3" t="n">
        <v>1133</v>
      </c>
      <c r="F410" s="3" t="n">
        <v>5</v>
      </c>
      <c r="G410" s="3" t="n">
        <v>350</v>
      </c>
      <c r="H410" s="4" t="n">
        <f aca="false">G410/E410</f>
        <v>0.30891438658429</v>
      </c>
      <c r="I410" s="3" t="n">
        <v>2.5</v>
      </c>
      <c r="J410" s="4" t="n">
        <f aca="false">(F410-Assumptions!$B$17)/(Assumptions!$C$17-Assumptions!$B$17)</f>
        <v>0.363636363636364</v>
      </c>
      <c r="K410" s="4" t="n">
        <f aca="false">(H410-Assumptions!$B$18)/(Assumptions!$C$18-Assumptions!$B$18)</f>
        <v>0.000307759503880364</v>
      </c>
      <c r="L410" s="4" t="n">
        <f aca="false">(I410-Assumptions!$B$19)/(Assumptions!$C$19-Assumptions!$B$19)</f>
        <v>0.463414634146341</v>
      </c>
      <c r="M410" s="4" t="n">
        <f aca="false">0.4*J410+0.4*K410+0.2*L410</f>
        <v>0.238260576085366</v>
      </c>
    </row>
    <row r="411" customFormat="false" ht="15" hidden="false" customHeight="false" outlineLevel="0" collapsed="false">
      <c r="A411" s="3" t="s">
        <v>4</v>
      </c>
      <c r="B411" s="3" t="s">
        <v>294</v>
      </c>
      <c r="C411" s="3" t="s">
        <v>295</v>
      </c>
      <c r="D411" s="3" t="s">
        <v>572</v>
      </c>
      <c r="E411" s="3" t="n">
        <v>1611</v>
      </c>
      <c r="F411" s="3" t="n">
        <v>5</v>
      </c>
      <c r="G411" s="3" t="n">
        <v>386</v>
      </c>
      <c r="H411" s="4" t="n">
        <f aca="false">G411/E411</f>
        <v>0.239602731222843</v>
      </c>
      <c r="I411" s="3" t="n">
        <v>2.5</v>
      </c>
      <c r="J411" s="4" t="n">
        <f aca="false">(F411-Assumptions!$B$17)/(Assumptions!$C$17-Assumptions!$B$17)</f>
        <v>0.363636363636364</v>
      </c>
      <c r="K411" s="4" t="n">
        <f aca="false">(H411-Assumptions!$B$18)/(Assumptions!$C$18-Assumptions!$B$18)</f>
        <v>0.000221758398397082</v>
      </c>
      <c r="L411" s="4" t="n">
        <f aca="false">(I411-Assumptions!$B$19)/(Assumptions!$C$19-Assumptions!$B$19)</f>
        <v>0.463414634146341</v>
      </c>
      <c r="M411" s="4" t="n">
        <f aca="false">0.4*J411+0.4*K411+0.2*L411</f>
        <v>0.238226175643173</v>
      </c>
    </row>
    <row r="412" customFormat="false" ht="15" hidden="false" customHeight="false" outlineLevel="0" collapsed="false">
      <c r="A412" s="3" t="s">
        <v>4</v>
      </c>
      <c r="B412" s="3" t="s">
        <v>297</v>
      </c>
      <c r="C412" s="3" t="s">
        <v>298</v>
      </c>
      <c r="D412" s="3" t="s">
        <v>573</v>
      </c>
      <c r="E412" s="3" t="n">
        <v>108.5</v>
      </c>
      <c r="F412" s="3" t="n">
        <v>10</v>
      </c>
      <c r="G412" s="3" t="n">
        <v>270</v>
      </c>
      <c r="H412" s="4" t="n">
        <f aca="false">G412/E412</f>
        <v>2.48847926267281</v>
      </c>
      <c r="I412" s="3" t="n">
        <v>3.9</v>
      </c>
      <c r="J412" s="4" t="n">
        <f aca="false">(F412-Assumptions!$B$17)/(Assumptions!$C$17-Assumptions!$B$17)</f>
        <v>0.818181818181818</v>
      </c>
      <c r="K412" s="4" t="n">
        <f aca="false">(H412-Assumptions!$B$18)/(Assumptions!$C$18-Assumptions!$B$18)</f>
        <v>0.00301213855584005</v>
      </c>
      <c r="L412" s="4" t="n">
        <f aca="false">(I412-Assumptions!$B$19)/(Assumptions!$C$19-Assumptions!$B$19)</f>
        <v>0.804878048780488</v>
      </c>
      <c r="M412" s="4" t="n">
        <f aca="false">0.4*J412+0.4*K412+0.2*L412</f>
        <v>0.489453192451161</v>
      </c>
    </row>
    <row r="413" customFormat="false" ht="15" hidden="false" customHeight="false" outlineLevel="0" collapsed="false">
      <c r="A413" s="3" t="s">
        <v>4</v>
      </c>
      <c r="B413" s="3" t="s">
        <v>300</v>
      </c>
      <c r="C413" s="3" t="s">
        <v>301</v>
      </c>
      <c r="D413" s="3" t="s">
        <v>574</v>
      </c>
      <c r="E413" s="3" t="n">
        <v>30.5</v>
      </c>
      <c r="F413" s="3" t="n">
        <v>5</v>
      </c>
      <c r="G413" s="3" t="n">
        <v>610</v>
      </c>
      <c r="H413" s="4" t="n">
        <f aca="false">G413/E413</f>
        <v>20</v>
      </c>
      <c r="I413" s="3" t="n">
        <v>2.6</v>
      </c>
      <c r="J413" s="4" t="n">
        <f aca="false">(F413-Assumptions!$B$17)/(Assumptions!$C$17-Assumptions!$B$17)</f>
        <v>0.363636363636364</v>
      </c>
      <c r="K413" s="4" t="n">
        <f aca="false">(H413-Assumptions!$B$18)/(Assumptions!$C$18-Assumptions!$B$18)</f>
        <v>0.0247402322545118</v>
      </c>
      <c r="L413" s="4" t="n">
        <f aca="false">(I413-Assumptions!$B$19)/(Assumptions!$C$19-Assumptions!$B$19)</f>
        <v>0.48780487804878</v>
      </c>
      <c r="M413" s="4" t="n">
        <f aca="false">0.4*J413+0.4*K413+0.2*L413</f>
        <v>0.252911613966106</v>
      </c>
    </row>
    <row r="414" customFormat="false" ht="15" hidden="false" customHeight="false" outlineLevel="0" collapsed="false">
      <c r="A414" s="3" t="s">
        <v>4</v>
      </c>
      <c r="B414" s="3" t="s">
        <v>303</v>
      </c>
      <c r="C414" s="3" t="s">
        <v>304</v>
      </c>
      <c r="D414" s="3" t="s">
        <v>575</v>
      </c>
      <c r="E414" s="3" t="n">
        <v>2.5</v>
      </c>
      <c r="F414" s="3" t="n">
        <v>10</v>
      </c>
      <c r="G414" s="3" t="n">
        <v>270</v>
      </c>
      <c r="H414" s="4" t="n">
        <f aca="false">G414/E414</f>
        <v>108</v>
      </c>
      <c r="I414" s="3" t="n">
        <v>3.9</v>
      </c>
      <c r="J414" s="4" t="n">
        <f aca="false">(F414-Assumptions!$B$17)/(Assumptions!$C$17-Assumptions!$B$17)</f>
        <v>0.818181818181818</v>
      </c>
      <c r="K414" s="4" t="n">
        <f aca="false">(H414-Assumptions!$B$18)/(Assumptions!$C$18-Assumptions!$B$18)</f>
        <v>0.133929621009732</v>
      </c>
      <c r="L414" s="4" t="n">
        <f aca="false">(I414-Assumptions!$B$19)/(Assumptions!$C$19-Assumptions!$B$19)</f>
        <v>0.804878048780488</v>
      </c>
      <c r="M414" s="4" t="n">
        <f aca="false">0.4*J414+0.4*K414+0.2*L414</f>
        <v>0.541820185432718</v>
      </c>
    </row>
    <row r="415" customFormat="false" ht="15" hidden="false" customHeight="false" outlineLevel="0" collapsed="false">
      <c r="A415" s="3" t="s">
        <v>4</v>
      </c>
      <c r="B415" s="3" t="s">
        <v>306</v>
      </c>
      <c r="C415" s="3" t="s">
        <v>307</v>
      </c>
      <c r="D415" s="3" t="s">
        <v>576</v>
      </c>
      <c r="E415" s="3" t="n">
        <v>140</v>
      </c>
      <c r="F415" s="3" t="n">
        <v>6</v>
      </c>
      <c r="G415" s="3" t="n">
        <v>350</v>
      </c>
      <c r="H415" s="4" t="n">
        <f aca="false">G415/E415</f>
        <v>2.5</v>
      </c>
      <c r="I415" s="3" t="n">
        <v>2.5</v>
      </c>
      <c r="J415" s="4" t="n">
        <f aca="false">(F415-Assumptions!$B$17)/(Assumptions!$C$17-Assumptions!$B$17)</f>
        <v>0.454545454545455</v>
      </c>
      <c r="K415" s="4" t="n">
        <f aca="false">(H415-Assumptions!$B$18)/(Assumptions!$C$18-Assumptions!$B$18)</f>
        <v>0.00302643335432602</v>
      </c>
      <c r="L415" s="4" t="n">
        <f aca="false">(I415-Assumptions!$B$19)/(Assumptions!$C$19-Assumptions!$B$19)</f>
        <v>0.463414634146341</v>
      </c>
      <c r="M415" s="4" t="n">
        <f aca="false">0.4*J415+0.4*K415+0.2*L415</f>
        <v>0.275711681989181</v>
      </c>
    </row>
    <row r="416" customFormat="false" ht="15" hidden="false" customHeight="false" outlineLevel="0" collapsed="false">
      <c r="A416" s="3" t="s">
        <v>4</v>
      </c>
      <c r="B416" s="3" t="s">
        <v>309</v>
      </c>
      <c r="C416" s="3" t="s">
        <v>307</v>
      </c>
      <c r="D416" s="3" t="s">
        <v>576</v>
      </c>
      <c r="E416" s="3" t="n">
        <v>11</v>
      </c>
      <c r="F416" s="3" t="n">
        <v>6</v>
      </c>
      <c r="G416" s="3" t="n">
        <v>350</v>
      </c>
      <c r="H416" s="4" t="n">
        <f aca="false">G416/E416</f>
        <v>31.8181818181818</v>
      </c>
      <c r="I416" s="3" t="n">
        <v>2.5</v>
      </c>
      <c r="J416" s="4" t="n">
        <f aca="false">(F416-Assumptions!$B$17)/(Assumptions!$C$17-Assumptions!$B$17)</f>
        <v>0.454545454545455</v>
      </c>
      <c r="K416" s="4" t="n">
        <f aca="false">(H416-Assumptions!$B$18)/(Assumptions!$C$18-Assumptions!$B$18)</f>
        <v>0.0394040964468451</v>
      </c>
      <c r="L416" s="4" t="n">
        <f aca="false">(I416-Assumptions!$B$19)/(Assumptions!$C$19-Assumptions!$B$19)</f>
        <v>0.463414634146341</v>
      </c>
      <c r="M416" s="4" t="n">
        <f aca="false">0.4*J416+0.4*K416+0.2*L416</f>
        <v>0.290262747226188</v>
      </c>
    </row>
    <row r="417" customFormat="false" ht="15" hidden="false" customHeight="false" outlineLevel="0" collapsed="false">
      <c r="A417" s="3" t="s">
        <v>4</v>
      </c>
      <c r="B417" s="3" t="s">
        <v>310</v>
      </c>
      <c r="C417" s="3" t="s">
        <v>307</v>
      </c>
      <c r="D417" s="3" t="s">
        <v>576</v>
      </c>
      <c r="E417" s="3" t="n">
        <v>767.5</v>
      </c>
      <c r="F417" s="3" t="n">
        <v>6</v>
      </c>
      <c r="G417" s="3" t="n">
        <v>350</v>
      </c>
      <c r="H417" s="4" t="n">
        <f aca="false">G417/E417</f>
        <v>0.456026058631922</v>
      </c>
      <c r="I417" s="3" t="n">
        <v>2.5</v>
      </c>
      <c r="J417" s="4" t="n">
        <f aca="false">(F417-Assumptions!$B$17)/(Assumptions!$C$17-Assumptions!$B$17)</f>
        <v>0.454545454545455</v>
      </c>
      <c r="K417" s="4" t="n">
        <f aca="false">(H417-Assumptions!$B$18)/(Assumptions!$C$18-Assumptions!$B$18)</f>
        <v>0.000490293976035357</v>
      </c>
      <c r="L417" s="4" t="n">
        <f aca="false">(I417-Assumptions!$B$19)/(Assumptions!$C$19-Assumptions!$B$19)</f>
        <v>0.463414634146341</v>
      </c>
      <c r="M417" s="4" t="n">
        <f aca="false">0.4*J417+0.4*K417+0.2*L417</f>
        <v>0.274697226237864</v>
      </c>
    </row>
    <row r="418" customFormat="false" ht="15" hidden="false" customHeight="false" outlineLevel="0" collapsed="false">
      <c r="A418" s="3" t="s">
        <v>4</v>
      </c>
      <c r="B418" s="3" t="s">
        <v>311</v>
      </c>
      <c r="C418" s="3" t="s">
        <v>307</v>
      </c>
      <c r="D418" s="3" t="s">
        <v>576</v>
      </c>
      <c r="E418" s="3" t="n">
        <v>1200</v>
      </c>
      <c r="F418" s="3" t="n">
        <v>6</v>
      </c>
      <c r="G418" s="3" t="n">
        <v>350</v>
      </c>
      <c r="H418" s="4" t="n">
        <f aca="false">G418/E418</f>
        <v>0.291666666666667</v>
      </c>
      <c r="I418" s="3" t="n">
        <v>2.5</v>
      </c>
      <c r="J418" s="4" t="n">
        <f aca="false">(F418-Assumptions!$B$17)/(Assumptions!$C$17-Assumptions!$B$17)</f>
        <v>0.454545454545455</v>
      </c>
      <c r="K418" s="4" t="n">
        <f aca="false">(H418-Assumptions!$B$18)/(Assumptions!$C$18-Assumptions!$B$18)</f>
        <v>0.000286358731207336</v>
      </c>
      <c r="L418" s="4" t="n">
        <f aca="false">(I418-Assumptions!$B$19)/(Assumptions!$C$19-Assumptions!$B$19)</f>
        <v>0.463414634146341</v>
      </c>
      <c r="M418" s="4" t="n">
        <f aca="false">0.4*J418+0.4*K418+0.2*L418</f>
        <v>0.274615652139933</v>
      </c>
    </row>
    <row r="419" customFormat="false" ht="15" hidden="false" customHeight="false" outlineLevel="0" collapsed="false">
      <c r="A419" s="3" t="s">
        <v>4</v>
      </c>
      <c r="B419" s="3" t="s">
        <v>312</v>
      </c>
      <c r="C419" s="3" t="s">
        <v>307</v>
      </c>
      <c r="D419" s="3" t="s">
        <v>576</v>
      </c>
      <c r="E419" s="3" t="n">
        <v>91</v>
      </c>
      <c r="F419" s="3" t="n">
        <v>6</v>
      </c>
      <c r="G419" s="3" t="n">
        <v>350</v>
      </c>
      <c r="H419" s="4" t="n">
        <f aca="false">G419/E419</f>
        <v>3.84615384615385</v>
      </c>
      <c r="I419" s="3" t="n">
        <v>2.5</v>
      </c>
      <c r="J419" s="4" t="n">
        <f aca="false">(F419-Assumptions!$B$17)/(Assumptions!$C$17-Assumptions!$B$17)</f>
        <v>0.454545454545455</v>
      </c>
      <c r="K419" s="4" t="n">
        <f aca="false">(H419-Assumptions!$B$18)/(Assumptions!$C$18-Assumptions!$B$18)</f>
        <v>0.00469672557741724</v>
      </c>
      <c r="L419" s="4" t="n">
        <f aca="false">(I419-Assumptions!$B$19)/(Assumptions!$C$19-Assumptions!$B$19)</f>
        <v>0.463414634146341</v>
      </c>
      <c r="M419" s="4" t="n">
        <f aca="false">0.4*J419+0.4*K419+0.2*L419</f>
        <v>0.276379798878417</v>
      </c>
    </row>
    <row r="420" customFormat="false" ht="15" hidden="false" customHeight="false" outlineLevel="0" collapsed="false">
      <c r="A420" s="3" t="s">
        <v>4</v>
      </c>
      <c r="B420" s="3" t="s">
        <v>313</v>
      </c>
      <c r="C420" s="3" t="s">
        <v>314</v>
      </c>
      <c r="D420" s="3" t="s">
        <v>529</v>
      </c>
      <c r="E420" s="3" t="n">
        <v>1611</v>
      </c>
      <c r="F420" s="3" t="n">
        <v>3</v>
      </c>
      <c r="G420" s="3" t="n">
        <v>610</v>
      </c>
      <c r="H420" s="4" t="n">
        <f aca="false">G420/E420</f>
        <v>0.378646803227809</v>
      </c>
      <c r="I420" s="3" t="n">
        <v>2.6</v>
      </c>
      <c r="J420" s="4" t="n">
        <f aca="false">(F420-Assumptions!$B$17)/(Assumptions!$C$17-Assumptions!$B$17)</f>
        <v>0.181818181818182</v>
      </c>
      <c r="K420" s="4" t="n">
        <f aca="false">(H420-Assumptions!$B$18)/(Assumptions!$C$18-Assumptions!$B$18)</f>
        <v>0.000394282685127298</v>
      </c>
      <c r="L420" s="4" t="n">
        <f aca="false">(I420-Assumptions!$B$19)/(Assumptions!$C$19-Assumptions!$B$19)</f>
        <v>0.48780487804878</v>
      </c>
      <c r="M420" s="4" t="n">
        <f aca="false">0.4*J420+0.4*K420+0.2*L420</f>
        <v>0.17044596141108</v>
      </c>
    </row>
    <row r="421" customFormat="false" ht="15" hidden="false" customHeight="false" outlineLevel="0" collapsed="false">
      <c r="A421" s="3" t="s">
        <v>4</v>
      </c>
      <c r="B421" s="3" t="s">
        <v>315</v>
      </c>
      <c r="C421" s="3" t="s">
        <v>316</v>
      </c>
      <c r="D421" s="3" t="s">
        <v>577</v>
      </c>
      <c r="E421" s="3" t="n">
        <v>497.5</v>
      </c>
      <c r="F421" s="3" t="n">
        <v>3</v>
      </c>
      <c r="G421" s="3" t="n">
        <v>770</v>
      </c>
      <c r="H421" s="4" t="n">
        <f aca="false">G421/E421</f>
        <v>1.54773869346734</v>
      </c>
      <c r="I421" s="3" t="n">
        <v>1.7</v>
      </c>
      <c r="J421" s="4" t="n">
        <f aca="false">(F421-Assumptions!$B$17)/(Assumptions!$C$17-Assumptions!$B$17)</f>
        <v>0.181818181818182</v>
      </c>
      <c r="K421" s="4" t="n">
        <f aca="false">(H421-Assumptions!$B$18)/(Assumptions!$C$18-Assumptions!$B$18)</f>
        <v>0.00184487846801297</v>
      </c>
      <c r="L421" s="4" t="n">
        <f aca="false">(I421-Assumptions!$B$19)/(Assumptions!$C$19-Assumptions!$B$19)</f>
        <v>0.268292682926829</v>
      </c>
      <c r="M421" s="4" t="n">
        <f aca="false">0.4*J421+0.4*K421+0.2*L421</f>
        <v>0.127123760699844</v>
      </c>
    </row>
    <row r="422" customFormat="false" ht="15" hidden="false" customHeight="false" outlineLevel="0" collapsed="false">
      <c r="A422" s="3" t="s">
        <v>4</v>
      </c>
      <c r="B422" s="3" t="s">
        <v>318</v>
      </c>
      <c r="C422" s="3" t="s">
        <v>319</v>
      </c>
      <c r="D422" s="3" t="s">
        <v>565</v>
      </c>
      <c r="E422" s="3" t="n">
        <v>5</v>
      </c>
      <c r="F422" s="3" t="n">
        <v>5</v>
      </c>
      <c r="G422" s="3" t="n">
        <v>646</v>
      </c>
      <c r="H422" s="4" t="n">
        <f aca="false">G422/E422</f>
        <v>129.2</v>
      </c>
      <c r="I422" s="3" t="n">
        <v>2.6</v>
      </c>
      <c r="J422" s="4" t="n">
        <f aca="false">(F422-Assumptions!$B$17)/(Assumptions!$C$17-Assumptions!$B$17)</f>
        <v>0.363636363636364</v>
      </c>
      <c r="K422" s="4" t="n">
        <f aca="false">(H422-Assumptions!$B$18)/(Assumptions!$C$18-Assumptions!$B$18)</f>
        <v>0.160234337391671</v>
      </c>
      <c r="L422" s="4" t="n">
        <f aca="false">(I422-Assumptions!$B$19)/(Assumptions!$C$19-Assumptions!$B$19)</f>
        <v>0.48780487804878</v>
      </c>
      <c r="M422" s="4" t="n">
        <f aca="false">0.4*J422+0.4*K422+0.2*L422</f>
        <v>0.30710925602097</v>
      </c>
    </row>
    <row r="423" customFormat="false" ht="15" hidden="false" customHeight="false" outlineLevel="0" collapsed="false">
      <c r="A423" s="3" t="s">
        <v>4</v>
      </c>
      <c r="B423" s="3" t="s">
        <v>487</v>
      </c>
      <c r="C423" s="3" t="s">
        <v>488</v>
      </c>
      <c r="D423" s="3" t="s">
        <v>578</v>
      </c>
      <c r="E423" s="3" t="n">
        <v>4.5</v>
      </c>
      <c r="F423" s="3" t="n">
        <v>7</v>
      </c>
      <c r="G423" s="3" t="n">
        <v>386</v>
      </c>
      <c r="H423" s="4" t="n">
        <f aca="false">G423/E423</f>
        <v>85.7777777777778</v>
      </c>
      <c r="I423" s="3" t="n">
        <v>2.5</v>
      </c>
      <c r="J423" s="4" t="n">
        <f aca="false">(F423-Assumptions!$B$17)/(Assumptions!$C$17-Assumptions!$B$17)</f>
        <v>0.545454545454545</v>
      </c>
      <c r="K423" s="4" t="n">
        <f aca="false">(H423-Assumptions!$B$18)/(Assumptions!$C$18-Assumptions!$B$18)</f>
        <v>0.106356543041242</v>
      </c>
      <c r="L423" s="4" t="n">
        <f aca="false">(I423-Assumptions!$B$19)/(Assumptions!$C$19-Assumptions!$B$19)</f>
        <v>0.463414634146341</v>
      </c>
      <c r="M423" s="4" t="n">
        <f aca="false">0.4*J423+0.4*K423+0.2*L423</f>
        <v>0.353407362227583</v>
      </c>
    </row>
    <row r="424" customFormat="false" ht="15" hidden="false" customHeight="false" outlineLevel="0" collapsed="false">
      <c r="A424" s="3" t="s">
        <v>4</v>
      </c>
      <c r="B424" s="3" t="s">
        <v>320</v>
      </c>
      <c r="C424" s="3" t="s">
        <v>321</v>
      </c>
      <c r="D424" s="3" t="s">
        <v>579</v>
      </c>
      <c r="E424" s="3" t="n">
        <v>1020</v>
      </c>
      <c r="F424" s="3" t="n">
        <v>3</v>
      </c>
      <c r="G424" s="3" t="n">
        <v>682</v>
      </c>
      <c r="H424" s="4" t="n">
        <f aca="false">G424/E424</f>
        <v>0.668627450980392</v>
      </c>
      <c r="I424" s="3" t="n">
        <v>2.6</v>
      </c>
      <c r="J424" s="4" t="n">
        <f aca="false">(F424-Assumptions!$B$17)/(Assumptions!$C$17-Assumptions!$B$17)</f>
        <v>0.181818181818182</v>
      </c>
      <c r="K424" s="4" t="n">
        <f aca="false">(H424-Assumptions!$B$18)/(Assumptions!$C$18-Assumptions!$B$18)</f>
        <v>0.000754087340569881</v>
      </c>
      <c r="L424" s="4" t="n">
        <f aca="false">(I424-Assumptions!$B$19)/(Assumptions!$C$19-Assumptions!$B$19)</f>
        <v>0.48780487804878</v>
      </c>
      <c r="M424" s="4" t="n">
        <f aca="false">0.4*J424+0.4*K424+0.2*L424</f>
        <v>0.170589883273257</v>
      </c>
    </row>
    <row r="425" customFormat="false" ht="15" hidden="false" customHeight="false" outlineLevel="0" collapsed="false">
      <c r="A425" s="3" t="s">
        <v>4</v>
      </c>
      <c r="B425" s="3" t="s">
        <v>323</v>
      </c>
      <c r="C425" s="3" t="s">
        <v>324</v>
      </c>
      <c r="D425" s="3" t="s">
        <v>580</v>
      </c>
      <c r="E425" s="3" t="n">
        <v>139</v>
      </c>
      <c r="F425" s="3" t="n">
        <v>2</v>
      </c>
      <c r="G425" s="3" t="n">
        <v>770</v>
      </c>
      <c r="H425" s="4" t="n">
        <f aca="false">G425/E425</f>
        <v>5.53956834532374</v>
      </c>
      <c r="I425" s="3" t="n">
        <v>1.7</v>
      </c>
      <c r="J425" s="4" t="n">
        <f aca="false">(F425-Assumptions!$B$17)/(Assumptions!$C$17-Assumptions!$B$17)</f>
        <v>0.0909090909090909</v>
      </c>
      <c r="K425" s="4" t="n">
        <f aca="false">(H425-Assumptions!$B$18)/(Assumptions!$C$18-Assumptions!$B$18)</f>
        <v>0.00679789482825346</v>
      </c>
      <c r="L425" s="4" t="n">
        <f aca="false">(I425-Assumptions!$B$19)/(Assumptions!$C$19-Assumptions!$B$19)</f>
        <v>0.268292682926829</v>
      </c>
      <c r="M425" s="4" t="n">
        <f aca="false">0.4*J425+0.4*K425+0.2*L425</f>
        <v>0.0927413308803036</v>
      </c>
    </row>
    <row r="426" customFormat="false" ht="15" hidden="false" customHeight="false" outlineLevel="0" collapsed="false">
      <c r="A426" s="3" t="s">
        <v>4</v>
      </c>
      <c r="B426" s="3" t="s">
        <v>326</v>
      </c>
      <c r="C426" s="3" t="s">
        <v>324</v>
      </c>
      <c r="D426" s="3" t="s">
        <v>580</v>
      </c>
      <c r="E426" s="3" t="n">
        <v>342</v>
      </c>
      <c r="F426" s="3" t="n">
        <v>2</v>
      </c>
      <c r="G426" s="3" t="n">
        <v>770</v>
      </c>
      <c r="H426" s="4" t="n">
        <f aca="false">G426/E426</f>
        <v>2.25146198830409</v>
      </c>
      <c r="I426" s="3" t="n">
        <v>1.7</v>
      </c>
      <c r="J426" s="4" t="n">
        <f aca="false">(F426-Assumptions!$B$17)/(Assumptions!$C$17-Assumptions!$B$17)</f>
        <v>0.0909090909090909</v>
      </c>
      <c r="K426" s="4" t="n">
        <f aca="false">(H426-Assumptions!$B$18)/(Assumptions!$C$18-Assumptions!$B$18)</f>
        <v>0.00271805024546791</v>
      </c>
      <c r="L426" s="4" t="n">
        <f aca="false">(I426-Assumptions!$B$19)/(Assumptions!$C$19-Assumptions!$B$19)</f>
        <v>0.268292682926829</v>
      </c>
      <c r="M426" s="4" t="n">
        <f aca="false">0.4*J426+0.4*K426+0.2*L426</f>
        <v>0.0911093930471894</v>
      </c>
    </row>
    <row r="427" customFormat="false" ht="15" hidden="false" customHeight="false" outlineLevel="0" collapsed="false">
      <c r="A427" s="3" t="s">
        <v>4</v>
      </c>
      <c r="B427" s="3" t="s">
        <v>327</v>
      </c>
      <c r="C427" s="3" t="s">
        <v>328</v>
      </c>
      <c r="D427" s="3" t="s">
        <v>581</v>
      </c>
      <c r="E427" s="3" t="n">
        <v>13.5</v>
      </c>
      <c r="F427" s="3" t="n">
        <v>2</v>
      </c>
      <c r="G427" s="3" t="n">
        <v>806</v>
      </c>
      <c r="H427" s="4" t="n">
        <f aca="false">G427/E427</f>
        <v>59.7037037037037</v>
      </c>
      <c r="I427" s="3" t="n">
        <v>1.7</v>
      </c>
      <c r="J427" s="4" t="n">
        <f aca="false">(F427-Assumptions!$B$17)/(Assumptions!$C$17-Assumptions!$B$17)</f>
        <v>0.0909090909090909</v>
      </c>
      <c r="K427" s="4" t="n">
        <f aca="false">(H427-Assumptions!$B$18)/(Assumptions!$C$18-Assumptions!$B$18)</f>
        <v>0.0740041315582138</v>
      </c>
      <c r="L427" s="4" t="n">
        <f aca="false">(I427-Assumptions!$B$19)/(Assumptions!$C$19-Assumptions!$B$19)</f>
        <v>0.268292682926829</v>
      </c>
      <c r="M427" s="4" t="n">
        <f aca="false">0.4*J427+0.4*K427+0.2*L427</f>
        <v>0.119623825572288</v>
      </c>
    </row>
    <row r="428" customFormat="false" ht="15" hidden="false" customHeight="false" outlineLevel="0" collapsed="false">
      <c r="A428" s="3" t="s">
        <v>4</v>
      </c>
      <c r="B428" s="3" t="s">
        <v>330</v>
      </c>
      <c r="C428" s="3" t="s">
        <v>331</v>
      </c>
      <c r="D428" s="3" t="s">
        <v>582</v>
      </c>
      <c r="E428" s="3" t="n">
        <v>19.5</v>
      </c>
      <c r="F428" s="3" t="n">
        <v>3</v>
      </c>
      <c r="G428" s="3" t="n">
        <v>610</v>
      </c>
      <c r="H428" s="4" t="n">
        <f aca="false">G428/E428</f>
        <v>31.2820512820513</v>
      </c>
      <c r="I428" s="3" t="n">
        <v>2.6</v>
      </c>
      <c r="J428" s="4" t="n">
        <f aca="false">(F428-Assumptions!$B$17)/(Assumptions!$C$17-Assumptions!$B$17)</f>
        <v>0.181818181818182</v>
      </c>
      <c r="K428" s="4" t="n">
        <f aca="false">(H428-Assumptions!$B$18)/(Assumptions!$C$18-Assumptions!$B$18)</f>
        <v>0.0387388718385144</v>
      </c>
      <c r="L428" s="4" t="n">
        <f aca="false">(I428-Assumptions!$B$19)/(Assumptions!$C$19-Assumptions!$B$19)</f>
        <v>0.48780487804878</v>
      </c>
      <c r="M428" s="4" t="n">
        <f aca="false">0.4*J428+0.4*K428+0.2*L428</f>
        <v>0.185783797072435</v>
      </c>
    </row>
    <row r="429" customFormat="false" ht="15" hidden="false" customHeight="false" outlineLevel="0" collapsed="false">
      <c r="A429" s="3" t="s">
        <v>4</v>
      </c>
      <c r="B429" s="3" t="s">
        <v>333</v>
      </c>
      <c r="C429" s="3" t="s">
        <v>331</v>
      </c>
      <c r="D429" s="3" t="s">
        <v>582</v>
      </c>
      <c r="E429" s="3" t="n">
        <v>4.5</v>
      </c>
      <c r="F429" s="3" t="n">
        <v>3</v>
      </c>
      <c r="G429" s="3" t="n">
        <v>610</v>
      </c>
      <c r="H429" s="4" t="n">
        <f aca="false">G429/E429</f>
        <v>135.555555555556</v>
      </c>
      <c r="I429" s="3" t="n">
        <v>2.6</v>
      </c>
      <c r="J429" s="4" t="n">
        <f aca="false">(F429-Assumptions!$B$17)/(Assumptions!$C$17-Assumptions!$B$17)</f>
        <v>0.181818181818182</v>
      </c>
      <c r="K429" s="4" t="n">
        <f aca="false">(H429-Assumptions!$B$18)/(Assumptions!$C$18-Assumptions!$B$18)</f>
        <v>0.168120237690659</v>
      </c>
      <c r="L429" s="4" t="n">
        <f aca="false">(I429-Assumptions!$B$19)/(Assumptions!$C$19-Assumptions!$B$19)</f>
        <v>0.48780487804878</v>
      </c>
      <c r="M429" s="4" t="n">
        <f aca="false">0.4*J429+0.4*K429+0.2*L429</f>
        <v>0.237536343413293</v>
      </c>
    </row>
    <row r="430" customFormat="false" ht="15" hidden="false" customHeight="false" outlineLevel="0" collapsed="false">
      <c r="A430" s="3" t="s">
        <v>4</v>
      </c>
      <c r="B430" s="3" t="s">
        <v>334</v>
      </c>
      <c r="C430" s="3" t="s">
        <v>335</v>
      </c>
      <c r="D430" s="3" t="s">
        <v>518</v>
      </c>
      <c r="E430" s="3" t="n">
        <v>361</v>
      </c>
      <c r="F430" s="3" t="n">
        <v>4</v>
      </c>
      <c r="G430" s="3" t="n">
        <v>806</v>
      </c>
      <c r="H430" s="4" t="n">
        <f aca="false">G430/E430</f>
        <v>2.23268698060942</v>
      </c>
      <c r="I430" s="3" t="n">
        <v>1.7</v>
      </c>
      <c r="J430" s="4" t="n">
        <f aca="false">(F430-Assumptions!$B$17)/(Assumptions!$C$17-Assumptions!$B$17)</f>
        <v>0.272727272727273</v>
      </c>
      <c r="K430" s="4" t="n">
        <f aca="false">(H430-Assumptions!$B$18)/(Assumptions!$C$18-Assumptions!$B$18)</f>
        <v>0.00269475443167182</v>
      </c>
      <c r="L430" s="4" t="n">
        <f aca="false">(I430-Assumptions!$B$19)/(Assumptions!$C$19-Assumptions!$B$19)</f>
        <v>0.268292682926829</v>
      </c>
      <c r="M430" s="4" t="n">
        <f aca="false">0.4*J430+0.4*K430+0.2*L430</f>
        <v>0.163827347448944</v>
      </c>
    </row>
    <row r="431" customFormat="false" ht="15" hidden="false" customHeight="false" outlineLevel="0" collapsed="false">
      <c r="A431" s="3" t="s">
        <v>4</v>
      </c>
      <c r="B431" s="3" t="s">
        <v>340</v>
      </c>
      <c r="C431" s="3" t="s">
        <v>341</v>
      </c>
      <c r="D431" s="3" t="s">
        <v>583</v>
      </c>
      <c r="E431" s="3" t="n">
        <v>1023</v>
      </c>
      <c r="F431" s="3" t="n">
        <v>5</v>
      </c>
      <c r="G431" s="3" t="n">
        <v>350</v>
      </c>
      <c r="H431" s="4" t="n">
        <f aca="false">G431/E431</f>
        <v>0.342130987292278</v>
      </c>
      <c r="I431" s="3" t="n">
        <v>2.5</v>
      </c>
      <c r="J431" s="4" t="n">
        <f aca="false">(F431-Assumptions!$B$17)/(Assumptions!$C$17-Assumptions!$B$17)</f>
        <v>0.363636363636364</v>
      </c>
      <c r="K431" s="4" t="n">
        <f aca="false">(H431-Assumptions!$B$18)/(Assumptions!$C$18-Assumptions!$B$18)</f>
        <v>0.000348974280332994</v>
      </c>
      <c r="L431" s="4" t="n">
        <f aca="false">(I431-Assumptions!$B$19)/(Assumptions!$C$19-Assumptions!$B$19)</f>
        <v>0.463414634146341</v>
      </c>
      <c r="M431" s="4" t="n">
        <f aca="false">0.4*J431+0.4*K431+0.2*L431</f>
        <v>0.238277061995947</v>
      </c>
    </row>
    <row r="432" customFormat="false" ht="15" hidden="false" customHeight="false" outlineLevel="0" collapsed="false">
      <c r="A432" s="3" t="s">
        <v>4</v>
      </c>
      <c r="B432" s="3" t="s">
        <v>343</v>
      </c>
      <c r="C432" s="3" t="s">
        <v>344</v>
      </c>
      <c r="D432" s="3" t="s">
        <v>543</v>
      </c>
      <c r="E432" s="3" t="n">
        <v>6.5</v>
      </c>
      <c r="F432" s="3" t="n">
        <v>5</v>
      </c>
      <c r="G432" s="3" t="n">
        <v>350</v>
      </c>
      <c r="H432" s="4" t="n">
        <f aca="false">G432/E432</f>
        <v>53.8461538461539</v>
      </c>
      <c r="I432" s="3" t="n">
        <v>2.5</v>
      </c>
      <c r="J432" s="4" t="n">
        <f aca="false">(F432-Assumptions!$B$17)/(Assumptions!$C$17-Assumptions!$B$17)</f>
        <v>0.363636363636364</v>
      </c>
      <c r="K432" s="4" t="n">
        <f aca="false">(H432-Assumptions!$B$18)/(Assumptions!$C$18-Assumptions!$B$18)</f>
        <v>0.0667361510065195</v>
      </c>
      <c r="L432" s="4" t="n">
        <f aca="false">(I432-Assumptions!$B$19)/(Assumptions!$C$19-Assumptions!$B$19)</f>
        <v>0.463414634146341</v>
      </c>
      <c r="M432" s="4" t="n">
        <f aca="false">0.4*J432+0.4*K432+0.2*L432</f>
        <v>0.264831932686422</v>
      </c>
    </row>
    <row r="433" customFormat="false" ht="15" hidden="false" customHeight="false" outlineLevel="0" collapsed="false">
      <c r="A433" s="3" t="s">
        <v>4</v>
      </c>
      <c r="B433" s="3" t="s">
        <v>345</v>
      </c>
      <c r="C433" s="3" t="s">
        <v>346</v>
      </c>
      <c r="D433" s="3" t="s">
        <v>584</v>
      </c>
      <c r="E433" s="3" t="n">
        <v>254.5</v>
      </c>
      <c r="F433" s="3" t="n">
        <v>10</v>
      </c>
      <c r="G433" s="3" t="n">
        <v>270</v>
      </c>
      <c r="H433" s="4" t="n">
        <f aca="false">G433/E433</f>
        <v>1.06090373280943</v>
      </c>
      <c r="I433" s="3" t="n">
        <v>3.9</v>
      </c>
      <c r="J433" s="4" t="n">
        <f aca="false">(F433-Assumptions!$B$17)/(Assumptions!$C$17-Assumptions!$B$17)</f>
        <v>0.818181818181818</v>
      </c>
      <c r="K433" s="4" t="n">
        <f aca="false">(H433-Assumptions!$B$18)/(Assumptions!$C$18-Assumptions!$B$18)</f>
        <v>0.00124081924325264</v>
      </c>
      <c r="L433" s="4" t="n">
        <f aca="false">(I433-Assumptions!$B$19)/(Assumptions!$C$19-Assumptions!$B$19)</f>
        <v>0.804878048780488</v>
      </c>
      <c r="M433" s="4" t="n">
        <f aca="false">0.4*J433+0.4*K433+0.2*L433</f>
        <v>0.488744664726126</v>
      </c>
    </row>
    <row r="434" customFormat="false" ht="15" hidden="false" customHeight="false" outlineLevel="0" collapsed="false">
      <c r="A434" s="3" t="s">
        <v>4</v>
      </c>
      <c r="B434" s="3" t="s">
        <v>347</v>
      </c>
      <c r="C434" s="3" t="s">
        <v>348</v>
      </c>
      <c r="D434" s="3" t="s">
        <v>585</v>
      </c>
      <c r="E434" s="3" t="n">
        <v>4.5</v>
      </c>
      <c r="F434" s="3" t="n">
        <v>5</v>
      </c>
      <c r="G434" s="3" t="n">
        <v>682</v>
      </c>
      <c r="H434" s="4" t="n">
        <f aca="false">G434/E434</f>
        <v>151.555555555556</v>
      </c>
      <c r="I434" s="3" t="n">
        <v>2.6</v>
      </c>
      <c r="J434" s="4" t="n">
        <f aca="false">(F434-Assumptions!$B$17)/(Assumptions!$C$17-Assumptions!$B$17)</f>
        <v>0.363636363636364</v>
      </c>
      <c r="K434" s="4" t="n">
        <f aca="false">(H434-Assumptions!$B$18)/(Assumptions!$C$18-Assumptions!$B$18)</f>
        <v>0.187972853827972</v>
      </c>
      <c r="L434" s="4" t="n">
        <f aca="false">(I434-Assumptions!$B$19)/(Assumptions!$C$19-Assumptions!$B$19)</f>
        <v>0.48780487804878</v>
      </c>
      <c r="M434" s="4" t="n">
        <f aca="false">0.4*J434+0.4*K434+0.2*L434</f>
        <v>0.31820466259549</v>
      </c>
    </row>
    <row r="435" customFormat="false" ht="15" hidden="false" customHeight="false" outlineLevel="0" collapsed="false">
      <c r="A435" s="3" t="s">
        <v>4</v>
      </c>
      <c r="B435" s="3" t="s">
        <v>350</v>
      </c>
      <c r="C435" s="3" t="s">
        <v>351</v>
      </c>
      <c r="D435" s="3" t="s">
        <v>575</v>
      </c>
      <c r="E435" s="3" t="n">
        <v>154.5</v>
      </c>
      <c r="F435" s="3" t="n">
        <v>10</v>
      </c>
      <c r="G435" s="3" t="n">
        <v>270</v>
      </c>
      <c r="H435" s="4" t="n">
        <f aca="false">G435/E435</f>
        <v>1.74757281553398</v>
      </c>
      <c r="I435" s="3" t="n">
        <v>3.9</v>
      </c>
      <c r="J435" s="4" t="n">
        <f aca="false">(F435-Assumptions!$B$17)/(Assumptions!$C$17-Assumptions!$B$17)</f>
        <v>0.818181818181818</v>
      </c>
      <c r="K435" s="4" t="n">
        <f aca="false">(H435-Assumptions!$B$18)/(Assumptions!$C$18-Assumptions!$B$18)</f>
        <v>0.00209283035029584</v>
      </c>
      <c r="L435" s="4" t="n">
        <f aca="false">(I435-Assumptions!$B$19)/(Assumptions!$C$19-Assumptions!$B$19)</f>
        <v>0.804878048780488</v>
      </c>
      <c r="M435" s="4" t="n">
        <f aca="false">0.4*J435+0.4*K435+0.2*L435</f>
        <v>0.489085469168943</v>
      </c>
    </row>
    <row r="436" customFormat="false" ht="15" hidden="false" customHeight="false" outlineLevel="0" collapsed="false">
      <c r="A436" s="3" t="s">
        <v>4</v>
      </c>
      <c r="B436" s="3" t="s">
        <v>353</v>
      </c>
      <c r="C436" s="3" t="s">
        <v>354</v>
      </c>
      <c r="D436" s="3" t="s">
        <v>586</v>
      </c>
      <c r="E436" s="3" t="n">
        <v>64.5</v>
      </c>
      <c r="F436" s="3" t="n">
        <v>6</v>
      </c>
      <c r="G436" s="3" t="n">
        <v>350</v>
      </c>
      <c r="H436" s="4" t="n">
        <f aca="false">G436/E436</f>
        <v>5.42635658914729</v>
      </c>
      <c r="I436" s="3" t="n">
        <v>2.5</v>
      </c>
      <c r="J436" s="4" t="n">
        <f aca="false">(F436-Assumptions!$B$17)/(Assumptions!$C$17-Assumptions!$B$17)</f>
        <v>0.454545454545455</v>
      </c>
      <c r="K436" s="4" t="n">
        <f aca="false">(H436-Assumptions!$B$18)/(Assumptions!$C$18-Assumptions!$B$18)</f>
        <v>0.00665742298215333</v>
      </c>
      <c r="L436" s="4" t="n">
        <f aca="false">(I436-Assumptions!$B$19)/(Assumptions!$C$19-Assumptions!$B$19)</f>
        <v>0.463414634146341</v>
      </c>
      <c r="M436" s="4" t="n">
        <f aca="false">0.4*J436+0.4*K436+0.2*L436</f>
        <v>0.277164077840311</v>
      </c>
    </row>
    <row r="437" customFormat="false" ht="15" hidden="false" customHeight="false" outlineLevel="0" collapsed="false">
      <c r="A437" s="3" t="s">
        <v>4</v>
      </c>
      <c r="B437" s="3" t="s">
        <v>356</v>
      </c>
      <c r="C437" s="3" t="s">
        <v>357</v>
      </c>
      <c r="D437" s="3" t="s">
        <v>587</v>
      </c>
      <c r="E437" s="3" t="n">
        <v>4.5</v>
      </c>
      <c r="F437" s="3" t="n">
        <v>4</v>
      </c>
      <c r="G437" s="3" t="n">
        <v>806</v>
      </c>
      <c r="H437" s="4" t="n">
        <f aca="false">G437/E437</f>
        <v>179.111111111111</v>
      </c>
      <c r="I437" s="3" t="n">
        <v>1.7</v>
      </c>
      <c r="J437" s="4" t="n">
        <f aca="false">(F437-Assumptions!$B$17)/(Assumptions!$C$17-Assumptions!$B$17)</f>
        <v>0.272727272727273</v>
      </c>
      <c r="K437" s="4" t="n">
        <f aca="false">(H437-Assumptions!$B$18)/(Assumptions!$C$18-Assumptions!$B$18)</f>
        <v>0.2221634705089</v>
      </c>
      <c r="L437" s="4" t="n">
        <f aca="false">(I437-Assumptions!$B$19)/(Assumptions!$C$19-Assumptions!$B$19)</f>
        <v>0.268292682926829</v>
      </c>
      <c r="M437" s="4" t="n">
        <f aca="false">0.4*J437+0.4*K437+0.2*L437</f>
        <v>0.251614833879835</v>
      </c>
    </row>
    <row r="438" customFormat="false" ht="15" hidden="false" customHeight="false" outlineLevel="0" collapsed="false">
      <c r="A438" s="3" t="s">
        <v>4</v>
      </c>
      <c r="B438" s="3" t="s">
        <v>359</v>
      </c>
      <c r="C438" s="3" t="s">
        <v>360</v>
      </c>
      <c r="D438" s="3" t="s">
        <v>588</v>
      </c>
      <c r="E438" s="3" t="n">
        <v>335</v>
      </c>
      <c r="F438" s="3" t="n">
        <v>5</v>
      </c>
      <c r="G438" s="3" t="n">
        <v>386</v>
      </c>
      <c r="H438" s="4" t="n">
        <f aca="false">G438/E438</f>
        <v>1.15223880597015</v>
      </c>
      <c r="I438" s="3" t="n">
        <v>2.5</v>
      </c>
      <c r="J438" s="4" t="n">
        <f aca="false">(F438-Assumptions!$B$17)/(Assumptions!$C$17-Assumptions!$B$17)</f>
        <v>0.363636363636364</v>
      </c>
      <c r="K438" s="4" t="n">
        <f aca="false">(H438-Assumptions!$B$18)/(Assumptions!$C$18-Assumptions!$B$18)</f>
        <v>0.00135414675246096</v>
      </c>
      <c r="L438" s="4" t="n">
        <f aca="false">(I438-Assumptions!$B$19)/(Assumptions!$C$19-Assumptions!$B$19)</f>
        <v>0.463414634146341</v>
      </c>
      <c r="M438" s="4" t="n">
        <f aca="false">0.4*J438+0.4*K438+0.2*L438</f>
        <v>0.238679130984798</v>
      </c>
    </row>
    <row r="439" customFormat="false" ht="15" hidden="false" customHeight="false" outlineLevel="0" collapsed="false">
      <c r="A439" s="3" t="s">
        <v>4</v>
      </c>
      <c r="B439" s="3" t="s">
        <v>372</v>
      </c>
      <c r="C439" s="3" t="s">
        <v>373</v>
      </c>
      <c r="D439" s="3" t="s">
        <v>535</v>
      </c>
      <c r="E439" s="3" t="n">
        <v>392</v>
      </c>
      <c r="F439" s="3" t="n">
        <v>5</v>
      </c>
      <c r="G439" s="3" t="n">
        <v>610</v>
      </c>
      <c r="H439" s="4" t="n">
        <f aca="false">G439/E439</f>
        <v>1.55612244897959</v>
      </c>
      <c r="I439" s="3" t="n">
        <v>2.6</v>
      </c>
      <c r="J439" s="4" t="n">
        <f aca="false">(F439-Assumptions!$B$17)/(Assumptions!$C$17-Assumptions!$B$17)</f>
        <v>0.363636363636364</v>
      </c>
      <c r="K439" s="4" t="n">
        <f aca="false">(H439-Assumptions!$B$18)/(Assumptions!$C$18-Assumptions!$B$18)</f>
        <v>0.00185528093551133</v>
      </c>
      <c r="L439" s="4" t="n">
        <f aca="false">(I439-Assumptions!$B$19)/(Assumptions!$C$19-Assumptions!$B$19)</f>
        <v>0.48780487804878</v>
      </c>
      <c r="M439" s="4" t="n">
        <f aca="false">0.4*J439+0.4*K439+0.2*L439</f>
        <v>0.243757633438506</v>
      </c>
    </row>
    <row r="440" customFormat="false" ht="15" hidden="false" customHeight="false" outlineLevel="0" collapsed="false">
      <c r="A440" s="3" t="s">
        <v>4</v>
      </c>
      <c r="B440" s="3" t="s">
        <v>374</v>
      </c>
      <c r="C440" s="3" t="s">
        <v>373</v>
      </c>
      <c r="D440" s="3" t="s">
        <v>535</v>
      </c>
      <c r="E440" s="3" t="n">
        <v>951.5</v>
      </c>
      <c r="F440" s="3" t="n">
        <v>5</v>
      </c>
      <c r="G440" s="3" t="n">
        <v>610</v>
      </c>
      <c r="H440" s="4" t="n">
        <f aca="false">G440/E440</f>
        <v>0.641093011035208</v>
      </c>
      <c r="I440" s="3" t="n">
        <v>2.6</v>
      </c>
      <c r="J440" s="4" t="n">
        <f aca="false">(F440-Assumptions!$B$17)/(Assumptions!$C$17-Assumptions!$B$17)</f>
        <v>0.363636363636364</v>
      </c>
      <c r="K440" s="4" t="n">
        <f aca="false">(H440-Assumptions!$B$18)/(Assumptions!$C$18-Assumptions!$B$18)</f>
        <v>0.000719922923895654</v>
      </c>
      <c r="L440" s="4" t="n">
        <f aca="false">(I440-Assumptions!$B$19)/(Assumptions!$C$19-Assumptions!$B$19)</f>
        <v>0.48780487804878</v>
      </c>
      <c r="M440" s="4" t="n">
        <f aca="false">0.4*J440+0.4*K440+0.2*L440</f>
        <v>0.24330349023386</v>
      </c>
    </row>
    <row r="441" customFormat="false" ht="15" hidden="false" customHeight="false" outlineLevel="0" collapsed="false">
      <c r="A441" s="3" t="s">
        <v>4</v>
      </c>
      <c r="B441" s="3" t="s">
        <v>375</v>
      </c>
      <c r="C441" s="3" t="s">
        <v>376</v>
      </c>
      <c r="D441" s="3" t="s">
        <v>589</v>
      </c>
      <c r="E441" s="3" t="n">
        <v>236</v>
      </c>
      <c r="F441" s="3" t="n">
        <v>10</v>
      </c>
      <c r="G441" s="3" t="n">
        <v>270</v>
      </c>
      <c r="H441" s="4" t="n">
        <f aca="false">G441/E441</f>
        <v>1.14406779661017</v>
      </c>
      <c r="I441" s="3" t="n">
        <v>3.9</v>
      </c>
      <c r="J441" s="4" t="n">
        <f aca="false">(F441-Assumptions!$B$17)/(Assumptions!$C$17-Assumptions!$B$17)</f>
        <v>0.818181818181818</v>
      </c>
      <c r="K441" s="4" t="n">
        <f aca="false">(H441-Assumptions!$B$18)/(Assumptions!$C$18-Assumptions!$B$18)</f>
        <v>0.00134400825794359</v>
      </c>
      <c r="L441" s="4" t="n">
        <f aca="false">(I441-Assumptions!$B$19)/(Assumptions!$C$19-Assumptions!$B$19)</f>
        <v>0.804878048780488</v>
      </c>
      <c r="M441" s="4" t="n">
        <f aca="false">0.4*J441+0.4*K441+0.2*L441</f>
        <v>0.488785940332002</v>
      </c>
    </row>
    <row r="442" customFormat="false" ht="15" hidden="false" customHeight="false" outlineLevel="0" collapsed="false">
      <c r="A442" s="3" t="s">
        <v>4</v>
      </c>
      <c r="B442" s="3" t="s">
        <v>378</v>
      </c>
      <c r="C442" s="3" t="s">
        <v>379</v>
      </c>
      <c r="D442" s="3" t="s">
        <v>590</v>
      </c>
      <c r="E442" s="3" t="n">
        <v>402.5</v>
      </c>
      <c r="F442" s="3" t="n">
        <v>6</v>
      </c>
      <c r="G442" s="3" t="n">
        <v>350</v>
      </c>
      <c r="H442" s="4" t="n">
        <f aca="false">G442/E442</f>
        <v>0.869565217391304</v>
      </c>
      <c r="I442" s="3" t="n">
        <v>2.5</v>
      </c>
      <c r="J442" s="4" t="n">
        <f aca="false">(F442-Assumptions!$B$17)/(Assumptions!$C$17-Assumptions!$B$17)</f>
        <v>0.454545454545455</v>
      </c>
      <c r="K442" s="4" t="n">
        <f aca="false">(H442-Assumptions!$B$18)/(Assumptions!$C$18-Assumptions!$B$18)</f>
        <v>0.00100340861207268</v>
      </c>
      <c r="L442" s="4" t="n">
        <f aca="false">(I442-Assumptions!$B$19)/(Assumptions!$C$19-Assumptions!$B$19)</f>
        <v>0.463414634146341</v>
      </c>
      <c r="M442" s="4" t="n">
        <f aca="false">0.4*J442+0.4*K442+0.2*L442</f>
        <v>0.274902472092279</v>
      </c>
    </row>
    <row r="443" customFormat="false" ht="15" hidden="false" customHeight="false" outlineLevel="0" collapsed="false">
      <c r="A443" s="3" t="s">
        <v>4</v>
      </c>
      <c r="B443" s="3" t="s">
        <v>381</v>
      </c>
      <c r="C443" s="3" t="s">
        <v>382</v>
      </c>
      <c r="D443" s="3" t="s">
        <v>591</v>
      </c>
      <c r="E443" s="3" t="n">
        <v>65</v>
      </c>
      <c r="F443" s="3" t="n">
        <v>5</v>
      </c>
      <c r="G443" s="3" t="n">
        <v>386</v>
      </c>
      <c r="H443" s="4" t="n">
        <f aca="false">G443/E443</f>
        <v>5.93846153846154</v>
      </c>
      <c r="I443" s="3" t="n">
        <v>2.5</v>
      </c>
      <c r="J443" s="4" t="n">
        <f aca="false">(F443-Assumptions!$B$17)/(Assumptions!$C$17-Assumptions!$B$17)</f>
        <v>0.363636363636364</v>
      </c>
      <c r="K443" s="4" t="n">
        <f aca="false">(H443-Assumptions!$B$18)/(Assumptions!$C$18-Assumptions!$B$18)</f>
        <v>0.00729283691845044</v>
      </c>
      <c r="L443" s="4" t="n">
        <f aca="false">(I443-Assumptions!$B$19)/(Assumptions!$C$19-Assumptions!$B$19)</f>
        <v>0.463414634146341</v>
      </c>
      <c r="M443" s="4" t="n">
        <f aca="false">0.4*J443+0.4*K443+0.2*L443</f>
        <v>0.241054607051194</v>
      </c>
    </row>
    <row r="444" customFormat="false" ht="15" hidden="false" customHeight="false" outlineLevel="0" collapsed="false">
      <c r="A444" s="3" t="s">
        <v>4</v>
      </c>
      <c r="B444" s="3" t="s">
        <v>384</v>
      </c>
      <c r="C444" s="3" t="s">
        <v>385</v>
      </c>
      <c r="D444" s="3" t="s">
        <v>592</v>
      </c>
      <c r="E444" s="3" t="n">
        <v>663</v>
      </c>
      <c r="F444" s="3" t="n">
        <v>10</v>
      </c>
      <c r="G444" s="3" t="n">
        <v>270</v>
      </c>
      <c r="H444" s="4" t="n">
        <f aca="false">G444/E444</f>
        <v>0.407239819004525</v>
      </c>
      <c r="I444" s="3" t="n">
        <v>3.9</v>
      </c>
      <c r="J444" s="4" t="n">
        <f aca="false">(F444-Assumptions!$B$17)/(Assumptions!$C$17-Assumptions!$B$17)</f>
        <v>0.818181818181818</v>
      </c>
      <c r="K444" s="4" t="n">
        <f aca="false">(H444-Assumptions!$B$18)/(Assumptions!$C$18-Assumptions!$B$18)</f>
        <v>0.000429760570528753</v>
      </c>
      <c r="L444" s="4" t="n">
        <f aca="false">(I444-Assumptions!$B$19)/(Assumptions!$C$19-Assumptions!$B$19)</f>
        <v>0.804878048780488</v>
      </c>
      <c r="M444" s="4" t="n">
        <f aca="false">0.4*J444+0.4*K444+0.2*L444</f>
        <v>0.488420241257036</v>
      </c>
    </row>
    <row r="445" customFormat="false" ht="15" hidden="false" customHeight="false" outlineLevel="0" collapsed="false">
      <c r="A445" s="3" t="s">
        <v>4</v>
      </c>
      <c r="B445" s="3" t="s">
        <v>387</v>
      </c>
      <c r="C445" s="3" t="s">
        <v>388</v>
      </c>
      <c r="D445" s="3" t="s">
        <v>593</v>
      </c>
      <c r="E445" s="3" t="n">
        <v>4.5</v>
      </c>
      <c r="F445" s="3" t="n">
        <v>3</v>
      </c>
      <c r="G445" s="3" t="n">
        <v>610</v>
      </c>
      <c r="H445" s="4" t="n">
        <f aca="false">G445/E445</f>
        <v>135.555555555556</v>
      </c>
      <c r="I445" s="3" t="n">
        <v>2.6</v>
      </c>
      <c r="J445" s="4" t="n">
        <f aca="false">(F445-Assumptions!$B$17)/(Assumptions!$C$17-Assumptions!$B$17)</f>
        <v>0.181818181818182</v>
      </c>
      <c r="K445" s="4" t="n">
        <f aca="false">(H445-Assumptions!$B$18)/(Assumptions!$C$18-Assumptions!$B$18)</f>
        <v>0.168120237690659</v>
      </c>
      <c r="L445" s="4" t="n">
        <f aca="false">(I445-Assumptions!$B$19)/(Assumptions!$C$19-Assumptions!$B$19)</f>
        <v>0.48780487804878</v>
      </c>
      <c r="M445" s="4" t="n">
        <f aca="false">0.4*J445+0.4*K445+0.2*L445</f>
        <v>0.237536343413293</v>
      </c>
    </row>
    <row r="446" customFormat="false" ht="15" hidden="false" customHeight="false" outlineLevel="0" collapsed="false">
      <c r="A446" s="3" t="s">
        <v>4</v>
      </c>
      <c r="B446" s="3" t="s">
        <v>390</v>
      </c>
      <c r="C446" s="3" t="s">
        <v>391</v>
      </c>
      <c r="D446" s="3" t="s">
        <v>594</v>
      </c>
      <c r="E446" s="3" t="n">
        <v>29.5</v>
      </c>
      <c r="F446" s="3" t="n">
        <v>3</v>
      </c>
      <c r="G446" s="3" t="n">
        <v>770</v>
      </c>
      <c r="H446" s="4" t="n">
        <f aca="false">G446/E446</f>
        <v>26.1016949152542</v>
      </c>
      <c r="I446" s="3" t="n">
        <v>1.7</v>
      </c>
      <c r="J446" s="4" t="n">
        <f aca="false">(F446-Assumptions!$B$17)/(Assumptions!$C$17-Assumptions!$B$17)</f>
        <v>0.181818181818182</v>
      </c>
      <c r="K446" s="4" t="n">
        <f aca="false">(H446-Assumptions!$B$18)/(Assumptions!$C$18-Assumptions!$B$18)</f>
        <v>0.0323111451882328</v>
      </c>
      <c r="L446" s="4" t="n">
        <f aca="false">(I446-Assumptions!$B$19)/(Assumptions!$C$19-Assumptions!$B$19)</f>
        <v>0.268292682926829</v>
      </c>
      <c r="M446" s="4" t="n">
        <f aca="false">0.4*J446+0.4*K446+0.2*L446</f>
        <v>0.139310267387932</v>
      </c>
    </row>
    <row r="447" customFormat="false" ht="15" hidden="false" customHeight="false" outlineLevel="0" collapsed="false">
      <c r="A447" s="3" t="s">
        <v>4</v>
      </c>
      <c r="B447" s="3" t="s">
        <v>393</v>
      </c>
      <c r="C447" s="3" t="s">
        <v>391</v>
      </c>
      <c r="D447" s="3" t="s">
        <v>594</v>
      </c>
      <c r="E447" s="3" t="n">
        <v>19.5</v>
      </c>
      <c r="F447" s="3" t="n">
        <v>3</v>
      </c>
      <c r="G447" s="3" t="n">
        <v>770</v>
      </c>
      <c r="H447" s="4" t="n">
        <f aca="false">G447/E447</f>
        <v>39.4871794871795</v>
      </c>
      <c r="I447" s="3" t="n">
        <v>1.7</v>
      </c>
      <c r="J447" s="4" t="n">
        <f aca="false">(F447-Assumptions!$B$17)/(Assumptions!$C$17-Assumptions!$B$17)</f>
        <v>0.181818181818182</v>
      </c>
      <c r="K447" s="4" t="n">
        <f aca="false">(H447-Assumptions!$B$18)/(Assumptions!$C$18-Assumptions!$B$18)</f>
        <v>0.0489197006268799</v>
      </c>
      <c r="L447" s="4" t="n">
        <f aca="false">(I447-Assumptions!$B$19)/(Assumptions!$C$19-Assumptions!$B$19)</f>
        <v>0.268292682926829</v>
      </c>
      <c r="M447" s="4" t="n">
        <f aca="false">0.4*J447+0.4*K447+0.2*L447</f>
        <v>0.145953689563391</v>
      </c>
    </row>
    <row r="448" customFormat="false" ht="15" hidden="false" customHeight="false" outlineLevel="0" collapsed="false">
      <c r="A448" s="3" t="s">
        <v>4</v>
      </c>
      <c r="B448" s="3" t="s">
        <v>394</v>
      </c>
      <c r="C448" s="3" t="s">
        <v>391</v>
      </c>
      <c r="D448" s="3" t="s">
        <v>594</v>
      </c>
      <c r="E448" s="3" t="n">
        <v>4</v>
      </c>
      <c r="F448" s="3" t="n">
        <v>3</v>
      </c>
      <c r="G448" s="3" t="n">
        <v>770</v>
      </c>
      <c r="H448" s="4" t="n">
        <f aca="false">G448/E448</f>
        <v>192.5</v>
      </c>
      <c r="I448" s="3" t="n">
        <v>1.7</v>
      </c>
      <c r="J448" s="4" t="n">
        <f aca="false">(F448-Assumptions!$B$17)/(Assumptions!$C$17-Assumptions!$B$17)</f>
        <v>0.181818181818182</v>
      </c>
      <c r="K448" s="4" t="n">
        <f aca="false">(H448-Assumptions!$B$18)/(Assumptions!$C$18-Assumptions!$B$18)</f>
        <v>0.238776249984915</v>
      </c>
      <c r="L448" s="4" t="n">
        <f aca="false">(I448-Assumptions!$B$19)/(Assumptions!$C$19-Assumptions!$B$19)</f>
        <v>0.268292682926829</v>
      </c>
      <c r="M448" s="4" t="n">
        <f aca="false">0.4*J448+0.4*K448+0.2*L448</f>
        <v>0.221896309306604</v>
      </c>
    </row>
    <row r="449" customFormat="false" ht="15" hidden="false" customHeight="false" outlineLevel="0" collapsed="false">
      <c r="A449" s="3" t="s">
        <v>4</v>
      </c>
      <c r="B449" s="3" t="s">
        <v>395</v>
      </c>
      <c r="C449" s="3" t="s">
        <v>391</v>
      </c>
      <c r="D449" s="3" t="s">
        <v>594</v>
      </c>
      <c r="E449" s="3" t="n">
        <v>6</v>
      </c>
      <c r="F449" s="3" t="n">
        <v>3</v>
      </c>
      <c r="G449" s="3" t="n">
        <v>770</v>
      </c>
      <c r="H449" s="4" t="n">
        <f aca="false">G449/E449</f>
        <v>128.333333333333</v>
      </c>
      <c r="I449" s="3" t="n">
        <v>1.7</v>
      </c>
      <c r="J449" s="4" t="n">
        <f aca="false">(F449-Assumptions!$B$17)/(Assumptions!$C$17-Assumptions!$B$17)</f>
        <v>0.181818181818182</v>
      </c>
      <c r="K449" s="4" t="n">
        <f aca="false">(H449-Assumptions!$B$18)/(Assumptions!$C$18-Assumptions!$B$18)</f>
        <v>0.1591589873509</v>
      </c>
      <c r="L449" s="4" t="n">
        <f aca="false">(I449-Assumptions!$B$19)/(Assumptions!$C$19-Assumptions!$B$19)</f>
        <v>0.268292682926829</v>
      </c>
      <c r="M449" s="4" t="n">
        <f aca="false">0.4*J449+0.4*K449+0.2*L449</f>
        <v>0.190049404252999</v>
      </c>
    </row>
    <row r="450" customFormat="false" ht="15" hidden="false" customHeight="false" outlineLevel="0" collapsed="false">
      <c r="A450" s="3" t="s">
        <v>4</v>
      </c>
      <c r="B450" s="3" t="s">
        <v>396</v>
      </c>
      <c r="C450" s="3" t="s">
        <v>391</v>
      </c>
      <c r="D450" s="3" t="s">
        <v>594</v>
      </c>
      <c r="E450" s="3" t="n">
        <v>29.5</v>
      </c>
      <c r="F450" s="3" t="n">
        <v>3</v>
      </c>
      <c r="G450" s="3" t="n">
        <v>770</v>
      </c>
      <c r="H450" s="4" t="n">
        <f aca="false">G450/E450</f>
        <v>26.1016949152542</v>
      </c>
      <c r="I450" s="3" t="n">
        <v>1.7</v>
      </c>
      <c r="J450" s="4" t="n">
        <f aca="false">(F450-Assumptions!$B$17)/(Assumptions!$C$17-Assumptions!$B$17)</f>
        <v>0.181818181818182</v>
      </c>
      <c r="K450" s="4" t="n">
        <f aca="false">(H450-Assumptions!$B$18)/(Assumptions!$C$18-Assumptions!$B$18)</f>
        <v>0.0323111451882328</v>
      </c>
      <c r="L450" s="4" t="n">
        <f aca="false">(I450-Assumptions!$B$19)/(Assumptions!$C$19-Assumptions!$B$19)</f>
        <v>0.268292682926829</v>
      </c>
      <c r="M450" s="4" t="n">
        <f aca="false">0.4*J450+0.4*K450+0.2*L450</f>
        <v>0.139310267387932</v>
      </c>
    </row>
    <row r="451" customFormat="false" ht="15" hidden="false" customHeight="false" outlineLevel="0" collapsed="false">
      <c r="A451" s="3" t="s">
        <v>4</v>
      </c>
      <c r="B451" s="3" t="s">
        <v>397</v>
      </c>
      <c r="C451" s="3" t="s">
        <v>391</v>
      </c>
      <c r="D451" s="3" t="s">
        <v>594</v>
      </c>
      <c r="E451" s="3" t="n">
        <v>411</v>
      </c>
      <c r="F451" s="3" t="n">
        <v>3</v>
      </c>
      <c r="G451" s="3" t="n">
        <v>770</v>
      </c>
      <c r="H451" s="4" t="n">
        <f aca="false">G451/E451</f>
        <v>1.87347931873479</v>
      </c>
      <c r="I451" s="3" t="n">
        <v>1.7</v>
      </c>
      <c r="J451" s="4" t="n">
        <f aca="false">(F451-Assumptions!$B$17)/(Assumptions!$C$17-Assumptions!$B$17)</f>
        <v>0.181818181818182</v>
      </c>
      <c r="K451" s="4" t="n">
        <f aca="false">(H451-Assumptions!$B$18)/(Assumptions!$C$18-Assumptions!$B$18)</f>
        <v>0.00224905369262316</v>
      </c>
      <c r="L451" s="4" t="n">
        <f aca="false">(I451-Assumptions!$B$19)/(Assumptions!$C$19-Assumptions!$B$19)</f>
        <v>0.268292682926829</v>
      </c>
      <c r="M451" s="4" t="n">
        <f aca="false">0.4*J451+0.4*K451+0.2*L451</f>
        <v>0.127285430789688</v>
      </c>
    </row>
    <row r="452" customFormat="false" ht="15" hidden="false" customHeight="false" outlineLevel="0" collapsed="false">
      <c r="A452" s="3" t="s">
        <v>4</v>
      </c>
      <c r="B452" s="3" t="s">
        <v>401</v>
      </c>
      <c r="C452" s="3" t="s">
        <v>402</v>
      </c>
      <c r="D452" s="3" t="s">
        <v>595</v>
      </c>
      <c r="E452" s="3" t="n">
        <v>6.5</v>
      </c>
      <c r="F452" s="3" t="n">
        <v>2</v>
      </c>
      <c r="G452" s="3" t="n">
        <v>770</v>
      </c>
      <c r="H452" s="4" t="n">
        <f aca="false">G452/E452</f>
        <v>118.461538461538</v>
      </c>
      <c r="I452" s="3" t="n">
        <v>1.7</v>
      </c>
      <c r="J452" s="4" t="n">
        <f aca="false">(F452-Assumptions!$B$17)/(Assumptions!$C$17-Assumptions!$B$17)</f>
        <v>0.0909090909090909</v>
      </c>
      <c r="K452" s="4" t="n">
        <f aca="false">(H452-Assumptions!$B$18)/(Assumptions!$C$18-Assumptions!$B$18)</f>
        <v>0.146910177714898</v>
      </c>
      <c r="L452" s="4" t="n">
        <f aca="false">(I452-Assumptions!$B$19)/(Assumptions!$C$19-Assumptions!$B$19)</f>
        <v>0.268292682926829</v>
      </c>
      <c r="M452" s="4" t="n">
        <f aca="false">0.4*J452+0.4*K452+0.2*L452</f>
        <v>0.148786244034961</v>
      </c>
    </row>
    <row r="453" customFormat="false" ht="15" hidden="false" customHeight="false" outlineLevel="0" collapsed="false">
      <c r="A453" s="3" t="s">
        <v>4</v>
      </c>
      <c r="B453" s="3" t="s">
        <v>404</v>
      </c>
      <c r="C453" s="3" t="s">
        <v>402</v>
      </c>
      <c r="D453" s="3" t="s">
        <v>595</v>
      </c>
      <c r="E453" s="3" t="n">
        <v>27.5</v>
      </c>
      <c r="F453" s="3" t="n">
        <v>2</v>
      </c>
      <c r="G453" s="3" t="n">
        <v>770</v>
      </c>
      <c r="H453" s="4" t="n">
        <f aca="false">G453/E453</f>
        <v>28</v>
      </c>
      <c r="I453" s="3" t="n">
        <v>1.7</v>
      </c>
      <c r="J453" s="4" t="n">
        <f aca="false">(F453-Assumptions!$B$17)/(Assumptions!$C$17-Assumptions!$B$17)</f>
        <v>0.0909090909090909</v>
      </c>
      <c r="K453" s="4" t="n">
        <f aca="false">(H453-Assumptions!$B$18)/(Assumptions!$C$18-Assumptions!$B$18)</f>
        <v>0.0346665403231682</v>
      </c>
      <c r="L453" s="4" t="n">
        <f aca="false">(I453-Assumptions!$B$19)/(Assumptions!$C$19-Assumptions!$B$19)</f>
        <v>0.268292682926829</v>
      </c>
      <c r="M453" s="4" t="n">
        <f aca="false">0.4*J453+0.4*K453+0.2*L453</f>
        <v>0.103888789078269</v>
      </c>
    </row>
    <row r="454" customFormat="false" ht="15" hidden="false" customHeight="false" outlineLevel="0" collapsed="false">
      <c r="A454" s="3" t="s">
        <v>4</v>
      </c>
      <c r="B454" s="3" t="s">
        <v>405</v>
      </c>
      <c r="C454" s="3" t="s">
        <v>402</v>
      </c>
      <c r="D454" s="3" t="s">
        <v>595</v>
      </c>
      <c r="E454" s="3" t="n">
        <v>8</v>
      </c>
      <c r="F454" s="3" t="n">
        <v>2</v>
      </c>
      <c r="G454" s="3" t="n">
        <v>770</v>
      </c>
      <c r="H454" s="4" t="n">
        <f aca="false">G454/E454</f>
        <v>96.25</v>
      </c>
      <c r="I454" s="3" t="n">
        <v>1.7</v>
      </c>
      <c r="J454" s="4" t="n">
        <f aca="false">(F454-Assumptions!$B$17)/(Assumptions!$C$17-Assumptions!$B$17)</f>
        <v>0.0909090909090909</v>
      </c>
      <c r="K454" s="4" t="n">
        <f aca="false">(H454-Assumptions!$B$18)/(Assumptions!$C$18-Assumptions!$B$18)</f>
        <v>0.119350356033893</v>
      </c>
      <c r="L454" s="4" t="n">
        <f aca="false">(I454-Assumptions!$B$19)/(Assumptions!$C$19-Assumptions!$B$19)</f>
        <v>0.268292682926829</v>
      </c>
      <c r="M454" s="4" t="n">
        <f aca="false">0.4*J454+0.4*K454+0.2*L454</f>
        <v>0.137762315362559</v>
      </c>
    </row>
    <row r="455" customFormat="false" ht="15" hidden="false" customHeight="false" outlineLevel="0" collapsed="false">
      <c r="A455" s="3" t="s">
        <v>4</v>
      </c>
      <c r="B455" s="3" t="s">
        <v>406</v>
      </c>
      <c r="C455" s="3" t="s">
        <v>402</v>
      </c>
      <c r="D455" s="3" t="s">
        <v>595</v>
      </c>
      <c r="E455" s="3" t="n">
        <v>5</v>
      </c>
      <c r="F455" s="3" t="n">
        <v>2</v>
      </c>
      <c r="G455" s="3" t="n">
        <v>770</v>
      </c>
      <c r="H455" s="4" t="n">
        <f aca="false">G455/E455</f>
        <v>154</v>
      </c>
      <c r="I455" s="3" t="n">
        <v>1.7</v>
      </c>
      <c r="J455" s="4" t="n">
        <f aca="false">(F455-Assumptions!$B$17)/(Assumptions!$C$17-Assumptions!$B$17)</f>
        <v>0.0909090909090909</v>
      </c>
      <c r="K455" s="4" t="n">
        <f aca="false">(H455-Assumptions!$B$18)/(Assumptions!$C$18-Assumptions!$B$18)</f>
        <v>0.191005892404506</v>
      </c>
      <c r="L455" s="4" t="n">
        <f aca="false">(I455-Assumptions!$B$19)/(Assumptions!$C$19-Assumptions!$B$19)</f>
        <v>0.268292682926829</v>
      </c>
      <c r="M455" s="4" t="n">
        <f aca="false">0.4*J455+0.4*K455+0.2*L455</f>
        <v>0.166424529910805</v>
      </c>
    </row>
    <row r="456" customFormat="false" ht="15" hidden="false" customHeight="false" outlineLevel="0" collapsed="false">
      <c r="A456" s="3" t="s">
        <v>4</v>
      </c>
      <c r="B456" s="3" t="s">
        <v>407</v>
      </c>
      <c r="C456" s="3" t="s">
        <v>402</v>
      </c>
      <c r="D456" s="3" t="s">
        <v>595</v>
      </c>
      <c r="E456" s="3" t="n">
        <v>1</v>
      </c>
      <c r="F456" s="3" t="n">
        <v>2</v>
      </c>
      <c r="G456" s="3" t="n">
        <v>770</v>
      </c>
      <c r="H456" s="4" t="n">
        <f aca="false">G456/E456</f>
        <v>770</v>
      </c>
      <c r="I456" s="3" t="n">
        <v>1.7</v>
      </c>
      <c r="J456" s="4" t="n">
        <f aca="false">(F456-Assumptions!$B$17)/(Assumptions!$C$17-Assumptions!$B$17)</f>
        <v>0.0909090909090909</v>
      </c>
      <c r="K456" s="4" t="n">
        <f aca="false">(H456-Assumptions!$B$18)/(Assumptions!$C$18-Assumptions!$B$18)</f>
        <v>0.955331613691046</v>
      </c>
      <c r="L456" s="4" t="n">
        <f aca="false">(I456-Assumptions!$B$19)/(Assumptions!$C$19-Assumptions!$B$19)</f>
        <v>0.268292682926829</v>
      </c>
      <c r="M456" s="4" t="n">
        <f aca="false">0.4*J456+0.4*K456+0.2*L456</f>
        <v>0.472154818425421</v>
      </c>
    </row>
    <row r="457" customFormat="false" ht="15" hidden="false" customHeight="false" outlineLevel="0" collapsed="false">
      <c r="A457" s="3" t="s">
        <v>4</v>
      </c>
      <c r="B457" s="3" t="s">
        <v>408</v>
      </c>
      <c r="C457" s="3" t="s">
        <v>409</v>
      </c>
      <c r="D457" s="3" t="s">
        <v>596</v>
      </c>
      <c r="E457" s="3" t="n">
        <v>3.5</v>
      </c>
      <c r="F457" s="3" t="n">
        <v>6</v>
      </c>
      <c r="G457" s="3" t="n">
        <v>386</v>
      </c>
      <c r="H457" s="4" t="n">
        <f aca="false">G457/E457</f>
        <v>110.285714285714</v>
      </c>
      <c r="I457" s="3" t="n">
        <v>2.5</v>
      </c>
      <c r="J457" s="4" t="n">
        <f aca="false">(F457-Assumptions!$B$17)/(Assumptions!$C$17-Assumptions!$B$17)</f>
        <v>0.454545454545455</v>
      </c>
      <c r="K457" s="4" t="n">
        <f aca="false">(H457-Assumptions!$B$18)/(Assumptions!$C$18-Assumptions!$B$18)</f>
        <v>0.136765709029348</v>
      </c>
      <c r="L457" s="4" t="n">
        <f aca="false">(I457-Assumptions!$B$19)/(Assumptions!$C$19-Assumptions!$B$19)</f>
        <v>0.463414634146341</v>
      </c>
      <c r="M457" s="4" t="n">
        <f aca="false">0.4*J457+0.4*K457+0.2*L457</f>
        <v>0.329207392259189</v>
      </c>
    </row>
    <row r="458" customFormat="false" ht="15" hidden="false" customHeight="false" outlineLevel="0" collapsed="false">
      <c r="A458" s="3" t="s">
        <v>4</v>
      </c>
      <c r="B458" s="3" t="s">
        <v>411</v>
      </c>
      <c r="C458" s="3" t="s">
        <v>409</v>
      </c>
      <c r="D458" s="3" t="s">
        <v>596</v>
      </c>
      <c r="E458" s="3" t="n">
        <v>40.5</v>
      </c>
      <c r="F458" s="3" t="n">
        <v>6</v>
      </c>
      <c r="G458" s="3" t="n">
        <v>386</v>
      </c>
      <c r="H458" s="4" t="n">
        <f aca="false">G458/E458</f>
        <v>9.53086419753086</v>
      </c>
      <c r="I458" s="3" t="n">
        <v>2.5</v>
      </c>
      <c r="J458" s="4" t="n">
        <f aca="false">(F458-Assumptions!$B$17)/(Assumptions!$C$17-Assumptions!$B$17)</f>
        <v>0.454545454545455</v>
      </c>
      <c r="K458" s="4" t="n">
        <f aca="false">(H458-Assumptions!$B$18)/(Assumptions!$C$18-Assumptions!$B$18)</f>
        <v>0.0117502488560232</v>
      </c>
      <c r="L458" s="4" t="n">
        <f aca="false">(I458-Assumptions!$B$19)/(Assumptions!$C$19-Assumptions!$B$19)</f>
        <v>0.463414634146341</v>
      </c>
      <c r="M458" s="4" t="n">
        <f aca="false">0.4*J458+0.4*K458+0.2*L458</f>
        <v>0.279201208189859</v>
      </c>
    </row>
    <row r="459" customFormat="false" ht="15" hidden="false" customHeight="false" outlineLevel="0" collapsed="false">
      <c r="A459" s="3" t="s">
        <v>4</v>
      </c>
      <c r="B459" s="3" t="s">
        <v>412</v>
      </c>
      <c r="C459" s="3" t="s">
        <v>409</v>
      </c>
      <c r="D459" s="3" t="s">
        <v>596</v>
      </c>
      <c r="E459" s="3" t="n">
        <v>20.5</v>
      </c>
      <c r="F459" s="3" t="n">
        <v>6</v>
      </c>
      <c r="G459" s="3" t="n">
        <v>386</v>
      </c>
      <c r="H459" s="4" t="n">
        <f aca="false">G459/E459</f>
        <v>18.8292682926829</v>
      </c>
      <c r="I459" s="3" t="n">
        <v>2.5</v>
      </c>
      <c r="J459" s="4" t="n">
        <f aca="false">(F459-Assumptions!$B$17)/(Assumptions!$C$17-Assumptions!$B$17)</f>
        <v>0.454545454545455</v>
      </c>
      <c r="K459" s="4" t="n">
        <f aca="false">(H459-Assumptions!$B$18)/(Assumptions!$C$18-Assumptions!$B$18)</f>
        <v>0.0232876018054402</v>
      </c>
      <c r="L459" s="4" t="n">
        <f aca="false">(I459-Assumptions!$B$19)/(Assumptions!$C$19-Assumptions!$B$19)</f>
        <v>0.463414634146341</v>
      </c>
      <c r="M459" s="4" t="n">
        <f aca="false">0.4*J459+0.4*K459+0.2*L459</f>
        <v>0.283816149369626</v>
      </c>
    </row>
    <row r="460" customFormat="false" ht="15" hidden="false" customHeight="false" outlineLevel="0" collapsed="false">
      <c r="A460" s="3" t="s">
        <v>4</v>
      </c>
      <c r="B460" s="3" t="s">
        <v>413</v>
      </c>
      <c r="C460" s="3" t="s">
        <v>409</v>
      </c>
      <c r="D460" s="3" t="s">
        <v>596</v>
      </c>
      <c r="E460" s="3" t="n">
        <v>7</v>
      </c>
      <c r="F460" s="3" t="n">
        <v>6</v>
      </c>
      <c r="G460" s="3" t="n">
        <v>386</v>
      </c>
      <c r="H460" s="4" t="n">
        <f aca="false">G460/E460</f>
        <v>55.1428571428571</v>
      </c>
      <c r="I460" s="3" t="n">
        <v>2.5</v>
      </c>
      <c r="J460" s="4" t="n">
        <f aca="false">(F460-Assumptions!$B$17)/(Assumptions!$C$17-Assumptions!$B$17)</f>
        <v>0.454545454545455</v>
      </c>
      <c r="K460" s="4" t="n">
        <f aca="false">(H460-Assumptions!$B$18)/(Assumptions!$C$18-Assumptions!$B$18)</f>
        <v>0.0683450855561095</v>
      </c>
      <c r="L460" s="4" t="n">
        <f aca="false">(I460-Assumptions!$B$19)/(Assumptions!$C$19-Assumptions!$B$19)</f>
        <v>0.463414634146341</v>
      </c>
      <c r="M460" s="4" t="n">
        <f aca="false">0.4*J460+0.4*K460+0.2*L460</f>
        <v>0.301839142869894</v>
      </c>
    </row>
    <row r="461" customFormat="false" ht="15" hidden="false" customHeight="false" outlineLevel="0" collapsed="false">
      <c r="A461" s="3" t="s">
        <v>4</v>
      </c>
      <c r="B461" s="3" t="s">
        <v>414</v>
      </c>
      <c r="C461" s="3" t="s">
        <v>415</v>
      </c>
      <c r="D461" s="3" t="s">
        <v>597</v>
      </c>
      <c r="E461" s="3" t="n">
        <v>165.5</v>
      </c>
      <c r="F461" s="3" t="n">
        <v>2</v>
      </c>
      <c r="G461" s="3" t="n">
        <v>770</v>
      </c>
      <c r="H461" s="4" t="n">
        <f aca="false">G461/E461</f>
        <v>4.65256797583082</v>
      </c>
      <c r="I461" s="3" t="n">
        <v>1.7</v>
      </c>
      <c r="J461" s="4" t="n">
        <f aca="false">(F461-Assumptions!$B$17)/(Assumptions!$C$17-Assumptions!$B$17)</f>
        <v>0.0909090909090909</v>
      </c>
      <c r="K461" s="4" t="n">
        <f aca="false">(H461-Assumptions!$B$18)/(Assumptions!$C$18-Assumptions!$B$18)</f>
        <v>0.00569731496267861</v>
      </c>
      <c r="L461" s="4" t="n">
        <f aca="false">(I461-Assumptions!$B$19)/(Assumptions!$C$19-Assumptions!$B$19)</f>
        <v>0.268292682926829</v>
      </c>
      <c r="M461" s="4" t="n">
        <f aca="false">0.4*J461+0.4*K461+0.2*L461</f>
        <v>0.0923010989340737</v>
      </c>
    </row>
    <row r="462" customFormat="false" ht="15" hidden="false" customHeight="false" outlineLevel="0" collapsed="false">
      <c r="A462" s="3" t="s">
        <v>4</v>
      </c>
      <c r="B462" s="3" t="s">
        <v>417</v>
      </c>
      <c r="C462" s="3" t="s">
        <v>415</v>
      </c>
      <c r="D462" s="3" t="s">
        <v>597</v>
      </c>
      <c r="E462" s="3" t="n">
        <v>762</v>
      </c>
      <c r="F462" s="3" t="n">
        <v>2</v>
      </c>
      <c r="G462" s="3" t="n">
        <v>770</v>
      </c>
      <c r="H462" s="4" t="n">
        <f aca="false">G462/E462</f>
        <v>1.01049868766404</v>
      </c>
      <c r="I462" s="3" t="n">
        <v>1.7</v>
      </c>
      <c r="J462" s="4" t="n">
        <f aca="false">(F462-Assumptions!$B$17)/(Assumptions!$C$17-Assumptions!$B$17)</f>
        <v>0.0909090909090909</v>
      </c>
      <c r="K462" s="4" t="n">
        <f aca="false">(H462-Assumptions!$B$18)/(Assumptions!$C$18-Assumptions!$B$18)</f>
        <v>0.00117827724246169</v>
      </c>
      <c r="L462" s="4" t="n">
        <f aca="false">(I462-Assumptions!$B$19)/(Assumptions!$C$19-Assumptions!$B$19)</f>
        <v>0.268292682926829</v>
      </c>
      <c r="M462" s="4" t="n">
        <f aca="false">0.4*J462+0.4*K462+0.2*L462</f>
        <v>0.0904934838459869</v>
      </c>
    </row>
    <row r="463" customFormat="false" ht="15" hidden="false" customHeight="false" outlineLevel="0" collapsed="false">
      <c r="A463" s="3" t="s">
        <v>4</v>
      </c>
      <c r="B463" s="3" t="s">
        <v>418</v>
      </c>
      <c r="C463" s="3" t="s">
        <v>415</v>
      </c>
      <c r="D463" s="3" t="s">
        <v>597</v>
      </c>
      <c r="E463" s="3" t="n">
        <v>152</v>
      </c>
      <c r="F463" s="3" t="n">
        <v>2</v>
      </c>
      <c r="G463" s="3" t="n">
        <v>770</v>
      </c>
      <c r="H463" s="4" t="n">
        <f aca="false">G463/E463</f>
        <v>5.06578947368421</v>
      </c>
      <c r="I463" s="3" t="n">
        <v>1.7</v>
      </c>
      <c r="J463" s="4" t="n">
        <f aca="false">(F463-Assumptions!$B$17)/(Assumptions!$C$17-Assumptions!$B$17)</f>
        <v>0.0909090909090909</v>
      </c>
      <c r="K463" s="4" t="n">
        <f aca="false">(H463-Assumptions!$B$18)/(Assumptions!$C$18-Assumptions!$B$18)</f>
        <v>0.00621003544871417</v>
      </c>
      <c r="L463" s="4" t="n">
        <f aca="false">(I463-Assumptions!$B$19)/(Assumptions!$C$19-Assumptions!$B$19)</f>
        <v>0.268292682926829</v>
      </c>
      <c r="M463" s="4" t="n">
        <f aca="false">0.4*J463+0.4*K463+0.2*L463</f>
        <v>0.0925061871284879</v>
      </c>
    </row>
    <row r="464" customFormat="false" ht="15" hidden="false" customHeight="false" outlineLevel="0" collapsed="false">
      <c r="A464" s="3" t="s">
        <v>4</v>
      </c>
      <c r="B464" s="3" t="s">
        <v>419</v>
      </c>
      <c r="C464" s="3" t="s">
        <v>420</v>
      </c>
      <c r="D464" s="3" t="s">
        <v>598</v>
      </c>
      <c r="E464" s="3" t="n">
        <v>32</v>
      </c>
      <c r="F464" s="3" t="n">
        <v>5</v>
      </c>
      <c r="G464" s="3" t="n">
        <v>350</v>
      </c>
      <c r="H464" s="4" t="n">
        <f aca="false">G464/E464</f>
        <v>10.9375</v>
      </c>
      <c r="I464" s="3" t="n">
        <v>2.5</v>
      </c>
      <c r="J464" s="4" t="n">
        <f aca="false">(F464-Assumptions!$B$17)/(Assumptions!$C$17-Assumptions!$B$17)</f>
        <v>0.363636363636364</v>
      </c>
      <c r="K464" s="4" t="n">
        <f aca="false">(H464-Assumptions!$B$18)/(Assumptions!$C$18-Assumptions!$B$18)</f>
        <v>0.013495586395487</v>
      </c>
      <c r="L464" s="4" t="n">
        <f aca="false">(I464-Assumptions!$B$19)/(Assumptions!$C$19-Assumptions!$B$19)</f>
        <v>0.463414634146341</v>
      </c>
      <c r="M464" s="4" t="n">
        <f aca="false">0.4*J464+0.4*K464+0.2*L464</f>
        <v>0.243535706842009</v>
      </c>
    </row>
    <row r="465" customFormat="false" ht="15" hidden="false" customHeight="false" outlineLevel="0" collapsed="false">
      <c r="A465" s="3" t="s">
        <v>4</v>
      </c>
      <c r="B465" s="3" t="s">
        <v>422</v>
      </c>
      <c r="C465" s="3" t="s">
        <v>423</v>
      </c>
      <c r="D465" s="3" t="s">
        <v>599</v>
      </c>
      <c r="E465" s="3" t="n">
        <v>839.5</v>
      </c>
      <c r="F465" s="3" t="n">
        <v>10</v>
      </c>
      <c r="G465" s="3" t="n">
        <v>306</v>
      </c>
      <c r="H465" s="4" t="n">
        <f aca="false">G465/E465</f>
        <v>0.364502680166766</v>
      </c>
      <c r="I465" s="3" t="n">
        <v>3.9</v>
      </c>
      <c r="J465" s="4" t="n">
        <f aca="false">(F465-Assumptions!$B$17)/(Assumptions!$C$17-Assumptions!$B$17)</f>
        <v>0.818181818181818</v>
      </c>
      <c r="K465" s="4" t="n">
        <f aca="false">(H465-Assumptions!$B$18)/(Assumptions!$C$18-Assumptions!$B$18)</f>
        <v>0.000376732819769186</v>
      </c>
      <c r="L465" s="4" t="n">
        <f aca="false">(I465-Assumptions!$B$19)/(Assumptions!$C$19-Assumptions!$B$19)</f>
        <v>0.804878048780488</v>
      </c>
      <c r="M465" s="4" t="n">
        <f aca="false">0.4*J465+0.4*K465+0.2*L465</f>
        <v>0.488399030156733</v>
      </c>
    </row>
    <row r="466" customFormat="false" ht="15" hidden="false" customHeight="false" outlineLevel="0" collapsed="false">
      <c r="A466" s="3" t="s">
        <v>4</v>
      </c>
      <c r="B466" s="3" t="s">
        <v>425</v>
      </c>
      <c r="C466" s="3" t="s">
        <v>426</v>
      </c>
      <c r="D466" s="3" t="s">
        <v>600</v>
      </c>
      <c r="E466" s="3" t="n">
        <v>78</v>
      </c>
      <c r="F466" s="3" t="n">
        <v>5</v>
      </c>
      <c r="G466" s="3" t="n">
        <v>350</v>
      </c>
      <c r="H466" s="4" t="n">
        <f aca="false">G466/E466</f>
        <v>4.48717948717949</v>
      </c>
      <c r="I466" s="3" t="n">
        <v>2.5</v>
      </c>
      <c r="J466" s="4" t="n">
        <f aca="false">(F466-Assumptions!$B$17)/(Assumptions!$C$17-Assumptions!$B$17)</f>
        <v>0.363636363636364</v>
      </c>
      <c r="K466" s="4" t="n">
        <f aca="false">(H466-Assumptions!$B$18)/(Assumptions!$C$18-Assumptions!$B$18)</f>
        <v>0.00549210282650829</v>
      </c>
      <c r="L466" s="4" t="n">
        <f aca="false">(I466-Assumptions!$B$19)/(Assumptions!$C$19-Assumptions!$B$19)</f>
        <v>0.463414634146341</v>
      </c>
      <c r="M466" s="4" t="n">
        <f aca="false">0.4*J466+0.4*K466+0.2*L466</f>
        <v>0.240334313414417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5" hidden="false" customHeight="false" outlineLevel="0" collapsed="false">
      <c r="A1" s="2" t="s">
        <v>59</v>
      </c>
      <c r="B1" s="2" t="s">
        <v>60</v>
      </c>
      <c r="C1" s="2" t="s">
        <v>61</v>
      </c>
      <c r="D1" s="2" t="s">
        <v>62</v>
      </c>
      <c r="E1" s="2" t="s">
        <v>63</v>
      </c>
      <c r="F1" s="2" t="s">
        <v>64</v>
      </c>
      <c r="G1" s="2" t="s">
        <v>65</v>
      </c>
      <c r="H1" s="2" t="s">
        <v>66</v>
      </c>
      <c r="I1" s="2" t="s">
        <v>67</v>
      </c>
      <c r="J1" s="2" t="s">
        <v>68</v>
      </c>
      <c r="K1" s="2" t="s">
        <v>69</v>
      </c>
      <c r="L1" s="2" t="s">
        <v>70</v>
      </c>
      <c r="M1" s="2" t="s">
        <v>71</v>
      </c>
      <c r="O1" s="3" t="s">
        <v>601</v>
      </c>
    </row>
    <row r="2" customFormat="false" ht="15" hidden="false" customHeight="false" outlineLevel="0" collapsed="false">
      <c r="A2" s="3" t="s">
        <v>2</v>
      </c>
      <c r="B2" s="3" t="s">
        <v>72</v>
      </c>
      <c r="C2" s="3" t="s">
        <v>73</v>
      </c>
      <c r="D2" s="3" t="s">
        <v>74</v>
      </c>
      <c r="E2" s="3" t="n">
        <v>4</v>
      </c>
      <c r="F2" s="3" t="n">
        <v>2</v>
      </c>
      <c r="G2" s="3" t="n">
        <v>497</v>
      </c>
      <c r="H2" s="4" t="n">
        <f aca="false">G2/E2</f>
        <v>124.25</v>
      </c>
      <c r="I2" s="3" t="n">
        <v>1.2</v>
      </c>
      <c r="J2" s="4" t="n">
        <f aca="false">(F2-Assumptions!$B$17)/(Assumptions!$C$17-Assumptions!$B$17)</f>
        <v>0.0909090909090909</v>
      </c>
      <c r="K2" s="4" t="n">
        <f aca="false">(H2-Assumptions!$B$18)/(Assumptions!$C$18-Assumptions!$B$18)</f>
        <v>0.15409243427419</v>
      </c>
      <c r="L2" s="4" t="n">
        <f aca="false">(I2-Assumptions!$B$19)/(Assumptions!$C$19-Assumptions!$B$19)</f>
        <v>0.146341463414634</v>
      </c>
      <c r="M2" s="4" t="n">
        <f aca="false">0.4*J2+0.4*K2+0.2*L2</f>
        <v>0.127268902756239</v>
      </c>
    </row>
    <row r="3" customFormat="false" ht="15" hidden="false" customHeight="false" outlineLevel="0" collapsed="false">
      <c r="A3" s="3" t="s">
        <v>2</v>
      </c>
      <c r="B3" s="3" t="s">
        <v>75</v>
      </c>
      <c r="C3" s="3" t="s">
        <v>73</v>
      </c>
      <c r="D3" s="3" t="s">
        <v>74</v>
      </c>
      <c r="E3" s="3" t="n">
        <v>1</v>
      </c>
      <c r="F3" s="3" t="n">
        <v>2</v>
      </c>
      <c r="G3" s="3" t="n">
        <v>497</v>
      </c>
      <c r="H3" s="4" t="n">
        <f aca="false">G3/E3</f>
        <v>497</v>
      </c>
      <c r="I3" s="3" t="n">
        <v>1.2</v>
      </c>
      <c r="J3" s="4" t="n">
        <f aca="false">(F3-Assumptions!$B$17)/(Assumptions!$C$17-Assumptions!$B$17)</f>
        <v>0.0909090909090909</v>
      </c>
      <c r="K3" s="4" t="n">
        <f aca="false">(H3-Assumptions!$B$18)/(Assumptions!$C$18-Assumptions!$B$18)</f>
        <v>0.616596350848148</v>
      </c>
      <c r="L3" s="4" t="n">
        <f aca="false">(I3-Assumptions!$B$19)/(Assumptions!$C$19-Assumptions!$B$19)</f>
        <v>0.146341463414634</v>
      </c>
      <c r="M3" s="4" t="n">
        <f aca="false">0.4*J3+0.4*K3+0.2*L3</f>
        <v>0.312270469385822</v>
      </c>
    </row>
    <row r="4" customFormat="false" ht="15" hidden="false" customHeight="false" outlineLevel="0" collapsed="false">
      <c r="A4" s="3" t="s">
        <v>2</v>
      </c>
      <c r="B4" s="3" t="s">
        <v>76</v>
      </c>
      <c r="C4" s="3" t="s">
        <v>77</v>
      </c>
      <c r="D4" s="3" t="s">
        <v>78</v>
      </c>
      <c r="E4" s="3" t="n">
        <v>1063.5</v>
      </c>
      <c r="F4" s="3" t="n">
        <v>4</v>
      </c>
      <c r="G4" s="3" t="n">
        <v>249</v>
      </c>
      <c r="H4" s="4" t="n">
        <f aca="false">G4/E4</f>
        <v>0.234132581100141</v>
      </c>
      <c r="I4" s="3" t="n">
        <v>1.8</v>
      </c>
      <c r="J4" s="4" t="n">
        <f aca="false">(F4-Assumptions!$B$17)/(Assumptions!$C$17-Assumptions!$B$17)</f>
        <v>0.272727272727273</v>
      </c>
      <c r="K4" s="4" t="n">
        <f aca="false">(H4-Assumptions!$B$18)/(Assumptions!$C$18-Assumptions!$B$18)</f>
        <v>0.000214971098984615</v>
      </c>
      <c r="L4" s="4" t="n">
        <f aca="false">(I4-Assumptions!$B$19)/(Assumptions!$C$19-Assumptions!$B$19)</f>
        <v>0.292682926829268</v>
      </c>
      <c r="M4" s="4" t="n">
        <f aca="false">0.4*J4+0.4*K4+0.2*L4</f>
        <v>0.167713482896357</v>
      </c>
    </row>
    <row r="5" customFormat="false" ht="15" hidden="false" customHeight="false" outlineLevel="0" collapsed="false">
      <c r="A5" s="3" t="s">
        <v>2</v>
      </c>
      <c r="B5" s="3" t="s">
        <v>79</v>
      </c>
      <c r="C5" s="3" t="s">
        <v>77</v>
      </c>
      <c r="D5" s="3" t="s">
        <v>78</v>
      </c>
      <c r="E5" s="3" t="n">
        <v>36</v>
      </c>
      <c r="F5" s="3" t="n">
        <v>4</v>
      </c>
      <c r="G5" s="3" t="n">
        <v>249</v>
      </c>
      <c r="H5" s="4" t="n">
        <f aca="false">G5/E5</f>
        <v>6.91666666666667</v>
      </c>
      <c r="I5" s="3" t="n">
        <v>1.8</v>
      </c>
      <c r="J5" s="4" t="n">
        <f aca="false">(F5-Assumptions!$B$17)/(Assumptions!$C$17-Assumptions!$B$17)</f>
        <v>0.272727272727273</v>
      </c>
      <c r="K5" s="4" t="n">
        <f aca="false">(H5-Assumptions!$B$18)/(Assumptions!$C$18-Assumptions!$B$18)</f>
        <v>0.00850658260056339</v>
      </c>
      <c r="L5" s="4" t="n">
        <f aca="false">(I5-Assumptions!$B$19)/(Assumptions!$C$19-Assumptions!$B$19)</f>
        <v>0.292682926829268</v>
      </c>
      <c r="M5" s="4" t="n">
        <f aca="false">0.4*J5+0.4*K5+0.2*L5</f>
        <v>0.171030127496988</v>
      </c>
    </row>
    <row r="6" customFormat="false" ht="15" hidden="false" customHeight="false" outlineLevel="0" collapsed="false">
      <c r="A6" s="3" t="s">
        <v>2</v>
      </c>
      <c r="B6" s="3" t="s">
        <v>80</v>
      </c>
      <c r="C6" s="3" t="s">
        <v>81</v>
      </c>
      <c r="D6" s="3" t="s">
        <v>602</v>
      </c>
      <c r="E6" s="3" t="n">
        <v>2113.5</v>
      </c>
      <c r="F6" s="3" t="n">
        <v>10</v>
      </c>
      <c r="G6" s="3" t="n">
        <v>181</v>
      </c>
      <c r="H6" s="4" t="n">
        <f aca="false">G6/E6</f>
        <v>0.0856399337591673</v>
      </c>
      <c r="I6" s="3" t="n">
        <v>2.9</v>
      </c>
      <c r="J6" s="4" t="n">
        <f aca="false">(F6-Assumptions!$B$17)/(Assumptions!$C$17-Assumptions!$B$17)</f>
        <v>0.818181818181818</v>
      </c>
      <c r="K6" s="4" t="n">
        <f aca="false">(H6-Assumptions!$B$18)/(Assumptions!$C$18-Assumptions!$B$18)</f>
        <v>3.07231285550081E-005</v>
      </c>
      <c r="L6" s="4" t="n">
        <f aca="false">(I6-Assumptions!$B$19)/(Assumptions!$C$19-Assumptions!$B$19)</f>
        <v>0.560975609756097</v>
      </c>
      <c r="M6" s="4" t="n">
        <f aca="false">0.4*J6+0.4*K6+0.2*L6</f>
        <v>0.439480138475369</v>
      </c>
    </row>
    <row r="7" customFormat="false" ht="15" hidden="false" customHeight="false" outlineLevel="0" collapsed="false">
      <c r="A7" s="3" t="s">
        <v>2</v>
      </c>
      <c r="B7" s="3" t="s">
        <v>83</v>
      </c>
      <c r="C7" s="3" t="s">
        <v>81</v>
      </c>
      <c r="D7" s="3" t="s">
        <v>602</v>
      </c>
      <c r="E7" s="3" t="n">
        <v>4.5</v>
      </c>
      <c r="F7" s="3" t="n">
        <v>10</v>
      </c>
      <c r="G7" s="3" t="n">
        <v>181</v>
      </c>
      <c r="H7" s="4" t="n">
        <f aca="false">G7/E7</f>
        <v>40.2222222222222</v>
      </c>
      <c r="I7" s="3" t="n">
        <v>2.9</v>
      </c>
      <c r="J7" s="4" t="n">
        <f aca="false">(F7-Assumptions!$B$17)/(Assumptions!$C$17-Assumptions!$B$17)</f>
        <v>0.818181818181818</v>
      </c>
      <c r="K7" s="4" t="n">
        <f aca="false">(H7-Assumptions!$B$18)/(Assumptions!$C$18-Assumptions!$B$18)</f>
        <v>0.0498317332058376</v>
      </c>
      <c r="L7" s="4" t="n">
        <f aca="false">(I7-Assumptions!$B$19)/(Assumptions!$C$19-Assumptions!$B$19)</f>
        <v>0.560975609756097</v>
      </c>
      <c r="M7" s="4" t="n">
        <f aca="false">0.4*J7+0.4*K7+0.2*L7</f>
        <v>0.459400542506282</v>
      </c>
    </row>
    <row r="8" customFormat="false" ht="15" hidden="false" customHeight="false" outlineLevel="0" collapsed="false">
      <c r="A8" s="3" t="s">
        <v>2</v>
      </c>
      <c r="B8" s="3" t="s">
        <v>84</v>
      </c>
      <c r="C8" s="3" t="s">
        <v>85</v>
      </c>
      <c r="D8" s="3" t="s">
        <v>603</v>
      </c>
      <c r="E8" s="3" t="n">
        <v>208</v>
      </c>
      <c r="F8" s="3" t="n">
        <v>4</v>
      </c>
      <c r="G8" s="3" t="n">
        <v>533</v>
      </c>
      <c r="H8" s="4" t="n">
        <f aca="false">G8/E8</f>
        <v>2.5625</v>
      </c>
      <c r="I8" s="3" t="n">
        <v>1.7</v>
      </c>
      <c r="J8" s="4" t="n">
        <f aca="false">(F8-Assumptions!$B$17)/(Assumptions!$C$17-Assumptions!$B$17)</f>
        <v>0.272727272727273</v>
      </c>
      <c r="K8" s="4" t="n">
        <f aca="false">(H8-Assumptions!$B$18)/(Assumptions!$C$18-Assumptions!$B$18)</f>
        <v>0.0031039826361124</v>
      </c>
      <c r="L8" s="4" t="n">
        <f aca="false">(I8-Assumptions!$B$19)/(Assumptions!$C$19-Assumptions!$B$19)</f>
        <v>0.268292682926829</v>
      </c>
      <c r="M8" s="4" t="n">
        <f aca="false">0.4*J8+0.4*K8+0.2*L8</f>
        <v>0.16399103873072</v>
      </c>
    </row>
    <row r="9" customFormat="false" ht="15" hidden="false" customHeight="false" outlineLevel="0" collapsed="false">
      <c r="A9" s="3" t="s">
        <v>2</v>
      </c>
      <c r="B9" s="3" t="s">
        <v>87</v>
      </c>
      <c r="C9" s="3" t="s">
        <v>85</v>
      </c>
      <c r="D9" s="3" t="s">
        <v>603</v>
      </c>
      <c r="E9" s="3" t="n">
        <v>168.5</v>
      </c>
      <c r="F9" s="3" t="n">
        <v>4</v>
      </c>
      <c r="G9" s="3" t="n">
        <v>533</v>
      </c>
      <c r="H9" s="4" t="n">
        <f aca="false">G9/E9</f>
        <v>3.16320474777448</v>
      </c>
      <c r="I9" s="3" t="n">
        <v>1.7</v>
      </c>
      <c r="J9" s="4" t="n">
        <f aca="false">(F9-Assumptions!$B$17)/(Assumptions!$C$17-Assumptions!$B$17)</f>
        <v>0.272727272727273</v>
      </c>
      <c r="K9" s="4" t="n">
        <f aca="false">(H9-Assumptions!$B$18)/(Assumptions!$C$18-Assumptions!$B$18)</f>
        <v>0.00384933018420165</v>
      </c>
      <c r="L9" s="4" t="n">
        <f aca="false">(I9-Assumptions!$B$19)/(Assumptions!$C$19-Assumptions!$B$19)</f>
        <v>0.268292682926829</v>
      </c>
      <c r="M9" s="4" t="n">
        <f aca="false">0.4*J9+0.4*K9+0.2*L9</f>
        <v>0.164289177749956</v>
      </c>
    </row>
    <row r="10" customFormat="false" ht="15" hidden="false" customHeight="false" outlineLevel="0" collapsed="false">
      <c r="A10" s="3" t="s">
        <v>2</v>
      </c>
      <c r="B10" s="3" t="s">
        <v>88</v>
      </c>
      <c r="C10" s="3" t="s">
        <v>85</v>
      </c>
      <c r="D10" s="3" t="s">
        <v>603</v>
      </c>
      <c r="E10" s="3" t="n">
        <v>187</v>
      </c>
      <c r="F10" s="3" t="n">
        <v>4</v>
      </c>
      <c r="G10" s="3" t="n">
        <v>533</v>
      </c>
      <c r="H10" s="4" t="n">
        <f aca="false">G10/E10</f>
        <v>2.85026737967914</v>
      </c>
      <c r="I10" s="3" t="n">
        <v>1.7</v>
      </c>
      <c r="J10" s="4" t="n">
        <f aca="false">(F10-Assumptions!$B$17)/(Assumptions!$C$17-Assumptions!$B$17)</f>
        <v>0.272727272727273</v>
      </c>
      <c r="K10" s="4" t="n">
        <f aca="false">(H10-Assumptions!$B$18)/(Assumptions!$C$18-Assumptions!$B$18)</f>
        <v>0.00346104109396305</v>
      </c>
      <c r="L10" s="4" t="n">
        <f aca="false">(I10-Assumptions!$B$19)/(Assumptions!$C$19-Assumptions!$B$19)</f>
        <v>0.268292682926829</v>
      </c>
      <c r="M10" s="4" t="n">
        <f aca="false">0.4*J10+0.4*K10+0.2*L10</f>
        <v>0.16413386211386</v>
      </c>
    </row>
    <row r="11" customFormat="false" ht="15" hidden="false" customHeight="false" outlineLevel="0" collapsed="false">
      <c r="A11" s="3" t="s">
        <v>2</v>
      </c>
      <c r="B11" s="3" t="s">
        <v>89</v>
      </c>
      <c r="C11" s="3" t="s">
        <v>90</v>
      </c>
      <c r="D11" s="3" t="s">
        <v>91</v>
      </c>
      <c r="E11" s="3" t="n">
        <v>4</v>
      </c>
      <c r="F11" s="3" t="n">
        <v>2</v>
      </c>
      <c r="G11" s="3" t="n">
        <v>545</v>
      </c>
      <c r="H11" s="4" t="n">
        <f aca="false">G11/E11</f>
        <v>136.25</v>
      </c>
      <c r="I11" s="3" t="n">
        <v>1.8</v>
      </c>
      <c r="J11" s="4" t="n">
        <f aca="false">(F11-Assumptions!$B$17)/(Assumptions!$C$17-Assumptions!$B$17)</f>
        <v>0.0909090909090909</v>
      </c>
      <c r="K11" s="4" t="n">
        <f aca="false">(H11-Assumptions!$B$18)/(Assumptions!$C$18-Assumptions!$B$18)</f>
        <v>0.168981896377175</v>
      </c>
      <c r="L11" s="4" t="n">
        <f aca="false">(I11-Assumptions!$B$19)/(Assumptions!$C$19-Assumptions!$B$19)</f>
        <v>0.292682926829268</v>
      </c>
      <c r="M11" s="4" t="n">
        <f aca="false">0.4*J11+0.4*K11+0.2*L11</f>
        <v>0.16249298028036</v>
      </c>
    </row>
    <row r="12" customFormat="false" ht="15" hidden="false" customHeight="false" outlineLevel="0" collapsed="false">
      <c r="A12" s="3" t="s">
        <v>2</v>
      </c>
      <c r="B12" s="3" t="s">
        <v>92</v>
      </c>
      <c r="C12" s="3" t="s">
        <v>90</v>
      </c>
      <c r="D12" s="3" t="s">
        <v>91</v>
      </c>
      <c r="E12" s="3" t="n">
        <v>1395</v>
      </c>
      <c r="F12" s="3" t="n">
        <v>2</v>
      </c>
      <c r="G12" s="3" t="n">
        <v>545</v>
      </c>
      <c r="H12" s="4" t="n">
        <f aca="false">G12/E12</f>
        <v>0.390681003584229</v>
      </c>
      <c r="I12" s="3" t="n">
        <v>1.8</v>
      </c>
      <c r="J12" s="4" t="n">
        <f aca="false">(F12-Assumptions!$B$17)/(Assumptions!$C$17-Assumptions!$B$17)</f>
        <v>0.0909090909090909</v>
      </c>
      <c r="K12" s="4" t="n">
        <f aca="false">(H12-Assumptions!$B$18)/(Assumptions!$C$18-Assumptions!$B$18)</f>
        <v>0.000409214582639519</v>
      </c>
      <c r="L12" s="4" t="n">
        <f aca="false">(I12-Assumptions!$B$19)/(Assumptions!$C$19-Assumptions!$B$19)</f>
        <v>0.292682926829268</v>
      </c>
      <c r="M12" s="4" t="n">
        <f aca="false">0.4*J12+0.4*K12+0.2*L12</f>
        <v>0.0950639075625458</v>
      </c>
    </row>
    <row r="13" customFormat="false" ht="15" hidden="false" customHeight="false" outlineLevel="0" collapsed="false">
      <c r="A13" s="3" t="s">
        <v>2</v>
      </c>
      <c r="B13" s="3" t="s">
        <v>93</v>
      </c>
      <c r="C13" s="3" t="s">
        <v>90</v>
      </c>
      <c r="D13" s="3" t="s">
        <v>91</v>
      </c>
      <c r="E13" s="3" t="n">
        <v>518.5</v>
      </c>
      <c r="F13" s="3" t="n">
        <v>2</v>
      </c>
      <c r="G13" s="3" t="n">
        <v>545</v>
      </c>
      <c r="H13" s="4" t="n">
        <f aca="false">G13/E13</f>
        <v>1.05110896817743</v>
      </c>
      <c r="I13" s="3" t="n">
        <v>1.8</v>
      </c>
      <c r="J13" s="4" t="n">
        <f aca="false">(F13-Assumptions!$B$17)/(Assumptions!$C$17-Assumptions!$B$17)</f>
        <v>0.0909090909090909</v>
      </c>
      <c r="K13" s="4" t="n">
        <f aca="false">(H13-Assumptions!$B$18)/(Assumptions!$C$18-Assumptions!$B$18)</f>
        <v>0.001228666011853</v>
      </c>
      <c r="L13" s="4" t="n">
        <f aca="false">(I13-Assumptions!$B$19)/(Assumptions!$C$19-Assumptions!$B$19)</f>
        <v>0.292682926829268</v>
      </c>
      <c r="M13" s="4" t="n">
        <f aca="false">0.4*J13+0.4*K13+0.2*L13</f>
        <v>0.0953916881342312</v>
      </c>
    </row>
    <row r="14" customFormat="false" ht="15" hidden="false" customHeight="false" outlineLevel="0" collapsed="false">
      <c r="A14" s="3" t="s">
        <v>2</v>
      </c>
      <c r="B14" s="3" t="s">
        <v>94</v>
      </c>
      <c r="C14" s="3" t="s">
        <v>90</v>
      </c>
      <c r="D14" s="3" t="s">
        <v>91</v>
      </c>
      <c r="E14" s="3" t="n">
        <v>451</v>
      </c>
      <c r="F14" s="3" t="n">
        <v>2</v>
      </c>
      <c r="G14" s="3" t="n">
        <v>545</v>
      </c>
      <c r="H14" s="4" t="n">
        <f aca="false">G14/E14</f>
        <v>1.20842572062084</v>
      </c>
      <c r="I14" s="3" t="n">
        <v>1.8</v>
      </c>
      <c r="J14" s="4" t="n">
        <f aca="false">(F14-Assumptions!$B$17)/(Assumptions!$C$17-Assumptions!$B$17)</f>
        <v>0.0909090909090909</v>
      </c>
      <c r="K14" s="4" t="n">
        <f aca="false">(H14-Assumptions!$B$18)/(Assumptions!$C$18-Assumptions!$B$18)</f>
        <v>0.00142386283049223</v>
      </c>
      <c r="L14" s="4" t="n">
        <f aca="false">(I14-Assumptions!$B$19)/(Assumptions!$C$19-Assumptions!$B$19)</f>
        <v>0.292682926829268</v>
      </c>
      <c r="M14" s="4" t="n">
        <f aca="false">0.4*J14+0.4*K14+0.2*L14</f>
        <v>0.0954697668616869</v>
      </c>
    </row>
    <row r="15" customFormat="false" ht="15" hidden="false" customHeight="false" outlineLevel="0" collapsed="false">
      <c r="A15" s="3" t="s">
        <v>2</v>
      </c>
      <c r="B15" s="3" t="s">
        <v>95</v>
      </c>
      <c r="C15" s="3" t="s">
        <v>90</v>
      </c>
      <c r="D15" s="3" t="s">
        <v>91</v>
      </c>
      <c r="E15" s="3" t="n">
        <v>3.5</v>
      </c>
      <c r="F15" s="3" t="n">
        <v>2</v>
      </c>
      <c r="G15" s="3" t="n">
        <v>545</v>
      </c>
      <c r="H15" s="4" t="n">
        <f aca="false">G15/E15</f>
        <v>155.714285714286</v>
      </c>
      <c r="I15" s="3" t="n">
        <v>1.8</v>
      </c>
      <c r="J15" s="4" t="n">
        <f aca="false">(F15-Assumptions!$B$17)/(Assumptions!$C$17-Assumptions!$B$17)</f>
        <v>0.0909090909090909</v>
      </c>
      <c r="K15" s="4" t="n">
        <f aca="false">(H15-Assumptions!$B$18)/(Assumptions!$C$18-Assumptions!$B$18)</f>
        <v>0.193132958419218</v>
      </c>
      <c r="L15" s="4" t="n">
        <f aca="false">(I15-Assumptions!$B$19)/(Assumptions!$C$19-Assumptions!$B$19)</f>
        <v>0.292682926829268</v>
      </c>
      <c r="M15" s="4" t="n">
        <f aca="false">0.4*J15+0.4*K15+0.2*L15</f>
        <v>0.172153405097177</v>
      </c>
    </row>
    <row r="16" customFormat="false" ht="15" hidden="false" customHeight="false" outlineLevel="0" collapsed="false">
      <c r="A16" s="3" t="s">
        <v>2</v>
      </c>
      <c r="B16" s="3" t="s">
        <v>96</v>
      </c>
      <c r="C16" s="3" t="s">
        <v>97</v>
      </c>
      <c r="D16" s="3" t="s">
        <v>98</v>
      </c>
      <c r="E16" s="3" t="n">
        <v>96</v>
      </c>
      <c r="F16" s="3" t="n">
        <v>4</v>
      </c>
      <c r="G16" s="3" t="n">
        <v>237</v>
      </c>
      <c r="H16" s="4" t="n">
        <f aca="false">G16/E16</f>
        <v>2.46875</v>
      </c>
      <c r="I16" s="3" t="n">
        <v>2</v>
      </c>
      <c r="J16" s="4" t="n">
        <f aca="false">(F16-Assumptions!$B$17)/(Assumptions!$C$17-Assumptions!$B$17)</f>
        <v>0.272727272727273</v>
      </c>
      <c r="K16" s="4" t="n">
        <f aca="false">(H16-Assumptions!$B$18)/(Assumptions!$C$18-Assumptions!$B$18)</f>
        <v>0.00298765871343283</v>
      </c>
      <c r="L16" s="4" t="n">
        <f aca="false">(I16-Assumptions!$B$19)/(Assumptions!$C$19-Assumptions!$B$19)</f>
        <v>0.341463414634146</v>
      </c>
      <c r="M16" s="4" t="n">
        <f aca="false">0.4*J16+0.4*K16+0.2*L16</f>
        <v>0.178578655503111</v>
      </c>
    </row>
    <row r="17" customFormat="false" ht="15" hidden="false" customHeight="false" outlineLevel="0" collapsed="false">
      <c r="A17" s="3" t="s">
        <v>2</v>
      </c>
      <c r="B17" s="3" t="s">
        <v>99</v>
      </c>
      <c r="C17" s="3" t="s">
        <v>100</v>
      </c>
      <c r="D17" s="3" t="s">
        <v>101</v>
      </c>
      <c r="E17" s="3" t="n">
        <v>265.5</v>
      </c>
      <c r="F17" s="3" t="n">
        <v>1</v>
      </c>
      <c r="G17" s="3" t="n">
        <v>681</v>
      </c>
      <c r="H17" s="4" t="n">
        <f aca="false">G17/E17</f>
        <v>2.56497175141243</v>
      </c>
      <c r="I17" s="3" t="n">
        <v>0.6</v>
      </c>
      <c r="J17" s="4" t="n">
        <f aca="false">(F17-Assumptions!$B$17)/(Assumptions!$C$17-Assumptions!$B$17)</f>
        <v>0</v>
      </c>
      <c r="K17" s="4" t="n">
        <f aca="false">(H17-Assumptions!$B$18)/(Assumptions!$C$18-Assumptions!$B$18)</f>
        <v>0.00310704955686101</v>
      </c>
      <c r="L17" s="4" t="n">
        <f aca="false">(I17-Assumptions!$B$19)/(Assumptions!$C$19-Assumptions!$B$19)</f>
        <v>0</v>
      </c>
      <c r="M17" s="4" t="n">
        <f aca="false">0.4*J17+0.4*K17+0.2*L17</f>
        <v>0.00124281982274441</v>
      </c>
    </row>
    <row r="18" customFormat="false" ht="15" hidden="false" customHeight="false" outlineLevel="0" collapsed="false">
      <c r="A18" s="3" t="s">
        <v>2</v>
      </c>
      <c r="B18" s="3" t="s">
        <v>102</v>
      </c>
      <c r="C18" s="3" t="s">
        <v>100</v>
      </c>
      <c r="D18" s="3" t="s">
        <v>101</v>
      </c>
      <c r="E18" s="3" t="n">
        <v>4</v>
      </c>
      <c r="F18" s="3" t="n">
        <v>1</v>
      </c>
      <c r="G18" s="3" t="n">
        <v>681</v>
      </c>
      <c r="H18" s="4" t="n">
        <f aca="false">G18/E18</f>
        <v>170.25</v>
      </c>
      <c r="I18" s="3" t="n">
        <v>0.6</v>
      </c>
      <c r="J18" s="4" t="n">
        <f aca="false">(F18-Assumptions!$B$17)/(Assumptions!$C$17-Assumptions!$B$17)</f>
        <v>0</v>
      </c>
      <c r="K18" s="4" t="n">
        <f aca="false">(H18-Assumptions!$B$18)/(Assumptions!$C$18-Assumptions!$B$18)</f>
        <v>0.211168705668964</v>
      </c>
      <c r="L18" s="4" t="n">
        <f aca="false">(I18-Assumptions!$B$19)/(Assumptions!$C$19-Assumptions!$B$19)</f>
        <v>0</v>
      </c>
      <c r="M18" s="4" t="n">
        <f aca="false">0.4*J18+0.4*K18+0.2*L18</f>
        <v>0.0844674822675857</v>
      </c>
    </row>
    <row r="19" customFormat="false" ht="15" hidden="false" customHeight="false" outlineLevel="0" collapsed="false">
      <c r="A19" s="3" t="s">
        <v>2</v>
      </c>
      <c r="B19" s="3" t="s">
        <v>103</v>
      </c>
      <c r="C19" s="3" t="s">
        <v>100</v>
      </c>
      <c r="D19" s="3" t="s">
        <v>101</v>
      </c>
      <c r="E19" s="3" t="n">
        <v>6.5</v>
      </c>
      <c r="F19" s="3" t="n">
        <v>1</v>
      </c>
      <c r="G19" s="3" t="n">
        <v>681</v>
      </c>
      <c r="H19" s="4" t="n">
        <f aca="false">G19/E19</f>
        <v>104.769230769231</v>
      </c>
      <c r="I19" s="3" t="n">
        <v>0.6</v>
      </c>
      <c r="J19" s="4" t="n">
        <f aca="false">(F19-Assumptions!$B$17)/(Assumptions!$C$17-Assumptions!$B$17)</f>
        <v>0</v>
      </c>
      <c r="K19" s="4" t="n">
        <f aca="false">(H19-Assumptions!$B$18)/(Assumptions!$C$18-Assumptions!$B$18)</f>
        <v>0.129920919674313</v>
      </c>
      <c r="L19" s="4" t="n">
        <f aca="false">(I19-Assumptions!$B$19)/(Assumptions!$C$19-Assumptions!$B$19)</f>
        <v>0</v>
      </c>
      <c r="M19" s="4" t="n">
        <f aca="false">0.4*J19+0.4*K19+0.2*L19</f>
        <v>0.0519683678697252</v>
      </c>
    </row>
    <row r="20" customFormat="false" ht="15" hidden="false" customHeight="false" outlineLevel="0" collapsed="false">
      <c r="A20" s="3" t="s">
        <v>2</v>
      </c>
      <c r="B20" s="3" t="s">
        <v>107</v>
      </c>
      <c r="C20" s="3" t="s">
        <v>108</v>
      </c>
      <c r="D20" s="3" t="s">
        <v>604</v>
      </c>
      <c r="E20" s="3" t="n">
        <v>334</v>
      </c>
      <c r="F20" s="3" t="n">
        <v>5</v>
      </c>
      <c r="G20" s="3" t="n">
        <v>225</v>
      </c>
      <c r="H20" s="4" t="n">
        <f aca="false">G20/E20</f>
        <v>0.673652694610779</v>
      </c>
      <c r="I20" s="3" t="n">
        <v>1.4</v>
      </c>
      <c r="J20" s="4" t="n">
        <f aca="false">(F20-Assumptions!$B$17)/(Assumptions!$C$17-Assumptions!$B$17)</f>
        <v>0.363636363636364</v>
      </c>
      <c r="K20" s="4" t="n">
        <f aca="false">(H20-Assumptions!$B$18)/(Assumptions!$C$18-Assumptions!$B$18)</f>
        <v>0.00076032260511929</v>
      </c>
      <c r="L20" s="4" t="n">
        <f aca="false">(I20-Assumptions!$B$19)/(Assumptions!$C$19-Assumptions!$B$19)</f>
        <v>0.195121951219512</v>
      </c>
      <c r="M20" s="4" t="n">
        <f aca="false">0.4*J20+0.4*K20+0.2*L20</f>
        <v>0.184783064740496</v>
      </c>
    </row>
    <row r="21" customFormat="false" ht="15" hidden="false" customHeight="false" outlineLevel="0" collapsed="false">
      <c r="A21" s="3" t="s">
        <v>2</v>
      </c>
      <c r="B21" s="3" t="s">
        <v>110</v>
      </c>
      <c r="C21" s="3" t="s">
        <v>111</v>
      </c>
      <c r="D21" s="3" t="s">
        <v>112</v>
      </c>
      <c r="E21" s="3" t="n">
        <v>12.5</v>
      </c>
      <c r="F21" s="3" t="n">
        <v>3</v>
      </c>
      <c r="G21" s="3" t="n">
        <v>657</v>
      </c>
      <c r="H21" s="4" t="n">
        <f aca="false">G21/E21</f>
        <v>52.56</v>
      </c>
      <c r="I21" s="3" t="n">
        <v>0.8</v>
      </c>
      <c r="J21" s="4" t="n">
        <f aca="false">(F21-Assumptions!$B$17)/(Assumptions!$C$17-Assumptions!$B$17)</f>
        <v>0.181818181818182</v>
      </c>
      <c r="K21" s="4" t="n">
        <f aca="false">(H21-Assumptions!$B$18)/(Assumptions!$C$18-Assumptions!$B$18)</f>
        <v>0.0651403060939432</v>
      </c>
      <c r="L21" s="4" t="n">
        <f aca="false">(I21-Assumptions!$B$19)/(Assumptions!$C$19-Assumptions!$B$19)</f>
        <v>0.0487804878048781</v>
      </c>
      <c r="M21" s="4" t="n">
        <f aca="false">0.4*J21+0.4*K21+0.2*L21</f>
        <v>0.108539492725826</v>
      </c>
    </row>
    <row r="22" customFormat="false" ht="15" hidden="false" customHeight="false" outlineLevel="0" collapsed="false">
      <c r="A22" s="3" t="s">
        <v>2</v>
      </c>
      <c r="B22" s="3" t="s">
        <v>113</v>
      </c>
      <c r="C22" s="3" t="s">
        <v>111</v>
      </c>
      <c r="D22" s="3" t="s">
        <v>112</v>
      </c>
      <c r="E22" s="3" t="n">
        <v>8.5</v>
      </c>
      <c r="F22" s="3" t="n">
        <v>3</v>
      </c>
      <c r="G22" s="3" t="n">
        <v>657</v>
      </c>
      <c r="H22" s="4" t="n">
        <f aca="false">G22/E22</f>
        <v>77.2941176470588</v>
      </c>
      <c r="I22" s="3" t="n">
        <v>0.8</v>
      </c>
      <c r="J22" s="4" t="n">
        <f aca="false">(F22-Assumptions!$B$17)/(Assumptions!$C$17-Assumptions!$B$17)</f>
        <v>0.181818181818182</v>
      </c>
      <c r="K22" s="4" t="n">
        <f aca="false">(H22-Assumptions!$B$18)/(Assumptions!$C$18-Assumptions!$B$18)</f>
        <v>0.0958301150403302</v>
      </c>
      <c r="L22" s="4" t="n">
        <f aca="false">(I22-Assumptions!$B$19)/(Assumptions!$C$19-Assumptions!$B$19)</f>
        <v>0.0487804878048781</v>
      </c>
      <c r="M22" s="4" t="n">
        <f aca="false">0.4*J22+0.4*K22+0.2*L22</f>
        <v>0.12081541630438</v>
      </c>
    </row>
    <row r="23" customFormat="false" ht="15" hidden="false" customHeight="false" outlineLevel="0" collapsed="false">
      <c r="A23" s="3" t="s">
        <v>2</v>
      </c>
      <c r="B23" s="3" t="s">
        <v>121</v>
      </c>
      <c r="C23" s="3" t="s">
        <v>122</v>
      </c>
      <c r="D23" s="3" t="s">
        <v>123</v>
      </c>
      <c r="E23" s="3" t="n">
        <v>6.5</v>
      </c>
      <c r="F23" s="3" t="n">
        <v>4</v>
      </c>
      <c r="G23" s="3" t="n">
        <v>273</v>
      </c>
      <c r="H23" s="4" t="n">
        <f aca="false">G23/E23</f>
        <v>42</v>
      </c>
      <c r="I23" s="3" t="n">
        <v>2</v>
      </c>
      <c r="J23" s="4" t="n">
        <f aca="false">(F23-Assumptions!$B$17)/(Assumptions!$C$17-Assumptions!$B$17)</f>
        <v>0.272727272727273</v>
      </c>
      <c r="K23" s="4" t="n">
        <f aca="false">(H23-Assumptions!$B$18)/(Assumptions!$C$18-Assumptions!$B$18)</f>
        <v>0.0520375794433168</v>
      </c>
      <c r="L23" s="4" t="n">
        <f aca="false">(I23-Assumptions!$B$19)/(Assumptions!$C$19-Assumptions!$B$19)</f>
        <v>0.341463414634146</v>
      </c>
      <c r="M23" s="4" t="n">
        <f aca="false">0.4*J23+0.4*K23+0.2*L23</f>
        <v>0.198198623795065</v>
      </c>
    </row>
    <row r="24" customFormat="false" ht="15" hidden="false" customHeight="false" outlineLevel="0" collapsed="false">
      <c r="A24" s="3" t="s">
        <v>2</v>
      </c>
      <c r="B24" s="3" t="s">
        <v>124</v>
      </c>
      <c r="C24" s="3" t="s">
        <v>125</v>
      </c>
      <c r="D24" s="3" t="s">
        <v>605</v>
      </c>
      <c r="E24" s="3" t="n">
        <v>4</v>
      </c>
      <c r="F24" s="3" t="n">
        <v>10</v>
      </c>
      <c r="G24" s="3" t="n">
        <v>145</v>
      </c>
      <c r="H24" s="4" t="n">
        <f aca="false">G24/E24</f>
        <v>36.25</v>
      </c>
      <c r="I24" s="3" t="n">
        <v>2.9</v>
      </c>
      <c r="J24" s="4" t="n">
        <f aca="false">(F24-Assumptions!$B$17)/(Assumptions!$C$17-Assumptions!$B$17)</f>
        <v>0.818181818181818</v>
      </c>
      <c r="K24" s="4" t="n">
        <f aca="false">(H24-Assumptions!$B$18)/(Assumptions!$C$18-Assumptions!$B$18)</f>
        <v>0.0449030455189701</v>
      </c>
      <c r="L24" s="4" t="n">
        <f aca="false">(I24-Assumptions!$B$19)/(Assumptions!$C$19-Assumptions!$B$19)</f>
        <v>0.560975609756097</v>
      </c>
      <c r="M24" s="4" t="n">
        <f aca="false">0.4*J24+0.4*K24+0.2*L24</f>
        <v>0.457429067431535</v>
      </c>
    </row>
    <row r="25" customFormat="false" ht="15" hidden="false" customHeight="false" outlineLevel="0" collapsed="false">
      <c r="A25" s="3" t="s">
        <v>2</v>
      </c>
      <c r="B25" s="3" t="s">
        <v>127</v>
      </c>
      <c r="C25" s="3" t="s">
        <v>128</v>
      </c>
      <c r="D25" s="3" t="s">
        <v>129</v>
      </c>
      <c r="E25" s="3" t="n">
        <v>152.5</v>
      </c>
      <c r="F25" s="3" t="n">
        <v>4</v>
      </c>
      <c r="G25" s="3" t="n">
        <v>557</v>
      </c>
      <c r="H25" s="4" t="n">
        <f aca="false">G25/E25</f>
        <v>3.65245901639344</v>
      </c>
      <c r="I25" s="3" t="n">
        <v>1.1</v>
      </c>
      <c r="J25" s="4" t="n">
        <f aca="false">(F25-Assumptions!$B$17)/(Assumptions!$C$17-Assumptions!$B$17)</f>
        <v>0.272727272727273</v>
      </c>
      <c r="K25" s="4" t="n">
        <f aca="false">(H25-Assumptions!$B$18)/(Assumptions!$C$18-Assumptions!$B$18)</f>
        <v>0.00445639125847877</v>
      </c>
      <c r="L25" s="4" t="n">
        <f aca="false">(I25-Assumptions!$B$19)/(Assumptions!$C$19-Assumptions!$B$19)</f>
        <v>0.121951219512195</v>
      </c>
      <c r="M25" s="4" t="n">
        <f aca="false">0.4*J25+0.4*K25+0.2*L25</f>
        <v>0.13526370949674</v>
      </c>
    </row>
    <row r="26" customFormat="false" ht="15" hidden="false" customHeight="false" outlineLevel="0" collapsed="false">
      <c r="A26" s="3" t="s">
        <v>2</v>
      </c>
      <c r="B26" s="3" t="s">
        <v>130</v>
      </c>
      <c r="C26" s="3" t="s">
        <v>131</v>
      </c>
      <c r="D26" s="3" t="s">
        <v>132</v>
      </c>
      <c r="E26" s="3" t="n">
        <v>2575</v>
      </c>
      <c r="F26" s="3" t="n">
        <v>2</v>
      </c>
      <c r="G26" s="3" t="n">
        <v>569</v>
      </c>
      <c r="H26" s="4" t="n">
        <f aca="false">G26/E26</f>
        <v>0.220970873786408</v>
      </c>
      <c r="I26" s="3" t="n">
        <v>1.2</v>
      </c>
      <c r="J26" s="4" t="n">
        <f aca="false">(F26-Assumptions!$B$17)/(Assumptions!$C$17-Assumptions!$B$17)</f>
        <v>0.0909090909090909</v>
      </c>
      <c r="K26" s="4" t="n">
        <f aca="false">(H26-Assumptions!$B$18)/(Assumptions!$C$18-Assumptions!$B$18)</f>
        <v>0.000198640203796414</v>
      </c>
      <c r="L26" s="4" t="n">
        <f aca="false">(I26-Assumptions!$B$19)/(Assumptions!$C$19-Assumptions!$B$19)</f>
        <v>0.146341463414634</v>
      </c>
      <c r="M26" s="4" t="n">
        <f aca="false">0.4*J26+0.4*K26+0.2*L26</f>
        <v>0.0657113851280818</v>
      </c>
    </row>
    <row r="27" customFormat="false" ht="15" hidden="false" customHeight="false" outlineLevel="0" collapsed="false">
      <c r="A27" s="3" t="s">
        <v>2</v>
      </c>
      <c r="B27" s="3" t="s">
        <v>133</v>
      </c>
      <c r="C27" s="3" t="s">
        <v>131</v>
      </c>
      <c r="D27" s="3" t="s">
        <v>132</v>
      </c>
      <c r="E27" s="3" t="n">
        <v>616</v>
      </c>
      <c r="F27" s="3" t="n">
        <v>2</v>
      </c>
      <c r="G27" s="3" t="n">
        <v>569</v>
      </c>
      <c r="H27" s="4" t="n">
        <f aca="false">G27/E27</f>
        <v>0.923701298701299</v>
      </c>
      <c r="I27" s="3" t="n">
        <v>1.2</v>
      </c>
      <c r="J27" s="4" t="n">
        <f aca="false">(F27-Assumptions!$B$17)/(Assumptions!$C$17-Assumptions!$B$17)</f>
        <v>0.0909090909090909</v>
      </c>
      <c r="K27" s="4" t="n">
        <f aca="false">(H27-Assumptions!$B$18)/(Assumptions!$C$18-Assumptions!$B$18)</f>
        <v>0.00107058003966179</v>
      </c>
      <c r="L27" s="4" t="n">
        <f aca="false">(I27-Assumptions!$B$19)/(Assumptions!$C$19-Assumptions!$B$19)</f>
        <v>0.146341463414634</v>
      </c>
      <c r="M27" s="4" t="n">
        <f aca="false">0.4*J27+0.4*K27+0.2*L27</f>
        <v>0.0660601610624279</v>
      </c>
    </row>
    <row r="28" customFormat="false" ht="15" hidden="false" customHeight="false" outlineLevel="0" collapsed="false">
      <c r="A28" s="3" t="s">
        <v>2</v>
      </c>
      <c r="B28" s="3" t="s">
        <v>134</v>
      </c>
      <c r="C28" s="3" t="s">
        <v>135</v>
      </c>
      <c r="D28" s="3" t="s">
        <v>136</v>
      </c>
      <c r="E28" s="3" t="n">
        <v>3.5</v>
      </c>
      <c r="F28" s="3" t="n">
        <v>2</v>
      </c>
      <c r="G28" s="3" t="n">
        <v>657</v>
      </c>
      <c r="H28" s="4" t="n">
        <f aca="false">G28/E28</f>
        <v>187.714285714286</v>
      </c>
      <c r="I28" s="3" t="n">
        <v>1.3</v>
      </c>
      <c r="J28" s="4" t="n">
        <f aca="false">(F28-Assumptions!$B$17)/(Assumptions!$C$17-Assumptions!$B$17)</f>
        <v>0.0909090909090909</v>
      </c>
      <c r="K28" s="4" t="n">
        <f aca="false">(H28-Assumptions!$B$18)/(Assumptions!$C$18-Assumptions!$B$18)</f>
        <v>0.232838190693844</v>
      </c>
      <c r="L28" s="4" t="n">
        <f aca="false">(I28-Assumptions!$B$19)/(Assumptions!$C$19-Assumptions!$B$19)</f>
        <v>0.170731707317073</v>
      </c>
      <c r="M28" s="4" t="n">
        <f aca="false">0.4*J28+0.4*K28+0.2*L28</f>
        <v>0.163645254104588</v>
      </c>
    </row>
    <row r="29" customFormat="false" ht="15" hidden="false" customHeight="false" outlineLevel="0" collapsed="false">
      <c r="A29" s="3" t="s">
        <v>2</v>
      </c>
      <c r="B29" s="3" t="s">
        <v>137</v>
      </c>
      <c r="C29" s="3" t="s">
        <v>135</v>
      </c>
      <c r="D29" s="3" t="s">
        <v>136</v>
      </c>
      <c r="E29" s="3" t="n">
        <v>20.5</v>
      </c>
      <c r="F29" s="3" t="n">
        <v>2</v>
      </c>
      <c r="G29" s="3" t="n">
        <v>657</v>
      </c>
      <c r="H29" s="4" t="n">
        <f aca="false">G29/E29</f>
        <v>32.0487804878049</v>
      </c>
      <c r="I29" s="3" t="n">
        <v>1.3</v>
      </c>
      <c r="J29" s="4" t="n">
        <f aca="false">(F29-Assumptions!$B$17)/(Assumptions!$C$17-Assumptions!$B$17)</f>
        <v>0.0909090909090909</v>
      </c>
      <c r="K29" s="4" t="n">
        <f aca="false">(H29-Assumptions!$B$18)/(Assumptions!$C$18-Assumptions!$B$18)</f>
        <v>0.0396902206262077</v>
      </c>
      <c r="L29" s="4" t="n">
        <f aca="false">(I29-Assumptions!$B$19)/(Assumptions!$C$19-Assumptions!$B$19)</f>
        <v>0.170731707317073</v>
      </c>
      <c r="M29" s="4" t="n">
        <f aca="false">0.4*J29+0.4*K29+0.2*L29</f>
        <v>0.0863860660775341</v>
      </c>
    </row>
    <row r="30" customFormat="false" ht="15" hidden="false" customHeight="false" outlineLevel="0" collapsed="false">
      <c r="A30" s="3" t="s">
        <v>2</v>
      </c>
      <c r="B30" s="3" t="s">
        <v>138</v>
      </c>
      <c r="C30" s="3" t="s">
        <v>139</v>
      </c>
      <c r="D30" s="3" t="s">
        <v>606</v>
      </c>
      <c r="E30" s="3" t="n">
        <v>115</v>
      </c>
      <c r="F30" s="3" t="n">
        <v>6</v>
      </c>
      <c r="G30" s="3" t="n">
        <v>249</v>
      </c>
      <c r="H30" s="4" t="n">
        <f aca="false">G30/E30</f>
        <v>2.16521739130435</v>
      </c>
      <c r="I30" s="3" t="n">
        <v>2.2</v>
      </c>
      <c r="J30" s="4" t="n">
        <f aca="false">(F30-Assumptions!$B$17)/(Assumptions!$C$17-Assumptions!$B$17)</f>
        <v>0.454545454545455</v>
      </c>
      <c r="K30" s="4" t="n">
        <f aca="false">(H30-Assumptions!$B$18)/(Assumptions!$C$18-Assumptions!$B$18)</f>
        <v>0.00261103894058334</v>
      </c>
      <c r="L30" s="4" t="n">
        <f aca="false">(I30-Assumptions!$B$19)/(Assumptions!$C$19-Assumptions!$B$19)</f>
        <v>0.390243902439024</v>
      </c>
      <c r="M30" s="4" t="n">
        <f aca="false">0.4*J30+0.4*K30+0.2*L30</f>
        <v>0.26091137788222</v>
      </c>
    </row>
    <row r="31" customFormat="false" ht="15" hidden="false" customHeight="false" outlineLevel="0" collapsed="false">
      <c r="A31" s="3" t="s">
        <v>2</v>
      </c>
      <c r="B31" s="3" t="s">
        <v>141</v>
      </c>
      <c r="C31" s="3" t="s">
        <v>139</v>
      </c>
      <c r="D31" s="3" t="s">
        <v>606</v>
      </c>
      <c r="E31" s="3" t="n">
        <v>1</v>
      </c>
      <c r="F31" s="3" t="n">
        <v>6</v>
      </c>
      <c r="G31" s="3" t="n">
        <v>249</v>
      </c>
      <c r="H31" s="4" t="n">
        <f aca="false">G31/E31</f>
        <v>249</v>
      </c>
      <c r="I31" s="3" t="n">
        <v>2.2</v>
      </c>
      <c r="J31" s="4" t="n">
        <f aca="false">(F31-Assumptions!$B$17)/(Assumptions!$C$17-Assumptions!$B$17)</f>
        <v>0.454545454545455</v>
      </c>
      <c r="K31" s="4" t="n">
        <f aca="false">(H31-Assumptions!$B$18)/(Assumptions!$C$18-Assumptions!$B$18)</f>
        <v>0.3088808007198</v>
      </c>
      <c r="L31" s="4" t="n">
        <f aca="false">(I31-Assumptions!$B$19)/(Assumptions!$C$19-Assumptions!$B$19)</f>
        <v>0.390243902439024</v>
      </c>
      <c r="M31" s="4" t="n">
        <f aca="false">0.4*J31+0.4*K31+0.2*L31</f>
        <v>0.383419282593907</v>
      </c>
    </row>
    <row r="32" customFormat="false" ht="15" hidden="false" customHeight="false" outlineLevel="0" collapsed="false">
      <c r="A32" s="3" t="s">
        <v>2</v>
      </c>
      <c r="B32" s="3" t="s">
        <v>142</v>
      </c>
      <c r="C32" s="3" t="s">
        <v>139</v>
      </c>
      <c r="D32" s="3" t="s">
        <v>606</v>
      </c>
      <c r="E32" s="3" t="n">
        <v>241</v>
      </c>
      <c r="F32" s="3" t="n">
        <v>6</v>
      </c>
      <c r="G32" s="3" t="n">
        <v>249</v>
      </c>
      <c r="H32" s="4" t="n">
        <f aca="false">G32/E32</f>
        <v>1.03319502074689</v>
      </c>
      <c r="I32" s="3" t="n">
        <v>2.2</v>
      </c>
      <c r="J32" s="4" t="n">
        <f aca="false">(F32-Assumptions!$B$17)/(Assumptions!$C$17-Assumptions!$B$17)</f>
        <v>0.454545454545455</v>
      </c>
      <c r="K32" s="4" t="n">
        <f aca="false">(H32-Assumptions!$B$18)/(Assumptions!$C$18-Assumptions!$B$18)</f>
        <v>0.00120643859173783</v>
      </c>
      <c r="L32" s="4" t="n">
        <f aca="false">(I32-Assumptions!$B$19)/(Assumptions!$C$19-Assumptions!$B$19)</f>
        <v>0.390243902439024</v>
      </c>
      <c r="M32" s="4" t="n">
        <f aca="false">0.4*J32+0.4*K32+0.2*L32</f>
        <v>0.260349537742682</v>
      </c>
    </row>
    <row r="33" customFormat="false" ht="15" hidden="false" customHeight="false" outlineLevel="0" collapsed="false">
      <c r="A33" s="3" t="s">
        <v>2</v>
      </c>
      <c r="B33" s="3" t="s">
        <v>143</v>
      </c>
      <c r="C33" s="3" t="s">
        <v>144</v>
      </c>
      <c r="D33" s="3" t="s">
        <v>145</v>
      </c>
      <c r="E33" s="3" t="n">
        <v>78</v>
      </c>
      <c r="F33" s="3" t="n">
        <v>1</v>
      </c>
      <c r="G33" s="3" t="n">
        <v>645</v>
      </c>
      <c r="H33" s="4" t="n">
        <f aca="false">G33/E33</f>
        <v>8.26923076923077</v>
      </c>
      <c r="I33" s="3" t="n">
        <v>0.6</v>
      </c>
      <c r="J33" s="4" t="n">
        <f aca="false">(F33-Assumptions!$B$17)/(Assumptions!$C$17-Assumptions!$B$17)</f>
        <v>0</v>
      </c>
      <c r="K33" s="4" t="n">
        <f aca="false">(H33-Assumptions!$B$18)/(Assumptions!$C$18-Assumptions!$B$18)</f>
        <v>0.0101848285961455</v>
      </c>
      <c r="L33" s="4" t="n">
        <f aca="false">(I33-Assumptions!$B$19)/(Assumptions!$C$19-Assumptions!$B$19)</f>
        <v>0</v>
      </c>
      <c r="M33" s="4" t="n">
        <f aca="false">0.4*J33+0.4*K33+0.2*L33</f>
        <v>0.00407393143845821</v>
      </c>
    </row>
    <row r="34" customFormat="false" ht="15" hidden="false" customHeight="false" outlineLevel="0" collapsed="false">
      <c r="A34" s="3" t="s">
        <v>2</v>
      </c>
      <c r="B34" s="3" t="s">
        <v>146</v>
      </c>
      <c r="C34" s="3" t="s">
        <v>147</v>
      </c>
      <c r="D34" s="3" t="s">
        <v>148</v>
      </c>
      <c r="E34" s="3" t="n">
        <v>5.5</v>
      </c>
      <c r="F34" s="3" t="n">
        <v>9</v>
      </c>
      <c r="G34" s="3" t="n">
        <v>169</v>
      </c>
      <c r="H34" s="4" t="n">
        <f aca="false">G34/E34</f>
        <v>30.7272727272727</v>
      </c>
      <c r="I34" s="3" t="n">
        <v>2.8</v>
      </c>
      <c r="J34" s="4" t="n">
        <f aca="false">(F34-Assumptions!$B$17)/(Assumptions!$C$17-Assumptions!$B$17)</f>
        <v>0.727272727272727</v>
      </c>
      <c r="K34" s="4" t="n">
        <f aca="false">(H34-Assumptions!$B$18)/(Assumptions!$C$18-Assumptions!$B$18)</f>
        <v>0.0380505089829374</v>
      </c>
      <c r="L34" s="4" t="n">
        <f aca="false">(I34-Assumptions!$B$19)/(Assumptions!$C$19-Assumptions!$B$19)</f>
        <v>0.536585365853658</v>
      </c>
      <c r="M34" s="4" t="n">
        <f aca="false">0.4*J34+0.4*K34+0.2*L34</f>
        <v>0.413446367672998</v>
      </c>
    </row>
    <row r="35" customFormat="false" ht="15" hidden="false" customHeight="false" outlineLevel="0" collapsed="false">
      <c r="A35" s="3" t="s">
        <v>2</v>
      </c>
      <c r="B35" s="3" t="s">
        <v>153</v>
      </c>
      <c r="C35" s="3" t="s">
        <v>154</v>
      </c>
      <c r="D35" s="3" t="s">
        <v>155</v>
      </c>
      <c r="E35" s="3" t="n">
        <v>4.5</v>
      </c>
      <c r="F35" s="3" t="n">
        <v>2</v>
      </c>
      <c r="G35" s="3" t="n">
        <v>497</v>
      </c>
      <c r="H35" s="4" t="n">
        <f aca="false">G35/E35</f>
        <v>110.444444444444</v>
      </c>
      <c r="I35" s="3" t="n">
        <v>1.2</v>
      </c>
      <c r="J35" s="4" t="n">
        <f aca="false">(F35-Assumptions!$B$17)/(Assumptions!$C$17-Assumptions!$B$17)</f>
        <v>0.0909090909090909</v>
      </c>
      <c r="K35" s="4" t="n">
        <f aca="false">(H35-Assumptions!$B$18)/(Assumptions!$C$18-Assumptions!$B$18)</f>
        <v>0.136962659586266</v>
      </c>
      <c r="L35" s="4" t="n">
        <f aca="false">(I35-Assumptions!$B$19)/(Assumptions!$C$19-Assumptions!$B$19)</f>
        <v>0.146341463414634</v>
      </c>
      <c r="M35" s="4" t="n">
        <f aca="false">0.4*J35+0.4*K35+0.2*L35</f>
        <v>0.12041699288107</v>
      </c>
    </row>
    <row r="36" customFormat="false" ht="15" hidden="false" customHeight="false" outlineLevel="0" collapsed="false">
      <c r="A36" s="3" t="s">
        <v>2</v>
      </c>
      <c r="B36" s="3" t="s">
        <v>156</v>
      </c>
      <c r="C36" s="3" t="s">
        <v>157</v>
      </c>
      <c r="D36" s="3" t="s">
        <v>158</v>
      </c>
      <c r="E36" s="3" t="n">
        <v>406</v>
      </c>
      <c r="F36" s="3" t="n">
        <v>3</v>
      </c>
      <c r="G36" s="3" t="n">
        <v>729</v>
      </c>
      <c r="H36" s="4" t="n">
        <f aca="false">G36/E36</f>
        <v>1.79556650246305</v>
      </c>
      <c r="I36" s="3" t="n">
        <v>0.8</v>
      </c>
      <c r="J36" s="4" t="n">
        <f aca="false">(F36-Assumptions!$B$17)/(Assumptions!$C$17-Assumptions!$B$17)</f>
        <v>0.181818181818182</v>
      </c>
      <c r="K36" s="4" t="n">
        <f aca="false">(H36-Assumptions!$B$18)/(Assumptions!$C$18-Assumptions!$B$18)</f>
        <v>0.00215238036552192</v>
      </c>
      <c r="L36" s="4" t="n">
        <f aca="false">(I36-Assumptions!$B$19)/(Assumptions!$C$19-Assumptions!$B$19)</f>
        <v>0.0487804878048781</v>
      </c>
      <c r="M36" s="4" t="n">
        <f aca="false">0.4*J36+0.4*K36+0.2*L36</f>
        <v>0.0833443224344571</v>
      </c>
    </row>
    <row r="37" customFormat="false" ht="15" hidden="false" customHeight="false" outlineLevel="0" collapsed="false">
      <c r="A37" s="3" t="s">
        <v>2</v>
      </c>
      <c r="B37" s="3" t="s">
        <v>159</v>
      </c>
      <c r="C37" s="3" t="s">
        <v>160</v>
      </c>
      <c r="D37" s="3" t="s">
        <v>161</v>
      </c>
      <c r="E37" s="3" t="n">
        <v>204</v>
      </c>
      <c r="F37" s="3" t="n">
        <v>1</v>
      </c>
      <c r="G37" s="3" t="n">
        <v>693</v>
      </c>
      <c r="H37" s="4" t="n">
        <f aca="false">G37/E37</f>
        <v>3.39705882352941</v>
      </c>
      <c r="I37" s="3" t="n">
        <v>1.3</v>
      </c>
      <c r="J37" s="4" t="n">
        <f aca="false">(F37-Assumptions!$B$17)/(Assumptions!$C$17-Assumptions!$B$17)</f>
        <v>0</v>
      </c>
      <c r="K37" s="4" t="n">
        <f aca="false">(H37-Assumptions!$B$18)/(Assumptions!$C$18-Assumptions!$B$18)</f>
        <v>0.00413949363408344</v>
      </c>
      <c r="L37" s="4" t="n">
        <f aca="false">(I37-Assumptions!$B$19)/(Assumptions!$C$19-Assumptions!$B$19)</f>
        <v>0.170731707317073</v>
      </c>
      <c r="M37" s="4" t="n">
        <f aca="false">0.4*J37+0.4*K37+0.2*L37</f>
        <v>0.035802138917048</v>
      </c>
    </row>
    <row r="38" customFormat="false" ht="15" hidden="false" customHeight="false" outlineLevel="0" collapsed="false">
      <c r="A38" s="3" t="s">
        <v>2</v>
      </c>
      <c r="B38" s="3" t="s">
        <v>162</v>
      </c>
      <c r="C38" s="3" t="s">
        <v>160</v>
      </c>
      <c r="D38" s="3" t="s">
        <v>161</v>
      </c>
      <c r="E38" s="3" t="n">
        <v>2400</v>
      </c>
      <c r="F38" s="3" t="n">
        <v>1</v>
      </c>
      <c r="G38" s="3" t="n">
        <v>693</v>
      </c>
      <c r="H38" s="4" t="n">
        <f aca="false">G38/E38</f>
        <v>0.28875</v>
      </c>
      <c r="I38" s="3" t="n">
        <v>1.3</v>
      </c>
      <c r="J38" s="4" t="n">
        <f aca="false">(F38-Assumptions!$B$17)/(Assumptions!$C$17-Assumptions!$B$17)</f>
        <v>0</v>
      </c>
      <c r="K38" s="4" t="n">
        <f aca="false">(H38-Assumptions!$B$18)/(Assumptions!$C$18-Assumptions!$B$18)</f>
        <v>0.000282739764723972</v>
      </c>
      <c r="L38" s="4" t="n">
        <f aca="false">(I38-Assumptions!$B$19)/(Assumptions!$C$19-Assumptions!$B$19)</f>
        <v>0.170731707317073</v>
      </c>
      <c r="M38" s="4" t="n">
        <f aca="false">0.4*J38+0.4*K38+0.2*L38</f>
        <v>0.0342594373693042</v>
      </c>
    </row>
    <row r="39" customFormat="false" ht="15" hidden="false" customHeight="false" outlineLevel="0" collapsed="false">
      <c r="A39" s="3" t="s">
        <v>2</v>
      </c>
      <c r="B39" s="3" t="s">
        <v>163</v>
      </c>
      <c r="C39" s="3" t="s">
        <v>160</v>
      </c>
      <c r="D39" s="3" t="s">
        <v>161</v>
      </c>
      <c r="E39" s="3" t="n">
        <v>336.5</v>
      </c>
      <c r="F39" s="3" t="n">
        <v>1</v>
      </c>
      <c r="G39" s="3" t="n">
        <v>693</v>
      </c>
      <c r="H39" s="4" t="n">
        <f aca="false">G39/E39</f>
        <v>2.0594353640416</v>
      </c>
      <c r="I39" s="3" t="n">
        <v>1.3</v>
      </c>
      <c r="J39" s="4" t="n">
        <f aca="false">(F39-Assumptions!$B$17)/(Assumptions!$C$17-Assumptions!$B$17)</f>
        <v>0</v>
      </c>
      <c r="K39" s="4" t="n">
        <f aca="false">(H39-Assumptions!$B$18)/(Assumptions!$C$18-Assumptions!$B$18)</f>
        <v>0.00247978581674121</v>
      </c>
      <c r="L39" s="4" t="n">
        <f aca="false">(I39-Assumptions!$B$19)/(Assumptions!$C$19-Assumptions!$B$19)</f>
        <v>0.170731707317073</v>
      </c>
      <c r="M39" s="4" t="n">
        <f aca="false">0.4*J39+0.4*K39+0.2*L39</f>
        <v>0.0351382557901111</v>
      </c>
    </row>
    <row r="40" customFormat="false" ht="15" hidden="false" customHeight="false" outlineLevel="0" collapsed="false">
      <c r="A40" s="3" t="s">
        <v>2</v>
      </c>
      <c r="B40" s="3" t="s">
        <v>164</v>
      </c>
      <c r="C40" s="3" t="s">
        <v>165</v>
      </c>
      <c r="D40" s="3" t="s">
        <v>166</v>
      </c>
      <c r="E40" s="3" t="n">
        <v>4</v>
      </c>
      <c r="F40" s="3" t="n">
        <v>4</v>
      </c>
      <c r="G40" s="3" t="n">
        <v>581</v>
      </c>
      <c r="H40" s="4" t="n">
        <f aca="false">G40/E40</f>
        <v>145.25</v>
      </c>
      <c r="I40" s="3" t="n">
        <v>1.4</v>
      </c>
      <c r="J40" s="4" t="n">
        <f aca="false">(F40-Assumptions!$B$17)/(Assumptions!$C$17-Assumptions!$B$17)</f>
        <v>0.272727272727273</v>
      </c>
      <c r="K40" s="4" t="n">
        <f aca="false">(H40-Assumptions!$B$18)/(Assumptions!$C$18-Assumptions!$B$18)</f>
        <v>0.180148992954413</v>
      </c>
      <c r="L40" s="4" t="n">
        <f aca="false">(I40-Assumptions!$B$19)/(Assumptions!$C$19-Assumptions!$B$19)</f>
        <v>0.195121951219512</v>
      </c>
      <c r="M40" s="4" t="n">
        <f aca="false">0.4*J40+0.4*K40+0.2*L40</f>
        <v>0.220174896516577</v>
      </c>
    </row>
    <row r="41" customFormat="false" ht="15" hidden="false" customHeight="false" outlineLevel="0" collapsed="false">
      <c r="A41" s="3" t="s">
        <v>2</v>
      </c>
      <c r="B41" s="3" t="s">
        <v>167</v>
      </c>
      <c r="C41" s="3" t="s">
        <v>168</v>
      </c>
      <c r="D41" s="3" t="s">
        <v>169</v>
      </c>
      <c r="E41" s="3" t="n">
        <v>1759.5</v>
      </c>
      <c r="F41" s="3" t="n">
        <v>2</v>
      </c>
      <c r="G41" s="3" t="n">
        <v>485</v>
      </c>
      <c r="H41" s="4" t="n">
        <f aca="false">G41/E41</f>
        <v>0.27564649048025</v>
      </c>
      <c r="I41" s="3" t="n">
        <v>1.5</v>
      </c>
      <c r="J41" s="4" t="n">
        <f aca="false">(F41-Assumptions!$B$17)/(Assumptions!$C$17-Assumptions!$B$17)</f>
        <v>0.0909090909090909</v>
      </c>
      <c r="K41" s="4" t="n">
        <f aca="false">(H41-Assumptions!$B$18)/(Assumptions!$C$18-Assumptions!$B$18)</f>
        <v>0.00026648108068977</v>
      </c>
      <c r="L41" s="4" t="n">
        <f aca="false">(I41-Assumptions!$B$19)/(Assumptions!$C$19-Assumptions!$B$19)</f>
        <v>0.219512195121951</v>
      </c>
      <c r="M41" s="4" t="n">
        <f aca="false">0.4*J41+0.4*K41+0.2*L41</f>
        <v>0.0803726678203025</v>
      </c>
    </row>
    <row r="42" customFormat="false" ht="15" hidden="false" customHeight="false" outlineLevel="0" collapsed="false">
      <c r="A42" s="3" t="s">
        <v>2</v>
      </c>
      <c r="B42" s="3" t="s">
        <v>170</v>
      </c>
      <c r="C42" s="3" t="s">
        <v>171</v>
      </c>
      <c r="D42" s="3" t="s">
        <v>607</v>
      </c>
      <c r="E42" s="3" t="n">
        <v>13</v>
      </c>
      <c r="F42" s="3" t="n">
        <v>4</v>
      </c>
      <c r="G42" s="3" t="n">
        <v>297</v>
      </c>
      <c r="H42" s="4" t="n">
        <f aca="false">G42/E42</f>
        <v>22.8461538461538</v>
      </c>
      <c r="I42" s="3" t="n">
        <v>1.9</v>
      </c>
      <c r="J42" s="4" t="n">
        <f aca="false">(F42-Assumptions!$B$17)/(Assumptions!$C$17-Assumptions!$B$17)</f>
        <v>0.272727272727273</v>
      </c>
      <c r="K42" s="4" t="n">
        <f aca="false">(H42-Assumptions!$B$18)/(Assumptions!$C$18-Assumptions!$B$18)</f>
        <v>0.0282717072404761</v>
      </c>
      <c r="L42" s="4" t="n">
        <f aca="false">(I42-Assumptions!$B$19)/(Assumptions!$C$19-Assumptions!$B$19)</f>
        <v>0.317073170731707</v>
      </c>
      <c r="M42" s="4" t="n">
        <f aca="false">0.4*J42+0.4*K42+0.2*L42</f>
        <v>0.183814226133441</v>
      </c>
    </row>
    <row r="43" customFormat="false" ht="15" hidden="false" customHeight="false" outlineLevel="0" collapsed="false">
      <c r="A43" s="3" t="s">
        <v>2</v>
      </c>
      <c r="B43" s="3" t="s">
        <v>173</v>
      </c>
      <c r="C43" s="3" t="s">
        <v>174</v>
      </c>
      <c r="D43" s="3" t="s">
        <v>175</v>
      </c>
      <c r="E43" s="3" t="n">
        <v>12.5</v>
      </c>
      <c r="F43" s="3" t="n">
        <v>1</v>
      </c>
      <c r="G43" s="3" t="n">
        <v>729</v>
      </c>
      <c r="H43" s="4" t="n">
        <f aca="false">G43/E43</f>
        <v>58.32</v>
      </c>
      <c r="I43" s="3" t="n">
        <v>1.3</v>
      </c>
      <c r="J43" s="4" t="n">
        <f aca="false">(F43-Assumptions!$B$17)/(Assumptions!$C$17-Assumptions!$B$17)</f>
        <v>0</v>
      </c>
      <c r="K43" s="4" t="n">
        <f aca="false">(H43-Assumptions!$B$18)/(Assumptions!$C$18-Assumptions!$B$18)</f>
        <v>0.0722872479033758</v>
      </c>
      <c r="L43" s="4" t="n">
        <f aca="false">(I43-Assumptions!$B$19)/(Assumptions!$C$19-Assumptions!$B$19)</f>
        <v>0.170731707317073</v>
      </c>
      <c r="M43" s="4" t="n">
        <f aca="false">0.4*J43+0.4*K43+0.2*L43</f>
        <v>0.063061240624765</v>
      </c>
    </row>
    <row r="44" customFormat="false" ht="15" hidden="false" customHeight="false" outlineLevel="0" collapsed="false">
      <c r="A44" s="3" t="s">
        <v>2</v>
      </c>
      <c r="B44" s="3" t="s">
        <v>176</v>
      </c>
      <c r="C44" s="3" t="s">
        <v>174</v>
      </c>
      <c r="D44" s="3" t="s">
        <v>175</v>
      </c>
      <c r="E44" s="3" t="n">
        <v>255</v>
      </c>
      <c r="F44" s="3" t="n">
        <v>1</v>
      </c>
      <c r="G44" s="3" t="n">
        <v>729</v>
      </c>
      <c r="H44" s="4" t="n">
        <f aca="false">G44/E44</f>
        <v>2.85882352941176</v>
      </c>
      <c r="I44" s="3" t="n">
        <v>1.3</v>
      </c>
      <c r="J44" s="4" t="n">
        <f aca="false">(F44-Assumptions!$B$17)/(Assumptions!$C$17-Assumptions!$B$17)</f>
        <v>0</v>
      </c>
      <c r="K44" s="4" t="n">
        <f aca="false">(H44-Assumptions!$B$18)/(Assumptions!$C$18-Assumptions!$B$18)</f>
        <v>0.00347165746622899</v>
      </c>
      <c r="L44" s="4" t="n">
        <f aca="false">(I44-Assumptions!$B$19)/(Assumptions!$C$19-Assumptions!$B$19)</f>
        <v>0.170731707317073</v>
      </c>
      <c r="M44" s="4" t="n">
        <f aca="false">0.4*J44+0.4*K44+0.2*L44</f>
        <v>0.0355350044499062</v>
      </c>
    </row>
    <row r="45" customFormat="false" ht="15" hidden="false" customHeight="false" outlineLevel="0" collapsed="false">
      <c r="A45" s="3" t="s">
        <v>2</v>
      </c>
      <c r="B45" s="3" t="s">
        <v>177</v>
      </c>
      <c r="C45" s="3" t="s">
        <v>178</v>
      </c>
      <c r="D45" s="3" t="s">
        <v>179</v>
      </c>
      <c r="E45" s="3" t="n">
        <v>154</v>
      </c>
      <c r="F45" s="3" t="n">
        <v>11</v>
      </c>
      <c r="G45" s="3" t="n">
        <v>145</v>
      </c>
      <c r="H45" s="4" t="n">
        <f aca="false">G45/E45</f>
        <v>0.941558441558442</v>
      </c>
      <c r="I45" s="3" t="n">
        <v>2.5</v>
      </c>
      <c r="J45" s="4" t="n">
        <f aca="false">(F45-Assumptions!$B$17)/(Assumptions!$C$17-Assumptions!$B$17)</f>
        <v>0.909090909090909</v>
      </c>
      <c r="K45" s="4" t="n">
        <f aca="false">(H45-Assumptions!$B$18)/(Assumptions!$C$18-Assumptions!$B$18)</f>
        <v>0.00109273697731504</v>
      </c>
      <c r="L45" s="4" t="n">
        <f aca="false">(I45-Assumptions!$B$19)/(Assumptions!$C$19-Assumptions!$B$19)</f>
        <v>0.463414634146341</v>
      </c>
      <c r="M45" s="4" t="n">
        <f aca="false">0.4*J45+0.4*K45+0.2*L45</f>
        <v>0.456756385256558</v>
      </c>
    </row>
    <row r="46" customFormat="false" ht="15" hidden="false" customHeight="false" outlineLevel="0" collapsed="false">
      <c r="A46" s="3" t="s">
        <v>2</v>
      </c>
      <c r="B46" s="3" t="s">
        <v>180</v>
      </c>
      <c r="C46" s="3" t="s">
        <v>181</v>
      </c>
      <c r="D46" s="3" t="s">
        <v>608</v>
      </c>
      <c r="E46" s="3" t="n">
        <v>24</v>
      </c>
      <c r="F46" s="3" t="n">
        <v>2</v>
      </c>
      <c r="G46" s="3" t="n">
        <v>521</v>
      </c>
      <c r="H46" s="4" t="n">
        <f aca="false">G46/E46</f>
        <v>21.7083333333333</v>
      </c>
      <c r="I46" s="3" t="n">
        <v>1.5</v>
      </c>
      <c r="J46" s="4" t="n">
        <f aca="false">(F46-Assumptions!$B$17)/(Assumptions!$C$17-Assumptions!$B$17)</f>
        <v>0.0909090909090909</v>
      </c>
      <c r="K46" s="4" t="n">
        <f aca="false">(H46-Assumptions!$B$18)/(Assumptions!$C$18-Assumptions!$B$18)</f>
        <v>0.0268599126233395</v>
      </c>
      <c r="L46" s="4" t="n">
        <f aca="false">(I46-Assumptions!$B$19)/(Assumptions!$C$19-Assumptions!$B$19)</f>
        <v>0.219512195121951</v>
      </c>
      <c r="M46" s="4" t="n">
        <f aca="false">0.4*J46+0.4*K46+0.2*L46</f>
        <v>0.0910100404373624</v>
      </c>
    </row>
    <row r="47" customFormat="false" ht="15" hidden="false" customHeight="false" outlineLevel="0" collapsed="false">
      <c r="A47" s="3" t="s">
        <v>2</v>
      </c>
      <c r="B47" s="3" t="s">
        <v>183</v>
      </c>
      <c r="C47" s="3" t="s">
        <v>181</v>
      </c>
      <c r="D47" s="3" t="s">
        <v>608</v>
      </c>
      <c r="E47" s="3" t="n">
        <v>31</v>
      </c>
      <c r="F47" s="3" t="n">
        <v>2</v>
      </c>
      <c r="G47" s="3" t="n">
        <v>521</v>
      </c>
      <c r="H47" s="4" t="n">
        <f aca="false">G47/E47</f>
        <v>16.8064516129032</v>
      </c>
      <c r="I47" s="3" t="n">
        <v>1.5</v>
      </c>
      <c r="J47" s="4" t="n">
        <f aca="false">(F47-Assumptions!$B$17)/(Assumptions!$C$17-Assumptions!$B$17)</f>
        <v>0.0909090909090909</v>
      </c>
      <c r="K47" s="4" t="n">
        <f aca="false">(H47-Assumptions!$B$18)/(Assumptions!$C$18-Assumptions!$B$18)</f>
        <v>0.0207777141142014</v>
      </c>
      <c r="L47" s="4" t="n">
        <f aca="false">(I47-Assumptions!$B$19)/(Assumptions!$C$19-Assumptions!$B$19)</f>
        <v>0.219512195121951</v>
      </c>
      <c r="M47" s="4" t="n">
        <f aca="false">0.4*J47+0.4*K47+0.2*L47</f>
        <v>0.0885771610337072</v>
      </c>
    </row>
    <row r="48" customFormat="false" ht="15" hidden="false" customHeight="false" outlineLevel="0" collapsed="false">
      <c r="A48" s="3" t="s">
        <v>2</v>
      </c>
      <c r="B48" s="3" t="s">
        <v>184</v>
      </c>
      <c r="C48" s="3" t="s">
        <v>185</v>
      </c>
      <c r="D48" s="3" t="s">
        <v>186</v>
      </c>
      <c r="E48" s="3" t="n">
        <v>10.5</v>
      </c>
      <c r="F48" s="3" t="n">
        <v>2</v>
      </c>
      <c r="G48" s="3" t="n">
        <v>717</v>
      </c>
      <c r="H48" s="4" t="n">
        <f aca="false">G48/E48</f>
        <v>68.2857142857143</v>
      </c>
      <c r="I48" s="3" t="n">
        <v>0.6</v>
      </c>
      <c r="J48" s="4" t="n">
        <f aca="false">(F48-Assumptions!$B$17)/(Assumptions!$C$17-Assumptions!$B$17)</f>
        <v>0.0909090909090909</v>
      </c>
      <c r="K48" s="4" t="n">
        <f aca="false">(H48-Assumptions!$B$18)/(Assumptions!$C$18-Assumptions!$B$18)</f>
        <v>0.0846525916689021</v>
      </c>
      <c r="L48" s="4" t="n">
        <f aca="false">(I48-Assumptions!$B$19)/(Assumptions!$C$19-Assumptions!$B$19)</f>
        <v>0</v>
      </c>
      <c r="M48" s="4" t="n">
        <f aca="false">0.4*J48+0.4*K48+0.2*L48</f>
        <v>0.0702246730311972</v>
      </c>
    </row>
    <row r="49" customFormat="false" ht="15" hidden="false" customHeight="false" outlineLevel="0" collapsed="false">
      <c r="A49" s="3" t="s">
        <v>2</v>
      </c>
      <c r="B49" s="3" t="s">
        <v>192</v>
      </c>
      <c r="C49" s="3" t="s">
        <v>193</v>
      </c>
      <c r="D49" s="3" t="s">
        <v>194</v>
      </c>
      <c r="E49" s="3" t="n">
        <v>242.5</v>
      </c>
      <c r="F49" s="3" t="n">
        <v>4</v>
      </c>
      <c r="G49" s="3" t="n">
        <v>321</v>
      </c>
      <c r="H49" s="4" t="n">
        <f aca="false">G49/E49</f>
        <v>1.32371134020619</v>
      </c>
      <c r="I49" s="3" t="n">
        <v>1.8</v>
      </c>
      <c r="J49" s="4" t="n">
        <f aca="false">(F49-Assumptions!$B$17)/(Assumptions!$C$17-Assumptions!$B$17)</f>
        <v>0.272727272727273</v>
      </c>
      <c r="K49" s="4" t="n">
        <f aca="false">(H49-Assumptions!$B$18)/(Assumptions!$C$18-Assumptions!$B$18)</f>
        <v>0.00156690790247848</v>
      </c>
      <c r="L49" s="4" t="n">
        <f aca="false">(I49-Assumptions!$B$19)/(Assumptions!$C$19-Assumptions!$B$19)</f>
        <v>0.292682926829268</v>
      </c>
      <c r="M49" s="4" t="n">
        <f aca="false">0.4*J49+0.4*K49+0.2*L49</f>
        <v>0.168254257617754</v>
      </c>
    </row>
    <row r="50" customFormat="false" ht="15" hidden="false" customHeight="false" outlineLevel="0" collapsed="false">
      <c r="A50" s="3" t="s">
        <v>2</v>
      </c>
      <c r="B50" s="3" t="s">
        <v>195</v>
      </c>
      <c r="C50" s="3" t="s">
        <v>196</v>
      </c>
      <c r="D50" s="3" t="s">
        <v>605</v>
      </c>
      <c r="E50" s="3" t="n">
        <v>6.5</v>
      </c>
      <c r="F50" s="3" t="n">
        <v>10</v>
      </c>
      <c r="G50" s="3" t="n">
        <v>145</v>
      </c>
      <c r="H50" s="4" t="n">
        <f aca="false">G50/E50</f>
        <v>22.3076923076923</v>
      </c>
      <c r="I50" s="3" t="n">
        <v>2.9</v>
      </c>
      <c r="J50" s="4" t="n">
        <f aca="false">(F50-Assumptions!$B$17)/(Assumptions!$C$17-Assumptions!$B$17)</f>
        <v>0.818181818181818</v>
      </c>
      <c r="K50" s="4" t="n">
        <f aca="false">(H50-Assumptions!$B$18)/(Assumptions!$C$18-Assumptions!$B$18)</f>
        <v>0.0276035903512396</v>
      </c>
      <c r="L50" s="4" t="n">
        <f aca="false">(I50-Assumptions!$B$19)/(Assumptions!$C$19-Assumptions!$B$19)</f>
        <v>0.560975609756097</v>
      </c>
      <c r="M50" s="4" t="n">
        <f aca="false">0.4*J50+0.4*K50+0.2*L50</f>
        <v>0.450509285364443</v>
      </c>
    </row>
    <row r="51" customFormat="false" ht="15" hidden="false" customHeight="false" outlineLevel="0" collapsed="false">
      <c r="A51" s="3" t="s">
        <v>2</v>
      </c>
      <c r="B51" s="3" t="s">
        <v>198</v>
      </c>
      <c r="C51" s="3" t="s">
        <v>199</v>
      </c>
      <c r="D51" s="3" t="s">
        <v>200</v>
      </c>
      <c r="E51" s="3" t="n">
        <v>2776</v>
      </c>
      <c r="F51" s="3" t="n">
        <v>11</v>
      </c>
      <c r="G51" s="3" t="n">
        <v>169</v>
      </c>
      <c r="H51" s="4" t="n">
        <f aca="false">G51/E51</f>
        <v>0.0608789625360231</v>
      </c>
      <c r="I51" s="3" t="n">
        <v>2.8</v>
      </c>
      <c r="J51" s="4" t="n">
        <f aca="false">(F51-Assumptions!$B$17)/(Assumptions!$C$17-Assumptions!$B$17)</f>
        <v>0.909090909090909</v>
      </c>
      <c r="K51" s="4" t="n">
        <f aca="false">(H51-Assumptions!$B$18)/(Assumptions!$C$18-Assumptions!$B$18)</f>
        <v>0</v>
      </c>
      <c r="L51" s="4" t="n">
        <f aca="false">(I51-Assumptions!$B$19)/(Assumptions!$C$19-Assumptions!$B$19)</f>
        <v>0.536585365853658</v>
      </c>
      <c r="M51" s="4" t="n">
        <f aca="false">0.4*J51+0.4*K51+0.2*L51</f>
        <v>0.470953436807095</v>
      </c>
    </row>
    <row r="52" customFormat="false" ht="15" hidden="false" customHeight="false" outlineLevel="0" collapsed="false">
      <c r="A52" s="3" t="s">
        <v>2</v>
      </c>
      <c r="B52" s="3" t="s">
        <v>204</v>
      </c>
      <c r="C52" s="3" t="s">
        <v>205</v>
      </c>
      <c r="D52" s="3" t="s">
        <v>609</v>
      </c>
      <c r="E52" s="3" t="n">
        <v>157.5</v>
      </c>
      <c r="F52" s="3" t="n">
        <v>2</v>
      </c>
      <c r="G52" s="3" t="n">
        <v>545</v>
      </c>
      <c r="H52" s="4" t="n">
        <f aca="false">G52/E52</f>
        <v>3.46031746031746</v>
      </c>
      <c r="I52" s="3" t="n">
        <v>1.8</v>
      </c>
      <c r="J52" s="4" t="n">
        <f aca="false">(F52-Assumptions!$B$17)/(Assumptions!$C$17-Assumptions!$B$17)</f>
        <v>0.0909090909090909</v>
      </c>
      <c r="K52" s="4" t="n">
        <f aca="false">(H52-Assumptions!$B$18)/(Assumptions!$C$18-Assumptions!$B$18)</f>
        <v>0.00421798422367862</v>
      </c>
      <c r="L52" s="4" t="n">
        <f aca="false">(I52-Assumptions!$B$19)/(Assumptions!$C$19-Assumptions!$B$19)</f>
        <v>0.292682926829268</v>
      </c>
      <c r="M52" s="4" t="n">
        <f aca="false">0.4*J52+0.4*K52+0.2*L52</f>
        <v>0.0965874154189615</v>
      </c>
    </row>
    <row r="53" customFormat="false" ht="15" hidden="false" customHeight="false" outlineLevel="0" collapsed="false">
      <c r="A53" s="3" t="s">
        <v>2</v>
      </c>
      <c r="B53" s="3" t="s">
        <v>207</v>
      </c>
      <c r="C53" s="3" t="s">
        <v>205</v>
      </c>
      <c r="D53" s="3" t="s">
        <v>609</v>
      </c>
      <c r="E53" s="3" t="n">
        <v>7.5</v>
      </c>
      <c r="F53" s="3" t="n">
        <v>2</v>
      </c>
      <c r="G53" s="3" t="n">
        <v>545</v>
      </c>
      <c r="H53" s="4" t="n">
        <f aca="false">G53/E53</f>
        <v>72.6666666666667</v>
      </c>
      <c r="I53" s="3" t="n">
        <v>1.8</v>
      </c>
      <c r="J53" s="4" t="n">
        <f aca="false">(F53-Assumptions!$B$17)/(Assumptions!$C$17-Assumptions!$B$17)</f>
        <v>0.0909090909090909</v>
      </c>
      <c r="K53" s="4" t="n">
        <f aca="false">(H53-Assumptions!$B$18)/(Assumptions!$C$18-Assumptions!$B$18)</f>
        <v>0.0900884270398329</v>
      </c>
      <c r="L53" s="4" t="n">
        <f aca="false">(I53-Assumptions!$B$19)/(Assumptions!$C$19-Assumptions!$B$19)</f>
        <v>0.292682926829268</v>
      </c>
      <c r="M53" s="4" t="n">
        <f aca="false">0.4*J53+0.4*K53+0.2*L53</f>
        <v>0.130935592545423</v>
      </c>
    </row>
    <row r="54" customFormat="false" ht="15" hidden="false" customHeight="false" outlineLevel="0" collapsed="false">
      <c r="A54" s="3" t="s">
        <v>2</v>
      </c>
      <c r="B54" s="3" t="s">
        <v>208</v>
      </c>
      <c r="C54" s="3" t="s">
        <v>209</v>
      </c>
      <c r="D54" s="3" t="s">
        <v>210</v>
      </c>
      <c r="E54" s="3" t="n">
        <v>459</v>
      </c>
      <c r="F54" s="3" t="n">
        <v>1</v>
      </c>
      <c r="G54" s="3" t="n">
        <v>741</v>
      </c>
      <c r="H54" s="4" t="n">
        <f aca="false">G54/E54</f>
        <v>1.61437908496732</v>
      </c>
      <c r="I54" s="3" t="n">
        <v>0.9</v>
      </c>
      <c r="J54" s="4" t="n">
        <f aca="false">(F54-Assumptions!$B$17)/(Assumptions!$C$17-Assumptions!$B$17)</f>
        <v>0</v>
      </c>
      <c r="K54" s="4" t="n">
        <f aca="false">(H54-Assumptions!$B$18)/(Assumptions!$C$18-Assumptions!$B$18)</f>
        <v>0.00192756509999356</v>
      </c>
      <c r="L54" s="4" t="n">
        <f aca="false">(I54-Assumptions!$B$19)/(Assumptions!$C$19-Assumptions!$B$19)</f>
        <v>0.0731707317073171</v>
      </c>
      <c r="M54" s="4" t="n">
        <f aca="false">0.4*J54+0.4*K54+0.2*L54</f>
        <v>0.0154051723814608</v>
      </c>
    </row>
    <row r="55" customFormat="false" ht="15" hidden="false" customHeight="false" outlineLevel="0" collapsed="false">
      <c r="A55" s="3" t="s">
        <v>2</v>
      </c>
      <c r="B55" s="3" t="s">
        <v>211</v>
      </c>
      <c r="C55" s="3" t="s">
        <v>212</v>
      </c>
      <c r="D55" s="3" t="s">
        <v>213</v>
      </c>
      <c r="E55" s="3" t="n">
        <v>90.5</v>
      </c>
      <c r="F55" s="3" t="n">
        <v>4</v>
      </c>
      <c r="G55" s="3" t="n">
        <v>521</v>
      </c>
      <c r="H55" s="4" t="n">
        <f aca="false">G55/E55</f>
        <v>5.75690607734807</v>
      </c>
      <c r="I55" s="3" t="n">
        <v>1.1</v>
      </c>
      <c r="J55" s="4" t="n">
        <f aca="false">(F55-Assumptions!$B$17)/(Assumptions!$C$17-Assumptions!$B$17)</f>
        <v>0.272727272727273</v>
      </c>
      <c r="K55" s="4" t="n">
        <f aca="false">(H55-Assumptions!$B$18)/(Assumptions!$C$18-Assumptions!$B$18)</f>
        <v>0.00706756498863053</v>
      </c>
      <c r="L55" s="4" t="n">
        <f aca="false">(I55-Assumptions!$B$19)/(Assumptions!$C$19-Assumptions!$B$19)</f>
        <v>0.121951219512195</v>
      </c>
      <c r="M55" s="4" t="n">
        <f aca="false">0.4*J55+0.4*K55+0.2*L55</f>
        <v>0.1363081789888</v>
      </c>
    </row>
    <row r="56" customFormat="false" ht="15" hidden="false" customHeight="false" outlineLevel="0" collapsed="false">
      <c r="A56" s="3" t="s">
        <v>2</v>
      </c>
      <c r="B56" s="3" t="s">
        <v>214</v>
      </c>
      <c r="C56" s="3" t="s">
        <v>212</v>
      </c>
      <c r="D56" s="3" t="s">
        <v>213</v>
      </c>
      <c r="E56" s="3" t="n">
        <v>165</v>
      </c>
      <c r="F56" s="3" t="n">
        <v>4</v>
      </c>
      <c r="G56" s="3" t="n">
        <v>521</v>
      </c>
      <c r="H56" s="4" t="n">
        <f aca="false">G56/E56</f>
        <v>3.15757575757576</v>
      </c>
      <c r="I56" s="3" t="n">
        <v>1.1</v>
      </c>
      <c r="J56" s="4" t="n">
        <f aca="false">(F56-Assumptions!$B$17)/(Assumptions!$C$17-Assumptions!$B$17)</f>
        <v>0.272727272727273</v>
      </c>
      <c r="K56" s="4" t="n">
        <f aca="false">(H56-Assumptions!$B$18)/(Assumptions!$C$18-Assumptions!$B$18)</f>
        <v>0.00384234579784815</v>
      </c>
      <c r="L56" s="4" t="n">
        <f aca="false">(I56-Assumptions!$B$19)/(Assumptions!$C$19-Assumptions!$B$19)</f>
        <v>0.121951219512195</v>
      </c>
      <c r="M56" s="4" t="n">
        <f aca="false">0.4*J56+0.4*K56+0.2*L56</f>
        <v>0.135018091312487</v>
      </c>
    </row>
    <row r="57" customFormat="false" ht="15" hidden="false" customHeight="false" outlineLevel="0" collapsed="false">
      <c r="A57" s="3" t="s">
        <v>2</v>
      </c>
      <c r="B57" s="3" t="s">
        <v>215</v>
      </c>
      <c r="C57" s="3" t="s">
        <v>216</v>
      </c>
      <c r="D57" s="3" t="s">
        <v>217</v>
      </c>
      <c r="E57" s="3" t="n">
        <v>438</v>
      </c>
      <c r="F57" s="3" t="n">
        <v>2</v>
      </c>
      <c r="G57" s="3" t="n">
        <v>741</v>
      </c>
      <c r="H57" s="4" t="n">
        <f aca="false">G57/E57</f>
        <v>1.69178082191781</v>
      </c>
      <c r="I57" s="3" t="n">
        <v>0.9</v>
      </c>
      <c r="J57" s="4" t="n">
        <f aca="false">(F57-Assumptions!$B$17)/(Assumptions!$C$17-Assumptions!$B$17)</f>
        <v>0.0909090909090909</v>
      </c>
      <c r="K57" s="4" t="n">
        <f aca="false">(H57-Assumptions!$B$18)/(Assumptions!$C$18-Assumptions!$B$18)</f>
        <v>0.00202360428574601</v>
      </c>
      <c r="L57" s="4" t="n">
        <f aca="false">(I57-Assumptions!$B$19)/(Assumptions!$C$19-Assumptions!$B$19)</f>
        <v>0.0731707317073171</v>
      </c>
      <c r="M57" s="4" t="n">
        <f aca="false">0.4*J57+0.4*K57+0.2*L57</f>
        <v>0.0518072244193982</v>
      </c>
    </row>
    <row r="58" customFormat="false" ht="15" hidden="false" customHeight="false" outlineLevel="0" collapsed="false">
      <c r="A58" s="3" t="s">
        <v>2</v>
      </c>
      <c r="B58" s="3" t="s">
        <v>218</v>
      </c>
      <c r="C58" s="3" t="s">
        <v>219</v>
      </c>
      <c r="D58" s="3" t="s">
        <v>220</v>
      </c>
      <c r="E58" s="3" t="n">
        <v>4.5</v>
      </c>
      <c r="F58" s="3" t="n">
        <v>11</v>
      </c>
      <c r="G58" s="3" t="n">
        <v>205</v>
      </c>
      <c r="H58" s="4" t="n">
        <f aca="false">G58/E58</f>
        <v>45.5555555555556</v>
      </c>
      <c r="I58" s="3" t="n">
        <v>2.8</v>
      </c>
      <c r="J58" s="4" t="n">
        <f aca="false">(F58-Assumptions!$B$17)/(Assumptions!$C$17-Assumptions!$B$17)</f>
        <v>0.909090909090909</v>
      </c>
      <c r="K58" s="4" t="n">
        <f aca="false">(H58-Assumptions!$B$18)/(Assumptions!$C$18-Assumptions!$B$18)</f>
        <v>0.0564492719182752</v>
      </c>
      <c r="L58" s="4" t="n">
        <f aca="false">(I58-Assumptions!$B$19)/(Assumptions!$C$19-Assumptions!$B$19)</f>
        <v>0.536585365853658</v>
      </c>
      <c r="M58" s="4" t="n">
        <f aca="false">0.4*J58+0.4*K58+0.2*L58</f>
        <v>0.493533145574405</v>
      </c>
    </row>
    <row r="59" customFormat="false" ht="15" hidden="false" customHeight="false" outlineLevel="0" collapsed="false">
      <c r="A59" s="3" t="s">
        <v>2</v>
      </c>
      <c r="B59" s="3" t="s">
        <v>221</v>
      </c>
      <c r="C59" s="3" t="s">
        <v>222</v>
      </c>
      <c r="D59" s="3" t="s">
        <v>610</v>
      </c>
      <c r="E59" s="3" t="n">
        <v>2635</v>
      </c>
      <c r="F59" s="3" t="n">
        <v>4</v>
      </c>
      <c r="G59" s="3" t="n">
        <v>533</v>
      </c>
      <c r="H59" s="4" t="n">
        <f aca="false">G59/E59</f>
        <v>0.202277039848197</v>
      </c>
      <c r="I59" s="3" t="n">
        <v>1.7</v>
      </c>
      <c r="J59" s="4" t="n">
        <f aca="false">(F59-Assumptions!$B$17)/(Assumptions!$C$17-Assumptions!$B$17)</f>
        <v>0.272727272727273</v>
      </c>
      <c r="K59" s="4" t="n">
        <f aca="false">(H59-Assumptions!$B$18)/(Assumptions!$C$18-Assumptions!$B$18)</f>
        <v>0.000175445109464542</v>
      </c>
      <c r="L59" s="4" t="n">
        <f aca="false">(I59-Assumptions!$B$19)/(Assumptions!$C$19-Assumptions!$B$19)</f>
        <v>0.268292682926829</v>
      </c>
      <c r="M59" s="4" t="n">
        <f aca="false">0.4*J59+0.4*K59+0.2*L59</f>
        <v>0.162819623720061</v>
      </c>
    </row>
    <row r="60" customFormat="false" ht="15" hidden="false" customHeight="false" outlineLevel="0" collapsed="false">
      <c r="A60" s="3" t="s">
        <v>2</v>
      </c>
      <c r="B60" s="3" t="s">
        <v>224</v>
      </c>
      <c r="C60" s="3" t="s">
        <v>222</v>
      </c>
      <c r="D60" s="3" t="s">
        <v>610</v>
      </c>
      <c r="E60" s="3" t="n">
        <v>1617</v>
      </c>
      <c r="F60" s="3" t="n">
        <v>4</v>
      </c>
      <c r="G60" s="3" t="n">
        <v>533</v>
      </c>
      <c r="H60" s="4" t="n">
        <f aca="false">G60/E60</f>
        <v>0.329622758194187</v>
      </c>
      <c r="I60" s="3" t="n">
        <v>1.7</v>
      </c>
      <c r="J60" s="4" t="n">
        <f aca="false">(F60-Assumptions!$B$17)/(Assumptions!$C$17-Assumptions!$B$17)</f>
        <v>0.272727272727273</v>
      </c>
      <c r="K60" s="4" t="n">
        <f aca="false">(H60-Assumptions!$B$18)/(Assumptions!$C$18-Assumptions!$B$18)</f>
        <v>0.000333454213405371</v>
      </c>
      <c r="L60" s="4" t="n">
        <f aca="false">(I60-Assumptions!$B$19)/(Assumptions!$C$19-Assumptions!$B$19)</f>
        <v>0.268292682926829</v>
      </c>
      <c r="M60" s="4" t="n">
        <f aca="false">0.4*J60+0.4*K60+0.2*L60</f>
        <v>0.162882827361637</v>
      </c>
    </row>
    <row r="61" customFormat="false" ht="15" hidden="false" customHeight="false" outlineLevel="0" collapsed="false">
      <c r="A61" s="3" t="s">
        <v>2</v>
      </c>
      <c r="B61" s="3" t="s">
        <v>225</v>
      </c>
      <c r="C61" s="3" t="s">
        <v>226</v>
      </c>
      <c r="D61" s="3" t="s">
        <v>611</v>
      </c>
      <c r="E61" s="3" t="n">
        <v>5</v>
      </c>
      <c r="F61" s="3" t="n">
        <v>4</v>
      </c>
      <c r="G61" s="3" t="n">
        <v>285</v>
      </c>
      <c r="H61" s="4" t="n">
        <f aca="false">G61/E61</f>
        <v>57</v>
      </c>
      <c r="I61" s="3" t="n">
        <v>2.2</v>
      </c>
      <c r="J61" s="4" t="n">
        <f aca="false">(F61-Assumptions!$B$17)/(Assumptions!$C$17-Assumptions!$B$17)</f>
        <v>0.272727272727273</v>
      </c>
      <c r="K61" s="4" t="n">
        <f aca="false">(H61-Assumptions!$B$18)/(Assumptions!$C$18-Assumptions!$B$18)</f>
        <v>0.0706494070720475</v>
      </c>
      <c r="L61" s="4" t="n">
        <f aca="false">(I61-Assumptions!$B$19)/(Assumptions!$C$19-Assumptions!$B$19)</f>
        <v>0.390243902439024</v>
      </c>
      <c r="M61" s="4" t="n">
        <f aca="false">0.4*J61+0.4*K61+0.2*L61</f>
        <v>0.215399452407533</v>
      </c>
    </row>
    <row r="62" customFormat="false" ht="15" hidden="false" customHeight="false" outlineLevel="0" collapsed="false">
      <c r="A62" s="3" t="s">
        <v>2</v>
      </c>
      <c r="B62" s="3" t="s">
        <v>228</v>
      </c>
      <c r="C62" s="3" t="s">
        <v>229</v>
      </c>
      <c r="D62" s="3" t="s">
        <v>230</v>
      </c>
      <c r="E62" s="3" t="n">
        <v>8.5</v>
      </c>
      <c r="F62" s="3" t="n">
        <v>1</v>
      </c>
      <c r="G62" s="3" t="n">
        <v>729</v>
      </c>
      <c r="H62" s="4" t="n">
        <f aca="false">G62/E62</f>
        <v>85.7647058823529</v>
      </c>
      <c r="I62" s="3" t="n">
        <v>0.8</v>
      </c>
      <c r="J62" s="4" t="n">
        <f aca="false">(F62-Assumptions!$B$17)/(Assumptions!$C$17-Assumptions!$B$17)</f>
        <v>0</v>
      </c>
      <c r="K62" s="4" t="n">
        <f aca="false">(H62-Assumptions!$B$18)/(Assumptions!$C$18-Assumptions!$B$18)</f>
        <v>0.106340323583613</v>
      </c>
      <c r="L62" s="4" t="n">
        <f aca="false">(I62-Assumptions!$B$19)/(Assumptions!$C$19-Assumptions!$B$19)</f>
        <v>0.0487804878048781</v>
      </c>
      <c r="M62" s="4" t="n">
        <f aca="false">0.4*J62+0.4*K62+0.2*L62</f>
        <v>0.052292226994421</v>
      </c>
    </row>
    <row r="63" customFormat="false" ht="15" hidden="false" customHeight="false" outlineLevel="0" collapsed="false">
      <c r="A63" s="3" t="s">
        <v>2</v>
      </c>
      <c r="B63" s="3" t="s">
        <v>231</v>
      </c>
      <c r="C63" s="3" t="s">
        <v>229</v>
      </c>
      <c r="D63" s="3" t="s">
        <v>230</v>
      </c>
      <c r="E63" s="3" t="n">
        <v>374</v>
      </c>
      <c r="F63" s="3" t="n">
        <v>1</v>
      </c>
      <c r="G63" s="3" t="n">
        <v>729</v>
      </c>
      <c r="H63" s="4" t="n">
        <f aca="false">G63/E63</f>
        <v>1.94919786096257</v>
      </c>
      <c r="I63" s="3" t="n">
        <v>0.8</v>
      </c>
      <c r="J63" s="4" t="n">
        <f aca="false">(F63-Assumptions!$B$17)/(Assumptions!$C$17-Assumptions!$B$17)</f>
        <v>0</v>
      </c>
      <c r="K63" s="4" t="n">
        <f aca="false">(H63-Assumptions!$B$18)/(Assumptions!$C$18-Assumptions!$B$18)</f>
        <v>0.00234300438970596</v>
      </c>
      <c r="L63" s="4" t="n">
        <f aca="false">(I63-Assumptions!$B$19)/(Assumptions!$C$19-Assumptions!$B$19)</f>
        <v>0.0487804878048781</v>
      </c>
      <c r="M63" s="4" t="n">
        <f aca="false">0.4*J63+0.4*K63+0.2*L63</f>
        <v>0.010693299316858</v>
      </c>
    </row>
    <row r="64" customFormat="false" ht="15" hidden="false" customHeight="false" outlineLevel="0" collapsed="false">
      <c r="A64" s="3" t="s">
        <v>2</v>
      </c>
      <c r="B64" s="3" t="s">
        <v>232</v>
      </c>
      <c r="C64" s="3" t="s">
        <v>233</v>
      </c>
      <c r="D64" s="3" t="s">
        <v>612</v>
      </c>
      <c r="E64" s="3" t="n">
        <v>2</v>
      </c>
      <c r="F64" s="3" t="n">
        <v>6</v>
      </c>
      <c r="G64" s="3" t="n">
        <v>225</v>
      </c>
      <c r="H64" s="4" t="n">
        <f aca="false">G64/E64</f>
        <v>112.5</v>
      </c>
      <c r="I64" s="3" t="n">
        <v>1.9</v>
      </c>
      <c r="J64" s="4" t="n">
        <f aca="false">(F64-Assumptions!$B$17)/(Assumptions!$C$17-Assumptions!$B$17)</f>
        <v>0.454545454545455</v>
      </c>
      <c r="K64" s="4" t="n">
        <f aca="false">(H64-Assumptions!$B$18)/(Assumptions!$C$18-Assumptions!$B$18)</f>
        <v>0.139513169298351</v>
      </c>
      <c r="L64" s="4" t="n">
        <f aca="false">(I64-Assumptions!$B$19)/(Assumptions!$C$19-Assumptions!$B$19)</f>
        <v>0.317073170731707</v>
      </c>
      <c r="M64" s="4" t="n">
        <f aca="false">0.4*J64+0.4*K64+0.2*L64</f>
        <v>0.301038083683864</v>
      </c>
    </row>
    <row r="65" customFormat="false" ht="15" hidden="false" customHeight="false" outlineLevel="0" collapsed="false">
      <c r="A65" s="3" t="s">
        <v>2</v>
      </c>
      <c r="B65" s="3" t="s">
        <v>235</v>
      </c>
      <c r="C65" s="3" t="s">
        <v>233</v>
      </c>
      <c r="D65" s="3" t="s">
        <v>612</v>
      </c>
      <c r="E65" s="3" t="n">
        <v>8.5</v>
      </c>
      <c r="F65" s="3" t="n">
        <v>6</v>
      </c>
      <c r="G65" s="3" t="n">
        <v>225</v>
      </c>
      <c r="H65" s="4" t="n">
        <f aca="false">G65/E65</f>
        <v>26.4705882352941</v>
      </c>
      <c r="I65" s="3" t="n">
        <v>1.9</v>
      </c>
      <c r="J65" s="4" t="n">
        <f aca="false">(F65-Assumptions!$B$17)/(Assumptions!$C$17-Assumptions!$B$17)</f>
        <v>0.454545454545455</v>
      </c>
      <c r="K65" s="4" t="n">
        <f aca="false">(H65-Assumptions!$B$18)/(Assumptions!$C$18-Assumptions!$B$18)</f>
        <v>0.0327688637806309</v>
      </c>
      <c r="L65" s="4" t="n">
        <f aca="false">(I65-Assumptions!$B$19)/(Assumptions!$C$19-Assumptions!$B$19)</f>
        <v>0.317073170731707</v>
      </c>
      <c r="M65" s="4" t="n">
        <f aca="false">0.4*J65+0.4*K65+0.2*L65</f>
        <v>0.258340361476776</v>
      </c>
    </row>
    <row r="66" customFormat="false" ht="15" hidden="false" customHeight="false" outlineLevel="0" collapsed="false">
      <c r="A66" s="3" t="s">
        <v>2</v>
      </c>
      <c r="B66" s="3" t="s">
        <v>236</v>
      </c>
      <c r="C66" s="3" t="s">
        <v>237</v>
      </c>
      <c r="D66" s="3" t="s">
        <v>238</v>
      </c>
      <c r="E66" s="3" t="n">
        <v>401.5</v>
      </c>
      <c r="F66" s="3" t="n">
        <v>2</v>
      </c>
      <c r="G66" s="3" t="n">
        <v>509</v>
      </c>
      <c r="H66" s="4" t="n">
        <f aca="false">G66/E66</f>
        <v>1.26774595267746</v>
      </c>
      <c r="I66" s="3" t="n">
        <v>1.8</v>
      </c>
      <c r="J66" s="4" t="n">
        <f aca="false">(F66-Assumptions!$B$17)/(Assumptions!$C$17-Assumptions!$B$17)</f>
        <v>0.0909090909090909</v>
      </c>
      <c r="K66" s="4" t="n">
        <f aca="false">(H66-Assumptions!$B$18)/(Assumptions!$C$18-Assumptions!$B$18)</f>
        <v>0.0014974666927545</v>
      </c>
      <c r="L66" s="4" t="n">
        <f aca="false">(I66-Assumptions!$B$19)/(Assumptions!$C$19-Assumptions!$B$19)</f>
        <v>0.292682926829268</v>
      </c>
      <c r="M66" s="4" t="n">
        <f aca="false">0.4*J66+0.4*K66+0.2*L66</f>
        <v>0.0954992084065918</v>
      </c>
    </row>
    <row r="67" customFormat="false" ht="15" hidden="false" customHeight="false" outlineLevel="0" collapsed="false">
      <c r="A67" s="3" t="s">
        <v>2</v>
      </c>
      <c r="B67" s="3" t="s">
        <v>239</v>
      </c>
      <c r="C67" s="3" t="s">
        <v>240</v>
      </c>
      <c r="D67" s="3" t="s">
        <v>241</v>
      </c>
      <c r="E67" s="3" t="n">
        <v>42.5</v>
      </c>
      <c r="F67" s="3" t="n">
        <v>2</v>
      </c>
      <c r="G67" s="3" t="n">
        <v>521</v>
      </c>
      <c r="H67" s="4" t="n">
        <f aca="false">G67/E67</f>
        <v>12.2588235294118</v>
      </c>
      <c r="I67" s="3" t="n">
        <v>1.1</v>
      </c>
      <c r="J67" s="4" t="n">
        <f aca="false">(F67-Assumptions!$B$17)/(Assumptions!$C$17-Assumptions!$B$17)</f>
        <v>0.0909090909090909</v>
      </c>
      <c r="K67" s="4" t="n">
        <f aca="false">(H67-Assumptions!$B$18)/(Assumptions!$C$18-Assumptions!$B$18)</f>
        <v>0.0151350694469002</v>
      </c>
      <c r="L67" s="4" t="n">
        <f aca="false">(I67-Assumptions!$B$19)/(Assumptions!$C$19-Assumptions!$B$19)</f>
        <v>0.121951219512195</v>
      </c>
      <c r="M67" s="4" t="n">
        <f aca="false">0.4*J67+0.4*K67+0.2*L67</f>
        <v>0.0668079080448355</v>
      </c>
    </row>
    <row r="68" customFormat="false" ht="15" hidden="false" customHeight="false" outlineLevel="0" collapsed="false">
      <c r="A68" s="3" t="s">
        <v>2</v>
      </c>
      <c r="B68" s="3" t="s">
        <v>242</v>
      </c>
      <c r="C68" s="3" t="s">
        <v>243</v>
      </c>
      <c r="D68" s="3" t="s">
        <v>613</v>
      </c>
      <c r="E68" s="3" t="n">
        <v>21</v>
      </c>
      <c r="F68" s="3" t="n">
        <v>4</v>
      </c>
      <c r="G68" s="3" t="n">
        <v>309</v>
      </c>
      <c r="H68" s="4" t="n">
        <f aca="false">G68/E68</f>
        <v>14.7142857142857</v>
      </c>
      <c r="I68" s="3" t="n">
        <v>2</v>
      </c>
      <c r="J68" s="4" t="n">
        <f aca="false">(F68-Assumptions!$B$17)/(Assumptions!$C$17-Assumptions!$B$17)</f>
        <v>0.272727272727273</v>
      </c>
      <c r="K68" s="4" t="n">
        <f aca="false">(H68-Assumptions!$B$18)/(Assumptions!$C$18-Assumptions!$B$18)</f>
        <v>0.0181817787091496</v>
      </c>
      <c r="L68" s="4" t="n">
        <f aca="false">(I68-Assumptions!$B$19)/(Assumptions!$C$19-Assumptions!$B$19)</f>
        <v>0.341463414634146</v>
      </c>
      <c r="M68" s="4" t="n">
        <f aca="false">0.4*J68+0.4*K68+0.2*L68</f>
        <v>0.184656303501398</v>
      </c>
    </row>
    <row r="69" customFormat="false" ht="15" hidden="false" customHeight="false" outlineLevel="0" collapsed="false">
      <c r="A69" s="3" t="s">
        <v>2</v>
      </c>
      <c r="B69" s="3" t="s">
        <v>245</v>
      </c>
      <c r="C69" s="3" t="s">
        <v>243</v>
      </c>
      <c r="D69" s="3" t="s">
        <v>613</v>
      </c>
      <c r="E69" s="3" t="n">
        <v>27.5</v>
      </c>
      <c r="F69" s="3" t="n">
        <v>4</v>
      </c>
      <c r="G69" s="3" t="n">
        <v>309</v>
      </c>
      <c r="H69" s="4" t="n">
        <f aca="false">G69/E69</f>
        <v>11.2363636363636</v>
      </c>
      <c r="I69" s="3" t="n">
        <v>2</v>
      </c>
      <c r="J69" s="4" t="n">
        <f aca="false">(F69-Assumptions!$B$17)/(Assumptions!$C$17-Assumptions!$B$17)</f>
        <v>0.272727272727273</v>
      </c>
      <c r="K69" s="4" t="n">
        <f aca="false">(H69-Assumptions!$B$18)/(Assumptions!$C$18-Assumptions!$B$18)</f>
        <v>0.0138664129611201</v>
      </c>
      <c r="L69" s="4" t="n">
        <f aca="false">(I69-Assumptions!$B$19)/(Assumptions!$C$19-Assumptions!$B$19)</f>
        <v>0.341463414634146</v>
      </c>
      <c r="M69" s="4" t="n">
        <f aca="false">0.4*J69+0.4*K69+0.2*L69</f>
        <v>0.182930157202186</v>
      </c>
    </row>
    <row r="70" customFormat="false" ht="15" hidden="false" customHeight="false" outlineLevel="0" collapsed="false">
      <c r="A70" s="3" t="s">
        <v>2</v>
      </c>
      <c r="B70" s="3" t="s">
        <v>246</v>
      </c>
      <c r="C70" s="3" t="s">
        <v>243</v>
      </c>
      <c r="D70" s="3" t="s">
        <v>613</v>
      </c>
      <c r="E70" s="3" t="n">
        <v>20.5</v>
      </c>
      <c r="F70" s="3" t="n">
        <v>4</v>
      </c>
      <c r="G70" s="3" t="n">
        <v>309</v>
      </c>
      <c r="H70" s="4" t="n">
        <f aca="false">G70/E70</f>
        <v>15.0731707317073</v>
      </c>
      <c r="I70" s="3" t="n">
        <v>2</v>
      </c>
      <c r="J70" s="4" t="n">
        <f aca="false">(F70-Assumptions!$B$17)/(Assumptions!$C$17-Assumptions!$B$17)</f>
        <v>0.272727272727273</v>
      </c>
      <c r="K70" s="4" t="n">
        <f aca="false">(H70-Assumptions!$B$18)/(Assumptions!$C$18-Assumptions!$B$18)</f>
        <v>0.0186270791146686</v>
      </c>
      <c r="L70" s="4" t="n">
        <f aca="false">(I70-Assumptions!$B$19)/(Assumptions!$C$19-Assumptions!$B$19)</f>
        <v>0.341463414634146</v>
      </c>
      <c r="M70" s="4" t="n">
        <f aca="false">0.4*J70+0.4*K70+0.2*L70</f>
        <v>0.184834423663606</v>
      </c>
    </row>
    <row r="71" customFormat="false" ht="15" hidden="false" customHeight="false" outlineLevel="0" collapsed="false">
      <c r="A71" s="3" t="s">
        <v>2</v>
      </c>
      <c r="B71" s="3" t="s">
        <v>247</v>
      </c>
      <c r="C71" s="3" t="s">
        <v>248</v>
      </c>
      <c r="D71" s="3" t="s">
        <v>614</v>
      </c>
      <c r="E71" s="3" t="n">
        <v>230.5</v>
      </c>
      <c r="F71" s="3" t="n">
        <v>3</v>
      </c>
      <c r="G71" s="3" t="n">
        <v>657</v>
      </c>
      <c r="H71" s="4" t="n">
        <f aca="false">G71/E71</f>
        <v>2.85032537960954</v>
      </c>
      <c r="I71" s="3" t="n">
        <v>0.8</v>
      </c>
      <c r="J71" s="4" t="n">
        <f aca="false">(F71-Assumptions!$B$17)/(Assumptions!$C$17-Assumptions!$B$17)</f>
        <v>0.181818181818182</v>
      </c>
      <c r="K71" s="4" t="n">
        <f aca="false">(H71-Assumptions!$B$18)/(Assumptions!$C$18-Assumptions!$B$18)</f>
        <v>0.00346111305961019</v>
      </c>
      <c r="L71" s="4" t="n">
        <f aca="false">(I71-Assumptions!$B$19)/(Assumptions!$C$19-Assumptions!$B$19)</f>
        <v>0.0487804878048781</v>
      </c>
      <c r="M71" s="4" t="n">
        <f aca="false">0.4*J71+0.4*K71+0.2*L71</f>
        <v>0.0838678155120924</v>
      </c>
    </row>
    <row r="72" customFormat="false" ht="15" hidden="false" customHeight="false" outlineLevel="0" collapsed="false">
      <c r="A72" s="3" t="s">
        <v>2</v>
      </c>
      <c r="B72" s="3" t="s">
        <v>250</v>
      </c>
      <c r="C72" s="3" t="s">
        <v>251</v>
      </c>
      <c r="D72" s="3" t="s">
        <v>252</v>
      </c>
      <c r="E72" s="3" t="n">
        <v>2729</v>
      </c>
      <c r="F72" s="3" t="n">
        <v>9</v>
      </c>
      <c r="G72" s="3" t="n">
        <v>181</v>
      </c>
      <c r="H72" s="4" t="n">
        <f aca="false">G72/E72</f>
        <v>0.0663246610480029</v>
      </c>
      <c r="I72" s="3" t="n">
        <v>2.9</v>
      </c>
      <c r="J72" s="4" t="n">
        <f aca="false">(F72-Assumptions!$B$17)/(Assumptions!$C$17-Assumptions!$B$17)</f>
        <v>0.727272727272727</v>
      </c>
      <c r="K72" s="4" t="n">
        <f aca="false">(H72-Assumptions!$B$18)/(Assumptions!$C$18-Assumptions!$B$18)</f>
        <v>6.75696013486698E-006</v>
      </c>
      <c r="L72" s="4" t="n">
        <f aca="false">(I72-Assumptions!$B$19)/(Assumptions!$C$19-Assumptions!$B$19)</f>
        <v>0.560975609756097</v>
      </c>
      <c r="M72" s="4" t="n">
        <f aca="false">0.4*J72+0.4*K72+0.2*L72</f>
        <v>0.403106915644364</v>
      </c>
    </row>
    <row r="73" customFormat="false" ht="15" hidden="false" customHeight="false" outlineLevel="0" collapsed="false">
      <c r="A73" s="3" t="s">
        <v>2</v>
      </c>
      <c r="B73" s="3" t="s">
        <v>263</v>
      </c>
      <c r="C73" s="3" t="s">
        <v>264</v>
      </c>
      <c r="D73" s="3" t="s">
        <v>161</v>
      </c>
      <c r="E73" s="3" t="n">
        <v>7.5</v>
      </c>
      <c r="F73" s="3" t="n">
        <v>1</v>
      </c>
      <c r="G73" s="3" t="n">
        <v>693</v>
      </c>
      <c r="H73" s="4" t="n">
        <f aca="false">G73/E73</f>
        <v>92.4</v>
      </c>
      <c r="I73" s="3" t="n">
        <v>1.3</v>
      </c>
      <c r="J73" s="4" t="n">
        <f aca="false">(F73-Assumptions!$B$17)/(Assumptions!$C$17-Assumptions!$B$17)</f>
        <v>0</v>
      </c>
      <c r="K73" s="4" t="n">
        <f aca="false">(H73-Assumptions!$B$18)/(Assumptions!$C$18-Assumptions!$B$18)</f>
        <v>0.114573320275852</v>
      </c>
      <c r="L73" s="4" t="n">
        <f aca="false">(I73-Assumptions!$B$19)/(Assumptions!$C$19-Assumptions!$B$19)</f>
        <v>0.170731707317073</v>
      </c>
      <c r="M73" s="4" t="n">
        <f aca="false">0.4*J73+0.4*K73+0.2*L73</f>
        <v>0.0799756695737554</v>
      </c>
    </row>
    <row r="74" customFormat="false" ht="15" hidden="false" customHeight="false" outlineLevel="0" collapsed="false">
      <c r="A74" s="3" t="s">
        <v>2</v>
      </c>
      <c r="B74" s="3" t="s">
        <v>265</v>
      </c>
      <c r="C74" s="3" t="s">
        <v>266</v>
      </c>
      <c r="D74" s="3" t="s">
        <v>267</v>
      </c>
      <c r="E74" s="3" t="n">
        <v>5.5</v>
      </c>
      <c r="F74" s="3" t="n">
        <v>2</v>
      </c>
      <c r="G74" s="3" t="n">
        <v>485</v>
      </c>
      <c r="H74" s="4" t="n">
        <f aca="false">G74/E74</f>
        <v>88.1818181818182</v>
      </c>
      <c r="I74" s="3" t="n">
        <v>1.5</v>
      </c>
      <c r="J74" s="4" t="n">
        <f aca="false">(F74-Assumptions!$B$17)/(Assumptions!$C$17-Assumptions!$B$17)</f>
        <v>0.0909090909090909</v>
      </c>
      <c r="K74" s="4" t="n">
        <f aca="false">(H74-Assumptions!$B$18)/(Assumptions!$C$18-Assumptions!$B$18)</f>
        <v>0.109339448748742</v>
      </c>
      <c r="L74" s="4" t="n">
        <f aca="false">(I74-Assumptions!$B$19)/(Assumptions!$C$19-Assumptions!$B$19)</f>
        <v>0.219512195121951</v>
      </c>
      <c r="M74" s="4" t="n">
        <f aca="false">0.4*J74+0.4*K74+0.2*L74</f>
        <v>0.124001854887524</v>
      </c>
    </row>
    <row r="75" customFormat="false" ht="15" hidden="false" customHeight="false" outlineLevel="0" collapsed="false">
      <c r="A75" s="3" t="s">
        <v>2</v>
      </c>
      <c r="B75" s="3" t="s">
        <v>268</v>
      </c>
      <c r="C75" s="3" t="s">
        <v>266</v>
      </c>
      <c r="D75" s="3" t="s">
        <v>267</v>
      </c>
      <c r="E75" s="3" t="n">
        <v>28</v>
      </c>
      <c r="F75" s="3" t="n">
        <v>2</v>
      </c>
      <c r="G75" s="3" t="n">
        <v>485</v>
      </c>
      <c r="H75" s="4" t="n">
        <f aca="false">G75/E75</f>
        <v>17.3214285714286</v>
      </c>
      <c r="I75" s="3" t="n">
        <v>1.5</v>
      </c>
      <c r="J75" s="4" t="n">
        <f aca="false">(F75-Assumptions!$B$17)/(Assumptions!$C$17-Assumptions!$B$17)</f>
        <v>0.0909090909090909</v>
      </c>
      <c r="K75" s="4" t="n">
        <f aca="false">(H75-Assumptions!$B$18)/(Assumptions!$C$18-Assumptions!$B$18)</f>
        <v>0.0214166916065242</v>
      </c>
      <c r="L75" s="4" t="n">
        <f aca="false">(I75-Assumptions!$B$19)/(Assumptions!$C$19-Assumptions!$B$19)</f>
        <v>0.219512195121951</v>
      </c>
      <c r="M75" s="4" t="n">
        <f aca="false">0.4*J75+0.4*K75+0.2*L75</f>
        <v>0.0888327520306363</v>
      </c>
    </row>
    <row r="76" customFormat="false" ht="15" hidden="false" customHeight="false" outlineLevel="0" collapsed="false">
      <c r="A76" s="3" t="s">
        <v>2</v>
      </c>
      <c r="B76" s="3" t="s">
        <v>269</v>
      </c>
      <c r="C76" s="3" t="s">
        <v>270</v>
      </c>
      <c r="D76" s="3" t="s">
        <v>615</v>
      </c>
      <c r="E76" s="3" t="n">
        <v>389</v>
      </c>
      <c r="F76" s="3" t="n">
        <v>11</v>
      </c>
      <c r="G76" s="3" t="n">
        <v>169</v>
      </c>
      <c r="H76" s="4" t="n">
        <f aca="false">G76/E76</f>
        <v>0.434447300771208</v>
      </c>
      <c r="I76" s="3" t="n">
        <v>3.2</v>
      </c>
      <c r="J76" s="4" t="n">
        <f aca="false">(F76-Assumptions!$B$17)/(Assumptions!$C$17-Assumptions!$B$17)</f>
        <v>0.909090909090909</v>
      </c>
      <c r="K76" s="4" t="n">
        <f aca="false">(H76-Assumptions!$B$18)/(Assumptions!$C$18-Assumptions!$B$18)</f>
        <v>0.000463519301252309</v>
      </c>
      <c r="L76" s="4" t="n">
        <f aca="false">(I76-Assumptions!$B$19)/(Assumptions!$C$19-Assumptions!$B$19)</f>
        <v>0.634146341463415</v>
      </c>
      <c r="M76" s="4" t="n">
        <f aca="false">0.4*J76+0.4*K76+0.2*L76</f>
        <v>0.490651039649548</v>
      </c>
    </row>
    <row r="77" customFormat="false" ht="15" hidden="false" customHeight="false" outlineLevel="0" collapsed="false">
      <c r="A77" s="3" t="s">
        <v>2</v>
      </c>
      <c r="B77" s="3" t="s">
        <v>272</v>
      </c>
      <c r="C77" s="3" t="s">
        <v>273</v>
      </c>
      <c r="D77" s="3" t="s">
        <v>274</v>
      </c>
      <c r="E77" s="3" t="n">
        <v>3.5</v>
      </c>
      <c r="F77" s="3" t="n">
        <v>2</v>
      </c>
      <c r="G77" s="3" t="n">
        <v>521</v>
      </c>
      <c r="H77" s="4" t="n">
        <f aca="false">G77/E77</f>
        <v>148.857142857143</v>
      </c>
      <c r="I77" s="3" t="n">
        <v>1.1</v>
      </c>
      <c r="J77" s="4" t="n">
        <f aca="false">(F77-Assumptions!$B$17)/(Assumptions!$C$17-Assumptions!$B$17)</f>
        <v>0.0909090909090909</v>
      </c>
      <c r="K77" s="4" t="n">
        <f aca="false">(H77-Assumptions!$B$18)/(Assumptions!$C$18-Assumptions!$B$18)</f>
        <v>0.18462469436037</v>
      </c>
      <c r="L77" s="4" t="n">
        <f aca="false">(I77-Assumptions!$B$19)/(Assumptions!$C$19-Assumptions!$B$19)</f>
        <v>0.121951219512195</v>
      </c>
      <c r="M77" s="4" t="n">
        <f aca="false">0.4*J77+0.4*K77+0.2*L77</f>
        <v>0.134603758010223</v>
      </c>
    </row>
    <row r="78" customFormat="false" ht="15" hidden="false" customHeight="false" outlineLevel="0" collapsed="false">
      <c r="A78" s="3" t="s">
        <v>2</v>
      </c>
      <c r="B78" s="3" t="s">
        <v>275</v>
      </c>
      <c r="C78" s="3" t="s">
        <v>276</v>
      </c>
      <c r="D78" s="3" t="s">
        <v>277</v>
      </c>
      <c r="E78" s="3" t="n">
        <v>4</v>
      </c>
      <c r="F78" s="3" t="n">
        <v>2</v>
      </c>
      <c r="G78" s="3" t="n">
        <v>521</v>
      </c>
      <c r="H78" s="4" t="n">
        <f aca="false">G78/E78</f>
        <v>130.25</v>
      </c>
      <c r="I78" s="3" t="n">
        <v>1.1</v>
      </c>
      <c r="J78" s="4" t="n">
        <f aca="false">(F78-Assumptions!$B$17)/(Assumptions!$C$17-Assumptions!$B$17)</f>
        <v>0.0909090909090909</v>
      </c>
      <c r="K78" s="4" t="n">
        <f aca="false">(H78-Assumptions!$B$18)/(Assumptions!$C$18-Assumptions!$B$18)</f>
        <v>0.161537165325682</v>
      </c>
      <c r="L78" s="4" t="n">
        <f aca="false">(I78-Assumptions!$B$19)/(Assumptions!$C$19-Assumptions!$B$19)</f>
        <v>0.121951219512195</v>
      </c>
      <c r="M78" s="4" t="n">
        <f aca="false">0.4*J78+0.4*K78+0.2*L78</f>
        <v>0.125368746396348</v>
      </c>
    </row>
    <row r="79" customFormat="false" ht="15" hidden="false" customHeight="false" outlineLevel="0" collapsed="false">
      <c r="A79" s="3" t="s">
        <v>2</v>
      </c>
      <c r="B79" s="3" t="s">
        <v>278</v>
      </c>
      <c r="C79" s="3" t="s">
        <v>279</v>
      </c>
      <c r="D79" s="3" t="s">
        <v>280</v>
      </c>
      <c r="E79" s="3" t="n">
        <v>1899.5</v>
      </c>
      <c r="F79" s="3" t="n">
        <v>3</v>
      </c>
      <c r="G79" s="3" t="n">
        <v>729</v>
      </c>
      <c r="H79" s="4" t="n">
        <f aca="false">G79/E79</f>
        <v>0.383785206633325</v>
      </c>
      <c r="I79" s="3" t="n">
        <v>1.3</v>
      </c>
      <c r="J79" s="4" t="n">
        <f aca="false">(F79-Assumptions!$B$17)/(Assumptions!$C$17-Assumptions!$B$17)</f>
        <v>0.181818181818182</v>
      </c>
      <c r="K79" s="4" t="n">
        <f aca="false">(H79-Assumptions!$B$18)/(Assumptions!$C$18-Assumptions!$B$18)</f>
        <v>0.000400658357025321</v>
      </c>
      <c r="L79" s="4" t="n">
        <f aca="false">(I79-Assumptions!$B$19)/(Assumptions!$C$19-Assumptions!$B$19)</f>
        <v>0.170731707317073</v>
      </c>
      <c r="M79" s="4" t="n">
        <f aca="false">0.4*J79+0.4*K79+0.2*L79</f>
        <v>0.107033877533498</v>
      </c>
    </row>
    <row r="80" customFormat="false" ht="15" hidden="false" customHeight="false" outlineLevel="0" collapsed="false">
      <c r="A80" s="3" t="s">
        <v>2</v>
      </c>
      <c r="B80" s="3" t="s">
        <v>281</v>
      </c>
      <c r="C80" s="3" t="s">
        <v>282</v>
      </c>
      <c r="D80" s="3" t="s">
        <v>616</v>
      </c>
      <c r="E80" s="3" t="n">
        <v>4.5</v>
      </c>
      <c r="F80" s="3" t="n">
        <v>6</v>
      </c>
      <c r="G80" s="3" t="n">
        <v>225</v>
      </c>
      <c r="H80" s="4" t="n">
        <f aca="false">G80/E80</f>
        <v>50</v>
      </c>
      <c r="I80" s="3" t="n">
        <v>1.9</v>
      </c>
      <c r="J80" s="4" t="n">
        <f aca="false">(F80-Assumptions!$B$17)/(Assumptions!$C$17-Assumptions!$B$17)</f>
        <v>0.454545454545455</v>
      </c>
      <c r="K80" s="4" t="n">
        <f aca="false">(H80-Assumptions!$B$18)/(Assumptions!$C$18-Assumptions!$B$18)</f>
        <v>0.0619638875119732</v>
      </c>
      <c r="L80" s="4" t="n">
        <f aca="false">(I80-Assumptions!$B$19)/(Assumptions!$C$19-Assumptions!$B$19)</f>
        <v>0.317073170731707</v>
      </c>
      <c r="M80" s="4" t="n">
        <f aca="false">0.4*J80+0.4*K80+0.2*L80</f>
        <v>0.270018370969313</v>
      </c>
    </row>
    <row r="81" customFormat="false" ht="15" hidden="false" customHeight="false" outlineLevel="0" collapsed="false">
      <c r="A81" s="3" t="s">
        <v>2</v>
      </c>
      <c r="B81" s="3" t="s">
        <v>284</v>
      </c>
      <c r="C81" s="3" t="s">
        <v>285</v>
      </c>
      <c r="D81" s="3" t="s">
        <v>286</v>
      </c>
      <c r="E81" s="3" t="n">
        <v>56</v>
      </c>
      <c r="F81" s="3" t="n">
        <v>4</v>
      </c>
      <c r="G81" s="3" t="n">
        <v>225</v>
      </c>
      <c r="H81" s="4" t="n">
        <f aca="false">G81/E81</f>
        <v>4.01785714285714</v>
      </c>
      <c r="I81" s="3" t="n">
        <v>1.4</v>
      </c>
      <c r="J81" s="4" t="n">
        <f aca="false">(F81-Assumptions!$B$17)/(Assumptions!$C$17-Assumptions!$B$17)</f>
        <v>0.272727272727273</v>
      </c>
      <c r="K81" s="4" t="n">
        <f aca="false">(H81-Assumptions!$B$18)/(Assumptions!$C$18-Assumptions!$B$18)</f>
        <v>0.00490977305485234</v>
      </c>
      <c r="L81" s="4" t="n">
        <f aca="false">(I81-Assumptions!$B$19)/(Assumptions!$C$19-Assumptions!$B$19)</f>
        <v>0.195121951219512</v>
      </c>
      <c r="M81" s="4" t="n">
        <f aca="false">0.4*J81+0.4*K81+0.2*L81</f>
        <v>0.150079208556752</v>
      </c>
    </row>
    <row r="82" customFormat="false" ht="15" hidden="false" customHeight="false" outlineLevel="0" collapsed="false">
      <c r="A82" s="3" t="s">
        <v>2</v>
      </c>
      <c r="B82" s="3" t="s">
        <v>287</v>
      </c>
      <c r="C82" s="3" t="s">
        <v>288</v>
      </c>
      <c r="D82" s="3" t="s">
        <v>617</v>
      </c>
      <c r="E82" s="3" t="n">
        <v>61</v>
      </c>
      <c r="F82" s="3" t="n">
        <v>2</v>
      </c>
      <c r="G82" s="3" t="n">
        <v>545</v>
      </c>
      <c r="H82" s="4" t="n">
        <f aca="false">G82/E82</f>
        <v>8.9344262295082</v>
      </c>
      <c r="I82" s="3" t="n">
        <v>1.8</v>
      </c>
      <c r="J82" s="4" t="n">
        <f aca="false">(F82-Assumptions!$B$17)/(Assumptions!$C$17-Assumptions!$B$17)</f>
        <v>0.0909090909090909</v>
      </c>
      <c r="K82" s="4" t="n">
        <f aca="false">(H82-Assumptions!$B$18)/(Assumptions!$C$18-Assumptions!$B$18)</f>
        <v>0.0110101954792187</v>
      </c>
      <c r="L82" s="4" t="n">
        <f aca="false">(I82-Assumptions!$B$19)/(Assumptions!$C$19-Assumptions!$B$19)</f>
        <v>0.292682926829268</v>
      </c>
      <c r="M82" s="4" t="n">
        <f aca="false">0.4*J82+0.4*K82+0.2*L82</f>
        <v>0.0993042999211775</v>
      </c>
    </row>
    <row r="83" customFormat="false" ht="15" hidden="false" customHeight="false" outlineLevel="0" collapsed="false">
      <c r="A83" s="3" t="s">
        <v>2</v>
      </c>
      <c r="B83" s="3" t="s">
        <v>290</v>
      </c>
      <c r="C83" s="3" t="s">
        <v>288</v>
      </c>
      <c r="D83" s="3" t="s">
        <v>617</v>
      </c>
      <c r="E83" s="3" t="n">
        <v>3438</v>
      </c>
      <c r="F83" s="3" t="n">
        <v>2</v>
      </c>
      <c r="G83" s="3" t="n">
        <v>545</v>
      </c>
      <c r="H83" s="4" t="n">
        <f aca="false">G83/E83</f>
        <v>0.158522396742292</v>
      </c>
      <c r="I83" s="3" t="n">
        <v>1.8</v>
      </c>
      <c r="J83" s="4" t="n">
        <f aca="false">(F83-Assumptions!$B$17)/(Assumptions!$C$17-Assumptions!$B$17)</f>
        <v>0.0909090909090909</v>
      </c>
      <c r="K83" s="4" t="n">
        <f aca="false">(H83-Assumptions!$B$18)/(Assumptions!$C$18-Assumptions!$B$18)</f>
        <v>0.000121154851101626</v>
      </c>
      <c r="L83" s="4" t="n">
        <f aca="false">(I83-Assumptions!$B$19)/(Assumptions!$C$19-Assumptions!$B$19)</f>
        <v>0.292682926829268</v>
      </c>
      <c r="M83" s="4" t="n">
        <f aca="false">0.4*J83+0.4*K83+0.2*L83</f>
        <v>0.0949486836699307</v>
      </c>
    </row>
    <row r="84" customFormat="false" ht="15" hidden="false" customHeight="false" outlineLevel="0" collapsed="false">
      <c r="A84" s="3" t="s">
        <v>2</v>
      </c>
      <c r="B84" s="3" t="s">
        <v>291</v>
      </c>
      <c r="C84" s="3" t="s">
        <v>288</v>
      </c>
      <c r="D84" s="3" t="s">
        <v>617</v>
      </c>
      <c r="E84" s="3" t="n">
        <v>12.5</v>
      </c>
      <c r="F84" s="3" t="n">
        <v>2</v>
      </c>
      <c r="G84" s="3" t="n">
        <v>545</v>
      </c>
      <c r="H84" s="4" t="n">
        <f aca="false">G84/E84</f>
        <v>43.6</v>
      </c>
      <c r="I84" s="3" t="n">
        <v>1.8</v>
      </c>
      <c r="J84" s="4" t="n">
        <f aca="false">(F84-Assumptions!$B$17)/(Assumptions!$C$17-Assumptions!$B$17)</f>
        <v>0.0909090909090909</v>
      </c>
      <c r="K84" s="4" t="n">
        <f aca="false">(H84-Assumptions!$B$18)/(Assumptions!$C$18-Assumptions!$B$18)</f>
        <v>0.0540228410570481</v>
      </c>
      <c r="L84" s="4" t="n">
        <f aca="false">(I84-Assumptions!$B$19)/(Assumptions!$C$19-Assumptions!$B$19)</f>
        <v>0.292682926829268</v>
      </c>
      <c r="M84" s="4" t="n">
        <f aca="false">0.4*J84+0.4*K84+0.2*L84</f>
        <v>0.116509358152309</v>
      </c>
    </row>
    <row r="85" customFormat="false" ht="15" hidden="false" customHeight="false" outlineLevel="0" collapsed="false">
      <c r="A85" s="3" t="s">
        <v>2</v>
      </c>
      <c r="B85" s="3" t="s">
        <v>292</v>
      </c>
      <c r="C85" s="3" t="s">
        <v>288</v>
      </c>
      <c r="D85" s="3" t="s">
        <v>617</v>
      </c>
      <c r="E85" s="3" t="n">
        <v>2400</v>
      </c>
      <c r="F85" s="3" t="n">
        <v>2</v>
      </c>
      <c r="G85" s="3" t="n">
        <v>545</v>
      </c>
      <c r="H85" s="4" t="n">
        <f aca="false">G85/E85</f>
        <v>0.227083333333333</v>
      </c>
      <c r="I85" s="3" t="n">
        <v>1.8</v>
      </c>
      <c r="J85" s="4" t="n">
        <f aca="false">(F85-Assumptions!$B$17)/(Assumptions!$C$17-Assumptions!$B$17)</f>
        <v>0.0909090909090909</v>
      </c>
      <c r="K85" s="4" t="n">
        <f aca="false">(H85-Assumptions!$B$18)/(Assumptions!$C$18-Assumptions!$B$18)</f>
        <v>0.000206224473361412</v>
      </c>
      <c r="L85" s="4" t="n">
        <f aca="false">(I85-Assumptions!$B$19)/(Assumptions!$C$19-Assumptions!$B$19)</f>
        <v>0.292682926829268</v>
      </c>
      <c r="M85" s="4" t="n">
        <f aca="false">0.4*J85+0.4*K85+0.2*L85</f>
        <v>0.0949827115188346</v>
      </c>
    </row>
    <row r="86" customFormat="false" ht="15" hidden="false" customHeight="false" outlineLevel="0" collapsed="false">
      <c r="A86" s="3" t="s">
        <v>2</v>
      </c>
      <c r="B86" s="3" t="s">
        <v>293</v>
      </c>
      <c r="C86" s="3" t="s">
        <v>288</v>
      </c>
      <c r="D86" s="3" t="s">
        <v>617</v>
      </c>
      <c r="E86" s="3" t="n">
        <v>1133</v>
      </c>
      <c r="F86" s="3" t="n">
        <v>2</v>
      </c>
      <c r="G86" s="3" t="n">
        <v>545</v>
      </c>
      <c r="H86" s="4" t="n">
        <f aca="false">G86/E86</f>
        <v>0.481023830538394</v>
      </c>
      <c r="I86" s="3" t="n">
        <v>1.8</v>
      </c>
      <c r="J86" s="4" t="n">
        <f aca="false">(F86-Assumptions!$B$17)/(Assumptions!$C$17-Assumptions!$B$17)</f>
        <v>0.0909090909090909</v>
      </c>
      <c r="K86" s="4" t="n">
        <f aca="false">(H86-Assumptions!$B$18)/(Assumptions!$C$18-Assumptions!$B$18)</f>
        <v>0.000521310924157062</v>
      </c>
      <c r="L86" s="4" t="n">
        <f aca="false">(I86-Assumptions!$B$19)/(Assumptions!$C$19-Assumptions!$B$19)</f>
        <v>0.292682926829268</v>
      </c>
      <c r="M86" s="4" t="n">
        <f aca="false">0.4*J86+0.4*K86+0.2*L86</f>
        <v>0.0951087460991529</v>
      </c>
    </row>
    <row r="87" customFormat="false" ht="15" hidden="false" customHeight="false" outlineLevel="0" collapsed="false">
      <c r="A87" s="3" t="s">
        <v>2</v>
      </c>
      <c r="B87" s="3" t="s">
        <v>294</v>
      </c>
      <c r="C87" s="3" t="s">
        <v>295</v>
      </c>
      <c r="D87" s="3" t="s">
        <v>618</v>
      </c>
      <c r="E87" s="3" t="n">
        <v>1611</v>
      </c>
      <c r="F87" s="3" t="n">
        <v>3</v>
      </c>
      <c r="G87" s="3" t="n">
        <v>741</v>
      </c>
      <c r="H87" s="4" t="n">
        <f aca="false">G87/E87</f>
        <v>0.459962756052142</v>
      </c>
      <c r="I87" s="3" t="n">
        <v>0.9</v>
      </c>
      <c r="J87" s="4" t="n">
        <f aca="false">(F87-Assumptions!$B$17)/(Assumptions!$C$17-Assumptions!$B$17)</f>
        <v>0.181818181818182</v>
      </c>
      <c r="K87" s="4" t="n">
        <f aca="false">(H87-Assumptions!$B$18)/(Assumptions!$C$18-Assumptions!$B$18)</f>
        <v>0.00049517858495613</v>
      </c>
      <c r="L87" s="4" t="n">
        <f aca="false">(I87-Assumptions!$B$19)/(Assumptions!$C$19-Assumptions!$B$19)</f>
        <v>0.0731707317073171</v>
      </c>
      <c r="M87" s="4" t="n">
        <f aca="false">0.4*J87+0.4*K87+0.2*L87</f>
        <v>0.0875594905027186</v>
      </c>
    </row>
    <row r="88" customFormat="false" ht="15" hidden="false" customHeight="false" outlineLevel="0" collapsed="false">
      <c r="A88" s="3" t="s">
        <v>2</v>
      </c>
      <c r="B88" s="3" t="s">
        <v>297</v>
      </c>
      <c r="C88" s="3" t="s">
        <v>298</v>
      </c>
      <c r="D88" s="3" t="s">
        <v>299</v>
      </c>
      <c r="E88" s="3" t="n">
        <v>108.5</v>
      </c>
      <c r="F88" s="3" t="n">
        <v>2</v>
      </c>
      <c r="G88" s="3" t="n">
        <v>509</v>
      </c>
      <c r="H88" s="4" t="n">
        <f aca="false">G88/E88</f>
        <v>4.69124423963134</v>
      </c>
      <c r="I88" s="3" t="n">
        <v>1.8</v>
      </c>
      <c r="J88" s="4" t="n">
        <f aca="false">(F88-Assumptions!$B$17)/(Assumptions!$C$17-Assumptions!$B$17)</f>
        <v>0.0909090909090909</v>
      </c>
      <c r="K88" s="4" t="n">
        <f aca="false">(H88-Assumptions!$B$18)/(Assumptions!$C$18-Assumptions!$B$18)</f>
        <v>0.00574530402635719</v>
      </c>
      <c r="L88" s="4" t="n">
        <f aca="false">(I88-Assumptions!$B$19)/(Assumptions!$C$19-Assumptions!$B$19)</f>
        <v>0.292682926829268</v>
      </c>
      <c r="M88" s="4" t="n">
        <f aca="false">0.4*J88+0.4*K88+0.2*L88</f>
        <v>0.0971983433400329</v>
      </c>
    </row>
    <row r="89" customFormat="false" ht="15" hidden="false" customHeight="false" outlineLevel="0" collapsed="false">
      <c r="A89" s="3" t="s">
        <v>2</v>
      </c>
      <c r="B89" s="3" t="s">
        <v>300</v>
      </c>
      <c r="C89" s="3" t="s">
        <v>301</v>
      </c>
      <c r="D89" s="3" t="s">
        <v>302</v>
      </c>
      <c r="E89" s="3" t="n">
        <v>30.5</v>
      </c>
      <c r="F89" s="3" t="n">
        <v>3</v>
      </c>
      <c r="G89" s="3" t="n">
        <v>521</v>
      </c>
      <c r="H89" s="4" t="n">
        <f aca="false">G89/E89</f>
        <v>17.0819672131148</v>
      </c>
      <c r="I89" s="3" t="n">
        <v>1.1</v>
      </c>
      <c r="J89" s="4" t="n">
        <f aca="false">(F89-Assumptions!$B$17)/(Assumptions!$C$17-Assumptions!$B$17)</f>
        <v>0.181818181818182</v>
      </c>
      <c r="K89" s="4" t="n">
        <f aca="false">(H89-Assumptions!$B$18)/(Assumptions!$C$18-Assumptions!$B$18)</f>
        <v>0.021119570704879</v>
      </c>
      <c r="L89" s="4" t="n">
        <f aca="false">(I89-Assumptions!$B$19)/(Assumptions!$C$19-Assumptions!$B$19)</f>
        <v>0.121951219512195</v>
      </c>
      <c r="M89" s="4" t="n">
        <f aca="false">0.4*J89+0.4*K89+0.2*L89</f>
        <v>0.105565344911663</v>
      </c>
    </row>
    <row r="90" customFormat="false" ht="15" hidden="false" customHeight="false" outlineLevel="0" collapsed="false">
      <c r="A90" s="3" t="s">
        <v>2</v>
      </c>
      <c r="B90" s="3" t="s">
        <v>303</v>
      </c>
      <c r="C90" s="3" t="s">
        <v>304</v>
      </c>
      <c r="D90" s="3" t="s">
        <v>305</v>
      </c>
      <c r="E90" s="3" t="n">
        <v>2.5</v>
      </c>
      <c r="F90" s="3" t="n">
        <v>4</v>
      </c>
      <c r="G90" s="3" t="n">
        <v>285</v>
      </c>
      <c r="H90" s="4" t="n">
        <f aca="false">G90/E90</f>
        <v>114</v>
      </c>
      <c r="I90" s="3" t="n">
        <v>1.8</v>
      </c>
      <c r="J90" s="4" t="n">
        <f aca="false">(F90-Assumptions!$B$17)/(Assumptions!$C$17-Assumptions!$B$17)</f>
        <v>0.272727272727273</v>
      </c>
      <c r="K90" s="4" t="n">
        <f aca="false">(H90-Assumptions!$B$18)/(Assumptions!$C$18-Assumptions!$B$18)</f>
        <v>0.141374352061224</v>
      </c>
      <c r="L90" s="4" t="n">
        <f aca="false">(I90-Assumptions!$B$19)/(Assumptions!$C$19-Assumptions!$B$19)</f>
        <v>0.292682926829268</v>
      </c>
      <c r="M90" s="4" t="n">
        <f aca="false">0.4*J90+0.4*K90+0.2*L90</f>
        <v>0.224177235281252</v>
      </c>
    </row>
    <row r="91" customFormat="false" ht="15" hidden="false" customHeight="false" outlineLevel="0" collapsed="false">
      <c r="A91" s="3" t="s">
        <v>2</v>
      </c>
      <c r="B91" s="3" t="s">
        <v>306</v>
      </c>
      <c r="C91" s="3" t="s">
        <v>307</v>
      </c>
      <c r="D91" s="3" t="s">
        <v>308</v>
      </c>
      <c r="E91" s="3" t="n">
        <v>140</v>
      </c>
      <c r="F91" s="3" t="n">
        <v>1</v>
      </c>
      <c r="G91" s="3" t="n">
        <v>657</v>
      </c>
      <c r="H91" s="4" t="n">
        <f aca="false">G91/E91</f>
        <v>4.69285714285714</v>
      </c>
      <c r="I91" s="3" t="n">
        <v>0.8</v>
      </c>
      <c r="J91" s="4" t="n">
        <f aca="false">(F91-Assumptions!$B$17)/(Assumptions!$C$17-Assumptions!$B$17)</f>
        <v>0</v>
      </c>
      <c r="K91" s="4" t="n">
        <f aca="false">(H91-Assumptions!$B$18)/(Assumptions!$C$18-Assumptions!$B$18)</f>
        <v>0.00574730529814522</v>
      </c>
      <c r="L91" s="4" t="n">
        <f aca="false">(I91-Assumptions!$B$19)/(Assumptions!$C$19-Assumptions!$B$19)</f>
        <v>0.0487804878048781</v>
      </c>
      <c r="M91" s="4" t="n">
        <f aca="false">0.4*J91+0.4*K91+0.2*L91</f>
        <v>0.0120550196802337</v>
      </c>
    </row>
    <row r="92" customFormat="false" ht="15" hidden="false" customHeight="false" outlineLevel="0" collapsed="false">
      <c r="A92" s="3" t="s">
        <v>2</v>
      </c>
      <c r="B92" s="3" t="s">
        <v>309</v>
      </c>
      <c r="C92" s="3" t="s">
        <v>307</v>
      </c>
      <c r="D92" s="3" t="s">
        <v>308</v>
      </c>
      <c r="E92" s="3" t="n">
        <v>11</v>
      </c>
      <c r="F92" s="3" t="n">
        <v>1</v>
      </c>
      <c r="G92" s="3" t="n">
        <v>657</v>
      </c>
      <c r="H92" s="4" t="n">
        <f aca="false">G92/E92</f>
        <v>59.7272727272727</v>
      </c>
      <c r="I92" s="3" t="n">
        <v>0.8</v>
      </c>
      <c r="J92" s="4" t="n">
        <f aca="false">(F92-Assumptions!$B$17)/(Assumptions!$C$17-Assumptions!$B$17)</f>
        <v>0</v>
      </c>
      <c r="K92" s="4" t="n">
        <f aca="false">(H92-Assumptions!$B$18)/(Assumptions!$C$18-Assumptions!$B$18)</f>
        <v>0.0740333757318167</v>
      </c>
      <c r="L92" s="4" t="n">
        <f aca="false">(I92-Assumptions!$B$19)/(Assumptions!$C$19-Assumptions!$B$19)</f>
        <v>0.0487804878048781</v>
      </c>
      <c r="M92" s="4" t="n">
        <f aca="false">0.4*J92+0.4*K92+0.2*L92</f>
        <v>0.0393694478537023</v>
      </c>
    </row>
    <row r="93" customFormat="false" ht="15" hidden="false" customHeight="false" outlineLevel="0" collapsed="false">
      <c r="A93" s="3" t="s">
        <v>2</v>
      </c>
      <c r="B93" s="3" t="s">
        <v>310</v>
      </c>
      <c r="C93" s="3" t="s">
        <v>307</v>
      </c>
      <c r="D93" s="3" t="s">
        <v>308</v>
      </c>
      <c r="E93" s="3" t="n">
        <v>767.5</v>
      </c>
      <c r="F93" s="3" t="n">
        <v>1</v>
      </c>
      <c r="G93" s="3" t="n">
        <v>657</v>
      </c>
      <c r="H93" s="4" t="n">
        <f aca="false">G93/E93</f>
        <v>0.856026058631922</v>
      </c>
      <c r="I93" s="3" t="n">
        <v>0.8</v>
      </c>
      <c r="J93" s="4" t="n">
        <f aca="false">(F93-Assumptions!$B$17)/(Assumptions!$C$17-Assumptions!$B$17)</f>
        <v>0</v>
      </c>
      <c r="K93" s="4" t="n">
        <f aca="false">(H93-Assumptions!$B$18)/(Assumptions!$C$18-Assumptions!$B$18)</f>
        <v>0.000986609379468175</v>
      </c>
      <c r="L93" s="4" t="n">
        <f aca="false">(I93-Assumptions!$B$19)/(Assumptions!$C$19-Assumptions!$B$19)</f>
        <v>0.0487804878048781</v>
      </c>
      <c r="M93" s="4" t="n">
        <f aca="false">0.4*J93+0.4*K93+0.2*L93</f>
        <v>0.0101507413127629</v>
      </c>
    </row>
    <row r="94" customFormat="false" ht="15" hidden="false" customHeight="false" outlineLevel="0" collapsed="false">
      <c r="A94" s="3" t="s">
        <v>2</v>
      </c>
      <c r="B94" s="3" t="s">
        <v>311</v>
      </c>
      <c r="C94" s="3" t="s">
        <v>307</v>
      </c>
      <c r="D94" s="3" t="s">
        <v>308</v>
      </c>
      <c r="E94" s="3" t="n">
        <v>1200</v>
      </c>
      <c r="F94" s="3" t="n">
        <v>1</v>
      </c>
      <c r="G94" s="3" t="n">
        <v>657</v>
      </c>
      <c r="H94" s="4" t="n">
        <f aca="false">G94/E94</f>
        <v>0.5475</v>
      </c>
      <c r="I94" s="3" t="n">
        <v>0.8</v>
      </c>
      <c r="J94" s="4" t="n">
        <f aca="false">(F94-Assumptions!$B$17)/(Assumptions!$C$17-Assumptions!$B$17)</f>
        <v>0</v>
      </c>
      <c r="K94" s="4" t="n">
        <f aca="false">(H94-Assumptions!$B$18)/(Assumptions!$C$18-Assumptions!$B$18)</f>
        <v>0.000603793791319576</v>
      </c>
      <c r="L94" s="4" t="n">
        <f aca="false">(I94-Assumptions!$B$19)/(Assumptions!$C$19-Assumptions!$B$19)</f>
        <v>0.0487804878048781</v>
      </c>
      <c r="M94" s="4" t="n">
        <f aca="false">0.4*J94+0.4*K94+0.2*L94</f>
        <v>0.00999761507750344</v>
      </c>
    </row>
    <row r="95" customFormat="false" ht="15" hidden="false" customHeight="false" outlineLevel="0" collapsed="false">
      <c r="A95" s="3" t="s">
        <v>2</v>
      </c>
      <c r="B95" s="3" t="s">
        <v>312</v>
      </c>
      <c r="C95" s="3" t="s">
        <v>307</v>
      </c>
      <c r="D95" s="3" t="s">
        <v>308</v>
      </c>
      <c r="E95" s="3" t="n">
        <v>91</v>
      </c>
      <c r="F95" s="3" t="n">
        <v>1</v>
      </c>
      <c r="G95" s="3" t="n">
        <v>657</v>
      </c>
      <c r="H95" s="4" t="n">
        <f aca="false">G95/E95</f>
        <v>7.21978021978022</v>
      </c>
      <c r="I95" s="3" t="n">
        <v>0.8</v>
      </c>
      <c r="J95" s="4" t="n">
        <f aca="false">(F95-Assumptions!$B$17)/(Assumptions!$C$17-Assumptions!$B$17)</f>
        <v>0</v>
      </c>
      <c r="K95" s="4" t="n">
        <f aca="false">(H95-Assumptions!$B$18)/(Assumptions!$C$18-Assumptions!$B$18)</f>
        <v>0.00888268241406216</v>
      </c>
      <c r="L95" s="4" t="n">
        <f aca="false">(I95-Assumptions!$B$19)/(Assumptions!$C$19-Assumptions!$B$19)</f>
        <v>0.0487804878048781</v>
      </c>
      <c r="M95" s="4" t="n">
        <f aca="false">0.4*J95+0.4*K95+0.2*L95</f>
        <v>0.0133091705266005</v>
      </c>
    </row>
    <row r="96" customFormat="false" ht="15" hidden="false" customHeight="false" outlineLevel="0" collapsed="false">
      <c r="A96" s="3" t="s">
        <v>2</v>
      </c>
      <c r="B96" s="3" t="s">
        <v>313</v>
      </c>
      <c r="C96" s="3" t="s">
        <v>314</v>
      </c>
      <c r="D96" s="3" t="s">
        <v>148</v>
      </c>
      <c r="E96" s="3" t="n">
        <v>1611</v>
      </c>
      <c r="F96" s="3" t="n">
        <v>9</v>
      </c>
      <c r="G96" s="3" t="n">
        <v>169</v>
      </c>
      <c r="H96" s="4" t="n">
        <f aca="false">G96/E96</f>
        <v>0.104903786468032</v>
      </c>
      <c r="I96" s="3" t="n">
        <v>2.8</v>
      </c>
      <c r="J96" s="4" t="n">
        <f aca="false">(F96-Assumptions!$B$17)/(Assumptions!$C$17-Assumptions!$B$17)</f>
        <v>0.727272727272727</v>
      </c>
      <c r="K96" s="4" t="n">
        <f aca="false">(H96-Assumptions!$B$18)/(Assumptions!$C$18-Assumptions!$B$18)</f>
        <v>5.46254956271849E-005</v>
      </c>
      <c r="L96" s="4" t="n">
        <f aca="false">(I96-Assumptions!$B$19)/(Assumptions!$C$19-Assumptions!$B$19)</f>
        <v>0.536585365853658</v>
      </c>
      <c r="M96" s="4" t="n">
        <f aca="false">0.4*J96+0.4*K96+0.2*L96</f>
        <v>0.398248014278074</v>
      </c>
    </row>
    <row r="97" customFormat="false" ht="15" hidden="false" customHeight="false" outlineLevel="0" collapsed="false">
      <c r="A97" s="3" t="s">
        <v>2</v>
      </c>
      <c r="B97" s="3" t="s">
        <v>315</v>
      </c>
      <c r="C97" s="3" t="s">
        <v>316</v>
      </c>
      <c r="D97" s="3" t="s">
        <v>619</v>
      </c>
      <c r="E97" s="3" t="n">
        <v>497.5</v>
      </c>
      <c r="F97" s="3" t="n">
        <v>5</v>
      </c>
      <c r="G97" s="3" t="n">
        <v>225</v>
      </c>
      <c r="H97" s="4" t="n">
        <f aca="false">G97/E97</f>
        <v>0.452261306532663</v>
      </c>
      <c r="I97" s="3" t="n">
        <v>1.9</v>
      </c>
      <c r="J97" s="4" t="n">
        <f aca="false">(F97-Assumptions!$B$17)/(Assumptions!$C$17-Assumptions!$B$17)</f>
        <v>0.363636363636364</v>
      </c>
      <c r="K97" s="4" t="n">
        <f aca="false">(H97-Assumptions!$B$18)/(Assumptions!$C$18-Assumptions!$B$18)</f>
        <v>0.000485622714892937</v>
      </c>
      <c r="L97" s="4" t="n">
        <f aca="false">(I97-Assumptions!$B$19)/(Assumptions!$C$19-Assumptions!$B$19)</f>
        <v>0.317073170731707</v>
      </c>
      <c r="M97" s="4" t="n">
        <f aca="false">0.4*J97+0.4*K97+0.2*L97</f>
        <v>0.209063428686844</v>
      </c>
    </row>
    <row r="98" customFormat="false" ht="15" hidden="false" customHeight="false" outlineLevel="0" collapsed="false">
      <c r="A98" s="3" t="s">
        <v>2</v>
      </c>
      <c r="B98" s="3" t="s">
        <v>318</v>
      </c>
      <c r="C98" s="3" t="s">
        <v>319</v>
      </c>
      <c r="D98" s="3" t="s">
        <v>277</v>
      </c>
      <c r="E98" s="3" t="n">
        <v>5</v>
      </c>
      <c r="F98" s="3" t="n">
        <v>2</v>
      </c>
      <c r="G98" s="3" t="n">
        <v>521</v>
      </c>
      <c r="H98" s="4" t="n">
        <f aca="false">G98/E98</f>
        <v>104.2</v>
      </c>
      <c r="I98" s="3" t="n">
        <v>1.1</v>
      </c>
      <c r="J98" s="4" t="n">
        <f aca="false">(F98-Assumptions!$B$17)/(Assumptions!$C$17-Assumptions!$B$17)</f>
        <v>0.0909090909090909</v>
      </c>
      <c r="K98" s="4" t="n">
        <f aca="false">(H98-Assumptions!$B$18)/(Assumptions!$C$18-Assumptions!$B$18)</f>
        <v>0.12921462467712</v>
      </c>
      <c r="L98" s="4" t="n">
        <f aca="false">(I98-Assumptions!$B$19)/(Assumptions!$C$19-Assumptions!$B$19)</f>
        <v>0.121951219512195</v>
      </c>
      <c r="M98" s="4" t="n">
        <f aca="false">0.4*J98+0.4*K98+0.2*L98</f>
        <v>0.112439730136923</v>
      </c>
    </row>
    <row r="99" customFormat="false" ht="15" hidden="false" customHeight="false" outlineLevel="0" collapsed="false">
      <c r="A99" s="3" t="s">
        <v>2</v>
      </c>
      <c r="B99" s="3" t="s">
        <v>320</v>
      </c>
      <c r="C99" s="3" t="s">
        <v>321</v>
      </c>
      <c r="D99" s="3" t="s">
        <v>322</v>
      </c>
      <c r="E99" s="3" t="n">
        <v>1020</v>
      </c>
      <c r="F99" s="3" t="n">
        <v>3</v>
      </c>
      <c r="G99" s="3" t="n">
        <v>717</v>
      </c>
      <c r="H99" s="4" t="n">
        <f aca="false">G99/E99</f>
        <v>0.702941176470588</v>
      </c>
      <c r="I99" s="3" t="n">
        <v>1.1</v>
      </c>
      <c r="J99" s="4" t="n">
        <f aca="false">(F99-Assumptions!$B$17)/(Assumptions!$C$17-Assumptions!$B$17)</f>
        <v>0.181818181818182</v>
      </c>
      <c r="K99" s="4" t="n">
        <f aca="false">(H99-Assumptions!$B$18)/(Assumptions!$C$18-Assumptions!$B$18)</f>
        <v>0.000796663416844756</v>
      </c>
      <c r="L99" s="4" t="n">
        <f aca="false">(I99-Assumptions!$B$19)/(Assumptions!$C$19-Assumptions!$B$19)</f>
        <v>0.121951219512195</v>
      </c>
      <c r="M99" s="4" t="n">
        <f aca="false">0.4*J99+0.4*K99+0.2*L99</f>
        <v>0.0974361819964497</v>
      </c>
    </row>
    <row r="100" customFormat="false" ht="15" hidden="false" customHeight="false" outlineLevel="0" collapsed="false">
      <c r="A100" s="3" t="s">
        <v>2</v>
      </c>
      <c r="B100" s="3" t="s">
        <v>323</v>
      </c>
      <c r="C100" s="3" t="s">
        <v>324</v>
      </c>
      <c r="D100" s="3" t="s">
        <v>325</v>
      </c>
      <c r="E100" s="3" t="n">
        <v>139</v>
      </c>
      <c r="F100" s="3" t="n">
        <v>4</v>
      </c>
      <c r="G100" s="3" t="n">
        <v>309</v>
      </c>
      <c r="H100" s="4" t="n">
        <f aca="false">G100/E100</f>
        <v>2.22302158273381</v>
      </c>
      <c r="I100" s="3" t="n">
        <v>2</v>
      </c>
      <c r="J100" s="4" t="n">
        <f aca="false">(F100-Assumptions!$B$17)/(Assumptions!$C$17-Assumptions!$B$17)</f>
        <v>0.272727272727273</v>
      </c>
      <c r="K100" s="4" t="n">
        <f aca="false">(H100-Assumptions!$B$18)/(Assumptions!$C$18-Assumptions!$B$18)</f>
        <v>0.00268276171705689</v>
      </c>
      <c r="L100" s="4" t="n">
        <f aca="false">(I100-Assumptions!$B$19)/(Assumptions!$C$19-Assumptions!$B$19)</f>
        <v>0.341463414634146</v>
      </c>
      <c r="M100" s="4" t="n">
        <f aca="false">0.4*J100+0.4*K100+0.2*L100</f>
        <v>0.178456696704561</v>
      </c>
    </row>
    <row r="101" customFormat="false" ht="15" hidden="false" customHeight="false" outlineLevel="0" collapsed="false">
      <c r="A101" s="3" t="s">
        <v>2</v>
      </c>
      <c r="B101" s="3" t="s">
        <v>326</v>
      </c>
      <c r="C101" s="3" t="s">
        <v>324</v>
      </c>
      <c r="D101" s="3" t="s">
        <v>325</v>
      </c>
      <c r="E101" s="3" t="n">
        <v>342</v>
      </c>
      <c r="F101" s="3" t="n">
        <v>4</v>
      </c>
      <c r="G101" s="3" t="n">
        <v>309</v>
      </c>
      <c r="H101" s="4" t="n">
        <f aca="false">G101/E101</f>
        <v>0.903508771929825</v>
      </c>
      <c r="I101" s="3" t="n">
        <v>2</v>
      </c>
      <c r="J101" s="4" t="n">
        <f aca="false">(F101-Assumptions!$B$17)/(Assumptions!$C$17-Assumptions!$B$17)</f>
        <v>0.272727272727273</v>
      </c>
      <c r="K101" s="4" t="n">
        <f aca="false">(H101-Assumptions!$B$18)/(Assumptions!$C$18-Assumptions!$B$18)</f>
        <v>0.00104552538448451</v>
      </c>
      <c r="L101" s="4" t="n">
        <f aca="false">(I101-Assumptions!$B$19)/(Assumptions!$C$19-Assumptions!$B$19)</f>
        <v>0.341463414634146</v>
      </c>
      <c r="M101" s="4" t="n">
        <f aca="false">0.4*J101+0.4*K101+0.2*L101</f>
        <v>0.177801802171532</v>
      </c>
    </row>
    <row r="102" customFormat="false" ht="15" hidden="false" customHeight="false" outlineLevel="0" collapsed="false">
      <c r="A102" s="3" t="s">
        <v>2</v>
      </c>
      <c r="B102" s="3" t="s">
        <v>327</v>
      </c>
      <c r="C102" s="3" t="s">
        <v>328</v>
      </c>
      <c r="D102" s="3" t="s">
        <v>329</v>
      </c>
      <c r="E102" s="3" t="n">
        <v>13.5</v>
      </c>
      <c r="F102" s="3" t="n">
        <v>3</v>
      </c>
      <c r="G102" s="3" t="n">
        <v>497</v>
      </c>
      <c r="H102" s="4" t="n">
        <f aca="false">G102/E102</f>
        <v>36.8148148148148</v>
      </c>
      <c r="I102" s="3" t="n">
        <v>1.2</v>
      </c>
      <c r="J102" s="4" t="n">
        <f aca="false">(F102-Assumptions!$B$17)/(Assumptions!$C$17-Assumptions!$B$17)</f>
        <v>0.181818181818182</v>
      </c>
      <c r="K102" s="4" t="n">
        <f aca="false">(H102-Assumptions!$B$18)/(Assumptions!$C$18-Assumptions!$B$18)</f>
        <v>0.0456038612506692</v>
      </c>
      <c r="L102" s="4" t="n">
        <f aca="false">(I102-Assumptions!$B$19)/(Assumptions!$C$19-Assumptions!$B$19)</f>
        <v>0.146341463414634</v>
      </c>
      <c r="M102" s="4" t="n">
        <f aca="false">0.4*J102+0.4*K102+0.2*L102</f>
        <v>0.120237109910467</v>
      </c>
    </row>
    <row r="103" customFormat="false" ht="15" hidden="false" customHeight="false" outlineLevel="0" collapsed="false">
      <c r="A103" s="3" t="s">
        <v>2</v>
      </c>
      <c r="B103" s="3" t="s">
        <v>330</v>
      </c>
      <c r="C103" s="3" t="s">
        <v>331</v>
      </c>
      <c r="D103" s="3" t="s">
        <v>332</v>
      </c>
      <c r="E103" s="3" t="n">
        <v>19.5</v>
      </c>
      <c r="F103" s="3" t="n">
        <v>11</v>
      </c>
      <c r="G103" s="3" t="n">
        <v>169</v>
      </c>
      <c r="H103" s="4" t="n">
        <f aca="false">G103/E103</f>
        <v>8.66666666666667</v>
      </c>
      <c r="I103" s="3" t="n">
        <v>2.8</v>
      </c>
      <c r="J103" s="4" t="n">
        <f aca="false">(F103-Assumptions!$B$17)/(Assumptions!$C$17-Assumptions!$B$17)</f>
        <v>0.909090909090909</v>
      </c>
      <c r="K103" s="4" t="n">
        <f aca="false">(H103-Assumptions!$B$18)/(Assumptions!$C$18-Assumptions!$B$18)</f>
        <v>0.010677962490582</v>
      </c>
      <c r="L103" s="4" t="n">
        <f aca="false">(I103-Assumptions!$B$19)/(Assumptions!$C$19-Assumptions!$B$19)</f>
        <v>0.536585365853658</v>
      </c>
      <c r="M103" s="4" t="n">
        <f aca="false">0.4*J103+0.4*K103+0.2*L103</f>
        <v>0.475224621803328</v>
      </c>
    </row>
    <row r="104" customFormat="false" ht="15" hidden="false" customHeight="false" outlineLevel="0" collapsed="false">
      <c r="A104" s="3" t="s">
        <v>2</v>
      </c>
      <c r="B104" s="3" t="s">
        <v>333</v>
      </c>
      <c r="C104" s="3" t="s">
        <v>331</v>
      </c>
      <c r="D104" s="3" t="s">
        <v>332</v>
      </c>
      <c r="E104" s="3" t="n">
        <v>4.5</v>
      </c>
      <c r="F104" s="3" t="n">
        <v>11</v>
      </c>
      <c r="G104" s="3" t="n">
        <v>169</v>
      </c>
      <c r="H104" s="4" t="n">
        <f aca="false">G104/E104</f>
        <v>37.5555555555556</v>
      </c>
      <c r="I104" s="3" t="n">
        <v>2.8</v>
      </c>
      <c r="J104" s="4" t="n">
        <f aca="false">(F104-Assumptions!$B$17)/(Assumptions!$C$17-Assumptions!$B$17)</f>
        <v>0.909090909090909</v>
      </c>
      <c r="K104" s="4" t="n">
        <f aca="false">(H104-Assumptions!$B$18)/(Assumptions!$C$18-Assumptions!$B$18)</f>
        <v>0.0465229638496189</v>
      </c>
      <c r="L104" s="4" t="n">
        <f aca="false">(I104-Assumptions!$B$19)/(Assumptions!$C$19-Assumptions!$B$19)</f>
        <v>0.536585365853658</v>
      </c>
      <c r="M104" s="4" t="n">
        <f aca="false">0.4*J104+0.4*K104+0.2*L104</f>
        <v>0.489562622346943</v>
      </c>
    </row>
    <row r="105" customFormat="false" ht="15" hidden="false" customHeight="false" outlineLevel="0" collapsed="false">
      <c r="A105" s="3" t="s">
        <v>2</v>
      </c>
      <c r="B105" s="3" t="s">
        <v>340</v>
      </c>
      <c r="C105" s="3" t="s">
        <v>341</v>
      </c>
      <c r="D105" s="3" t="s">
        <v>620</v>
      </c>
      <c r="E105" s="3" t="n">
        <v>1023</v>
      </c>
      <c r="F105" s="3" t="n">
        <v>3</v>
      </c>
      <c r="G105" s="3" t="n">
        <v>729</v>
      </c>
      <c r="H105" s="4" t="n">
        <f aca="false">G105/E105</f>
        <v>0.712609970674487</v>
      </c>
      <c r="I105" s="3" t="n">
        <v>0.8</v>
      </c>
      <c r="J105" s="4" t="n">
        <f aca="false">(F105-Assumptions!$B$17)/(Assumptions!$C$17-Assumptions!$B$17)</f>
        <v>0.181818181818182</v>
      </c>
      <c r="K105" s="4" t="n">
        <f aca="false">(H105-Assumptions!$B$18)/(Assumptions!$C$18-Assumptions!$B$18)</f>
        <v>0.000808660345584798</v>
      </c>
      <c r="L105" s="4" t="n">
        <f aca="false">(I105-Assumptions!$B$19)/(Assumptions!$C$19-Assumptions!$B$19)</f>
        <v>0.0487804878048781</v>
      </c>
      <c r="M105" s="4" t="n">
        <f aca="false">0.4*J105+0.4*K105+0.2*L105</f>
        <v>0.0828068344264823</v>
      </c>
    </row>
    <row r="106" customFormat="false" ht="15" hidden="false" customHeight="false" outlineLevel="0" collapsed="false">
      <c r="A106" s="3" t="s">
        <v>2</v>
      </c>
      <c r="B106" s="3" t="s">
        <v>343</v>
      </c>
      <c r="C106" s="3" t="s">
        <v>344</v>
      </c>
      <c r="D106" s="3" t="s">
        <v>605</v>
      </c>
      <c r="E106" s="3" t="n">
        <v>6.5</v>
      </c>
      <c r="F106" s="3" t="n">
        <v>10</v>
      </c>
      <c r="G106" s="3" t="n">
        <v>145</v>
      </c>
      <c r="H106" s="4" t="n">
        <f aca="false">G106/E106</f>
        <v>22.3076923076923</v>
      </c>
      <c r="I106" s="3" t="n">
        <v>2.9</v>
      </c>
      <c r="J106" s="4" t="n">
        <f aca="false">(F106-Assumptions!$B$17)/(Assumptions!$C$17-Assumptions!$B$17)</f>
        <v>0.818181818181818</v>
      </c>
      <c r="K106" s="4" t="n">
        <f aca="false">(H106-Assumptions!$B$18)/(Assumptions!$C$18-Assumptions!$B$18)</f>
        <v>0.0276035903512396</v>
      </c>
      <c r="L106" s="4" t="n">
        <f aca="false">(I106-Assumptions!$B$19)/(Assumptions!$C$19-Assumptions!$B$19)</f>
        <v>0.560975609756097</v>
      </c>
      <c r="M106" s="4" t="n">
        <f aca="false">0.4*J106+0.4*K106+0.2*L106</f>
        <v>0.450509285364443</v>
      </c>
    </row>
    <row r="107" customFormat="false" ht="15" hidden="false" customHeight="false" outlineLevel="0" collapsed="false">
      <c r="A107" s="3" t="s">
        <v>2</v>
      </c>
      <c r="B107" s="3" t="s">
        <v>345</v>
      </c>
      <c r="C107" s="3" t="s">
        <v>346</v>
      </c>
      <c r="D107" s="3" t="s">
        <v>238</v>
      </c>
      <c r="E107" s="3" t="n">
        <v>254.5</v>
      </c>
      <c r="F107" s="3" t="n">
        <v>2</v>
      </c>
      <c r="G107" s="3" t="n">
        <v>509</v>
      </c>
      <c r="H107" s="4" t="n">
        <f aca="false">G107/E107</f>
        <v>2</v>
      </c>
      <c r="I107" s="3" t="n">
        <v>1.8</v>
      </c>
      <c r="J107" s="4" t="n">
        <f aca="false">(F107-Assumptions!$B$17)/(Assumptions!$C$17-Assumptions!$B$17)</f>
        <v>0.0909090909090909</v>
      </c>
      <c r="K107" s="4" t="n">
        <f aca="false">(H107-Assumptions!$B$18)/(Assumptions!$C$18-Assumptions!$B$18)</f>
        <v>0.002406039100035</v>
      </c>
      <c r="L107" s="4" t="n">
        <f aca="false">(I107-Assumptions!$B$19)/(Assumptions!$C$19-Assumptions!$B$19)</f>
        <v>0.292682926829268</v>
      </c>
      <c r="M107" s="4" t="n">
        <f aca="false">0.4*J107+0.4*K107+0.2*L107</f>
        <v>0.095862637369504</v>
      </c>
    </row>
    <row r="108" customFormat="false" ht="15" hidden="false" customHeight="false" outlineLevel="0" collapsed="false">
      <c r="A108" s="3" t="s">
        <v>2</v>
      </c>
      <c r="B108" s="3" t="s">
        <v>347</v>
      </c>
      <c r="C108" s="3" t="s">
        <v>348</v>
      </c>
      <c r="D108" s="3" t="s">
        <v>349</v>
      </c>
      <c r="E108" s="3" t="n">
        <v>4.5</v>
      </c>
      <c r="F108" s="3" t="n">
        <v>2</v>
      </c>
      <c r="G108" s="3" t="n">
        <v>497</v>
      </c>
      <c r="H108" s="4" t="n">
        <f aca="false">G108/E108</f>
        <v>110.444444444444</v>
      </c>
      <c r="I108" s="3" t="n">
        <v>1.7</v>
      </c>
      <c r="J108" s="4" t="n">
        <f aca="false">(F108-Assumptions!$B$17)/(Assumptions!$C$17-Assumptions!$B$17)</f>
        <v>0.0909090909090909</v>
      </c>
      <c r="K108" s="4" t="n">
        <f aca="false">(H108-Assumptions!$B$18)/(Assumptions!$C$18-Assumptions!$B$18)</f>
        <v>0.136962659586266</v>
      </c>
      <c r="L108" s="4" t="n">
        <f aca="false">(I108-Assumptions!$B$19)/(Assumptions!$C$19-Assumptions!$B$19)</f>
        <v>0.268292682926829</v>
      </c>
      <c r="M108" s="4" t="n">
        <f aca="false">0.4*J108+0.4*K108+0.2*L108</f>
        <v>0.144807236783509</v>
      </c>
    </row>
    <row r="109" customFormat="false" ht="15" hidden="false" customHeight="false" outlineLevel="0" collapsed="false">
      <c r="A109" s="3" t="s">
        <v>2</v>
      </c>
      <c r="B109" s="3" t="s">
        <v>350</v>
      </c>
      <c r="C109" s="3" t="s">
        <v>351</v>
      </c>
      <c r="D109" s="3" t="s">
        <v>305</v>
      </c>
      <c r="E109" s="3" t="n">
        <v>154.5</v>
      </c>
      <c r="F109" s="3" t="n">
        <v>4</v>
      </c>
      <c r="G109" s="3" t="n">
        <v>285</v>
      </c>
      <c r="H109" s="4" t="n">
        <f aca="false">G109/E109</f>
        <v>1.84466019417476</v>
      </c>
      <c r="I109" s="3" t="n">
        <v>1.8</v>
      </c>
      <c r="J109" s="4" t="n">
        <f aca="false">(F109-Assumptions!$B$17)/(Assumptions!$C$17-Assumptions!$B$17)</f>
        <v>0.272727272727273</v>
      </c>
      <c r="K109" s="4" t="n">
        <f aca="false">(H109-Assumptions!$B$18)/(Assumptions!$C$18-Assumptions!$B$18)</f>
        <v>0.00221329525404167</v>
      </c>
      <c r="L109" s="4" t="n">
        <f aca="false">(I109-Assumptions!$B$19)/(Assumptions!$C$19-Assumptions!$B$19)</f>
        <v>0.292682926829268</v>
      </c>
      <c r="M109" s="4" t="n">
        <f aca="false">0.4*J109+0.4*K109+0.2*L109</f>
        <v>0.168512812558379</v>
      </c>
    </row>
    <row r="110" customFormat="false" ht="15" hidden="false" customHeight="false" outlineLevel="0" collapsed="false">
      <c r="A110" s="3" t="s">
        <v>2</v>
      </c>
      <c r="B110" s="3" t="s">
        <v>353</v>
      </c>
      <c r="C110" s="3" t="s">
        <v>354</v>
      </c>
      <c r="D110" s="3" t="s">
        <v>621</v>
      </c>
      <c r="E110" s="3" t="n">
        <v>64.5</v>
      </c>
      <c r="F110" s="3" t="n">
        <v>3</v>
      </c>
      <c r="G110" s="3" t="n">
        <v>741</v>
      </c>
      <c r="H110" s="4" t="n">
        <f aca="false">G110/E110</f>
        <v>11.4883720930233</v>
      </c>
      <c r="I110" s="3" t="n">
        <v>1.4</v>
      </c>
      <c r="J110" s="4" t="n">
        <f aca="false">(F110-Assumptions!$B$17)/(Assumptions!$C$17-Assumptions!$B$17)</f>
        <v>0.181818181818182</v>
      </c>
      <c r="K110" s="4" t="n">
        <f aca="false">(H110-Assumptions!$B$18)/(Assumptions!$C$18-Assumptions!$B$18)</f>
        <v>0.0141791021582088</v>
      </c>
      <c r="L110" s="4" t="n">
        <f aca="false">(I110-Assumptions!$B$19)/(Assumptions!$C$19-Assumptions!$B$19)</f>
        <v>0.195121951219512</v>
      </c>
      <c r="M110" s="4" t="n">
        <f aca="false">0.4*J110+0.4*K110+0.2*L110</f>
        <v>0.117423303834459</v>
      </c>
    </row>
    <row r="111" customFormat="false" ht="15" hidden="false" customHeight="false" outlineLevel="0" collapsed="false">
      <c r="A111" s="3" t="s">
        <v>2</v>
      </c>
      <c r="B111" s="3" t="s">
        <v>359</v>
      </c>
      <c r="C111" s="3" t="s">
        <v>360</v>
      </c>
      <c r="D111" s="3" t="s">
        <v>361</v>
      </c>
      <c r="E111" s="3" t="n">
        <v>335</v>
      </c>
      <c r="F111" s="3" t="n">
        <v>1</v>
      </c>
      <c r="G111" s="3" t="n">
        <v>717</v>
      </c>
      <c r="H111" s="4" t="n">
        <f aca="false">G111/E111</f>
        <v>2.14029850746269</v>
      </c>
      <c r="I111" s="3" t="n">
        <v>0.6</v>
      </c>
      <c r="J111" s="4" t="n">
        <f aca="false">(F111-Assumptions!$B$17)/(Assumptions!$C$17-Assumptions!$B$17)</f>
        <v>0</v>
      </c>
      <c r="K111" s="4" t="n">
        <f aca="false">(H111-Assumptions!$B$18)/(Assumptions!$C$18-Assumptions!$B$18)</f>
        <v>0.00258011987586591</v>
      </c>
      <c r="L111" s="4" t="n">
        <f aca="false">(I111-Assumptions!$B$19)/(Assumptions!$C$19-Assumptions!$B$19)</f>
        <v>0</v>
      </c>
      <c r="M111" s="4" t="n">
        <f aca="false">0.4*J111+0.4*K111+0.2*L111</f>
        <v>0.00103204795034636</v>
      </c>
    </row>
    <row r="112" customFormat="false" ht="15" hidden="false" customHeight="false" outlineLevel="0" collapsed="false">
      <c r="A112" s="3" t="s">
        <v>2</v>
      </c>
      <c r="B112" s="3" t="s">
        <v>362</v>
      </c>
      <c r="C112" s="3" t="s">
        <v>363</v>
      </c>
      <c r="D112" s="3" t="s">
        <v>364</v>
      </c>
      <c r="E112" s="3" t="n">
        <v>15.5</v>
      </c>
      <c r="F112" s="3" t="n">
        <v>2</v>
      </c>
      <c r="G112" s="3" t="n">
        <v>569</v>
      </c>
      <c r="H112" s="4" t="n">
        <f aca="false">G112/E112</f>
        <v>36.7096774193548</v>
      </c>
      <c r="I112" s="3" t="n">
        <v>1.2</v>
      </c>
      <c r="J112" s="4" t="n">
        <f aca="false">(F112-Assumptions!$B$17)/(Assumptions!$C$17-Assumptions!$B$17)</f>
        <v>0.0909090909090909</v>
      </c>
      <c r="K112" s="4" t="n">
        <f aca="false">(H112-Assumptions!$B$18)/(Assumptions!$C$18-Assumptions!$B$18)</f>
        <v>0.0454734079785602</v>
      </c>
      <c r="L112" s="4" t="n">
        <f aca="false">(I112-Assumptions!$B$19)/(Assumptions!$C$19-Assumptions!$B$19)</f>
        <v>0.146341463414634</v>
      </c>
      <c r="M112" s="4" t="n">
        <f aca="false">0.4*J112+0.4*K112+0.2*L112</f>
        <v>0.0838212922379873</v>
      </c>
    </row>
    <row r="113" customFormat="false" ht="15" hidden="false" customHeight="false" outlineLevel="0" collapsed="false">
      <c r="A113" s="3" t="s">
        <v>2</v>
      </c>
      <c r="B113" s="3" t="s">
        <v>365</v>
      </c>
      <c r="C113" s="3" t="s">
        <v>363</v>
      </c>
      <c r="D113" s="3" t="s">
        <v>364</v>
      </c>
      <c r="E113" s="3" t="n">
        <v>9.5</v>
      </c>
      <c r="F113" s="3" t="n">
        <v>2</v>
      </c>
      <c r="G113" s="3" t="n">
        <v>569</v>
      </c>
      <c r="H113" s="4" t="n">
        <f aca="false">G113/E113</f>
        <v>59.8947368421053</v>
      </c>
      <c r="I113" s="3" t="n">
        <v>1.2</v>
      </c>
      <c r="J113" s="4" t="n">
        <f aca="false">(F113-Assumptions!$B$17)/(Assumptions!$C$17-Assumptions!$B$17)</f>
        <v>0.0909090909090909</v>
      </c>
      <c r="K113" s="4" t="n">
        <f aca="false">(H113-Assumptions!$B$18)/(Assumptions!$C$18-Assumptions!$B$18)</f>
        <v>0.0742411632811008</v>
      </c>
      <c r="L113" s="4" t="n">
        <f aca="false">(I113-Assumptions!$B$19)/(Assumptions!$C$19-Assumptions!$B$19)</f>
        <v>0.146341463414634</v>
      </c>
      <c r="M113" s="4" t="n">
        <f aca="false">0.4*J113+0.4*K113+0.2*L113</f>
        <v>0.0953283943590035</v>
      </c>
    </row>
    <row r="114" customFormat="false" ht="15" hidden="false" customHeight="false" outlineLevel="0" collapsed="false">
      <c r="A114" s="3" t="s">
        <v>2</v>
      </c>
      <c r="B114" s="3" t="s">
        <v>366</v>
      </c>
      <c r="C114" s="3" t="s">
        <v>367</v>
      </c>
      <c r="D114" s="3" t="s">
        <v>368</v>
      </c>
      <c r="E114" s="3" t="n">
        <v>455.5</v>
      </c>
      <c r="F114" s="3" t="n">
        <v>4</v>
      </c>
      <c r="G114" s="3" t="n">
        <v>297</v>
      </c>
      <c r="H114" s="4" t="n">
        <f aca="false">G114/E114</f>
        <v>0.652030735455543</v>
      </c>
      <c r="I114" s="3" t="n">
        <v>1.4</v>
      </c>
      <c r="J114" s="4" t="n">
        <f aca="false">(F114-Assumptions!$B$17)/(Assumptions!$C$17-Assumptions!$B$17)</f>
        <v>0.272727272727273</v>
      </c>
      <c r="K114" s="4" t="n">
        <f aca="false">(H114-Assumptions!$B$18)/(Assumptions!$C$18-Assumptions!$B$18)</f>
        <v>0.000733494326666444</v>
      </c>
      <c r="L114" s="4" t="n">
        <f aca="false">(I114-Assumptions!$B$19)/(Assumptions!$C$19-Assumptions!$B$19)</f>
        <v>0.195121951219512</v>
      </c>
      <c r="M114" s="4" t="n">
        <f aca="false">0.4*J114+0.4*K114+0.2*L114</f>
        <v>0.148408697065478</v>
      </c>
    </row>
    <row r="115" customFormat="false" ht="15" hidden="false" customHeight="false" outlineLevel="0" collapsed="false">
      <c r="A115" s="3" t="s">
        <v>2</v>
      </c>
      <c r="B115" s="3" t="s">
        <v>369</v>
      </c>
      <c r="C115" s="3" t="s">
        <v>370</v>
      </c>
      <c r="D115" s="3" t="s">
        <v>371</v>
      </c>
      <c r="E115" s="3" t="n">
        <v>11</v>
      </c>
      <c r="F115" s="3" t="n">
        <v>10</v>
      </c>
      <c r="G115" s="3" t="n">
        <v>229</v>
      </c>
      <c r="H115" s="4" t="n">
        <f aca="false">G115/E115</f>
        <v>20.8181818181818</v>
      </c>
      <c r="I115" s="3" t="n">
        <v>2.6</v>
      </c>
      <c r="J115" s="4" t="n">
        <f aca="false">(F115-Assumptions!$B$17)/(Assumptions!$C$17-Assumptions!$B$17)</f>
        <v>0.818181818181818</v>
      </c>
      <c r="K115" s="4" t="n">
        <f aca="false">(H115-Assumptions!$B$18)/(Assumptions!$C$18-Assumptions!$B$18)</f>
        <v>0.0257554228524426</v>
      </c>
      <c r="L115" s="4" t="n">
        <f aca="false">(I115-Assumptions!$B$19)/(Assumptions!$C$19-Assumptions!$B$19)</f>
        <v>0.48780487804878</v>
      </c>
      <c r="M115" s="4" t="n">
        <f aca="false">0.4*J115+0.4*K115+0.2*L115</f>
        <v>0.43513587202346</v>
      </c>
    </row>
    <row r="116" customFormat="false" ht="15" hidden="false" customHeight="false" outlineLevel="0" collapsed="false">
      <c r="A116" s="3" t="s">
        <v>2</v>
      </c>
      <c r="B116" s="3" t="s">
        <v>372</v>
      </c>
      <c r="C116" s="3" t="s">
        <v>373</v>
      </c>
      <c r="D116" s="3" t="s">
        <v>169</v>
      </c>
      <c r="E116" s="3" t="n">
        <v>392</v>
      </c>
      <c r="F116" s="3" t="n">
        <v>2</v>
      </c>
      <c r="G116" s="3" t="n">
        <v>485</v>
      </c>
      <c r="H116" s="4" t="n">
        <f aca="false">G116/E116</f>
        <v>1.23724489795918</v>
      </c>
      <c r="I116" s="3" t="n">
        <v>1.5</v>
      </c>
      <c r="J116" s="4" t="n">
        <f aca="false">(F116-Assumptions!$B$17)/(Assumptions!$C$17-Assumptions!$B$17)</f>
        <v>0.0909090909090909</v>
      </c>
      <c r="K116" s="4" t="n">
        <f aca="false">(H116-Assumptions!$B$18)/(Assumptions!$C$18-Assumptions!$B$18)</f>
        <v>0.00145962133456043</v>
      </c>
      <c r="L116" s="4" t="n">
        <f aca="false">(I116-Assumptions!$B$19)/(Assumptions!$C$19-Assumptions!$B$19)</f>
        <v>0.219512195121951</v>
      </c>
      <c r="M116" s="4" t="n">
        <f aca="false">0.4*J116+0.4*K116+0.2*L116</f>
        <v>0.0808499239218508</v>
      </c>
    </row>
    <row r="117" customFormat="false" ht="15" hidden="false" customHeight="false" outlineLevel="0" collapsed="false">
      <c r="A117" s="3" t="s">
        <v>2</v>
      </c>
      <c r="B117" s="3" t="s">
        <v>374</v>
      </c>
      <c r="C117" s="3" t="s">
        <v>373</v>
      </c>
      <c r="D117" s="3" t="s">
        <v>169</v>
      </c>
      <c r="E117" s="3" t="n">
        <v>951.5</v>
      </c>
      <c r="F117" s="3" t="n">
        <v>2</v>
      </c>
      <c r="G117" s="3" t="n">
        <v>485</v>
      </c>
      <c r="H117" s="4" t="n">
        <f aca="false">G117/E117</f>
        <v>0.509721492380452</v>
      </c>
      <c r="I117" s="3" t="n">
        <v>1.5</v>
      </c>
      <c r="J117" s="4" t="n">
        <f aca="false">(F117-Assumptions!$B$17)/(Assumptions!$C$17-Assumptions!$B$17)</f>
        <v>0.0909090909090909</v>
      </c>
      <c r="K117" s="4" t="n">
        <f aca="false">(H117-Assumptions!$B$18)/(Assumptions!$C$18-Assumptions!$B$18)</f>
        <v>0.000556918653193861</v>
      </c>
      <c r="L117" s="4" t="n">
        <f aca="false">(I117-Assumptions!$B$19)/(Assumptions!$C$19-Assumptions!$B$19)</f>
        <v>0.219512195121951</v>
      </c>
      <c r="M117" s="4" t="n">
        <f aca="false">0.4*J117+0.4*K117+0.2*L117</f>
        <v>0.0804888428493042</v>
      </c>
    </row>
    <row r="118" customFormat="false" ht="15" hidden="false" customHeight="false" outlineLevel="0" collapsed="false">
      <c r="A118" s="3" t="s">
        <v>2</v>
      </c>
      <c r="B118" s="3" t="s">
        <v>375</v>
      </c>
      <c r="C118" s="3" t="s">
        <v>376</v>
      </c>
      <c r="D118" s="3" t="s">
        <v>622</v>
      </c>
      <c r="E118" s="3" t="n">
        <v>236</v>
      </c>
      <c r="F118" s="3" t="n">
        <v>4</v>
      </c>
      <c r="G118" s="3" t="n">
        <v>321</v>
      </c>
      <c r="H118" s="4" t="n">
        <f aca="false">G118/E118</f>
        <v>1.36016949152542</v>
      </c>
      <c r="I118" s="3" t="n">
        <v>2.2</v>
      </c>
      <c r="J118" s="4" t="n">
        <f aca="false">(F118-Assumptions!$B$17)/(Assumptions!$C$17-Assumptions!$B$17)</f>
        <v>0.272727272727273</v>
      </c>
      <c r="K118" s="4" t="n">
        <f aca="false">(H118-Assumptions!$B$18)/(Assumptions!$C$18-Assumptions!$B$18)</f>
        <v>0.00161214475767954</v>
      </c>
      <c r="L118" s="4" t="n">
        <f aca="false">(I118-Assumptions!$B$19)/(Assumptions!$C$19-Assumptions!$B$19)</f>
        <v>0.390243902439024</v>
      </c>
      <c r="M118" s="4" t="n">
        <f aca="false">0.4*J118+0.4*K118+0.2*L118</f>
        <v>0.187784547481786</v>
      </c>
    </row>
    <row r="119" customFormat="false" ht="15" hidden="false" customHeight="false" outlineLevel="0" collapsed="false">
      <c r="A119" s="3" t="s">
        <v>2</v>
      </c>
      <c r="B119" s="3" t="s">
        <v>378</v>
      </c>
      <c r="C119" s="3" t="s">
        <v>379</v>
      </c>
      <c r="D119" s="3" t="s">
        <v>380</v>
      </c>
      <c r="E119" s="3" t="n">
        <v>402.5</v>
      </c>
      <c r="F119" s="3" t="n">
        <v>1</v>
      </c>
      <c r="G119" s="3" t="n">
        <v>669</v>
      </c>
      <c r="H119" s="4" t="n">
        <f aca="false">G119/E119</f>
        <v>1.66211180124224</v>
      </c>
      <c r="I119" s="3" t="n">
        <v>1.4</v>
      </c>
      <c r="J119" s="4" t="n">
        <f aca="false">(F119-Assumptions!$B$17)/(Assumptions!$C$17-Assumptions!$B$17)</f>
        <v>0</v>
      </c>
      <c r="K119" s="4" t="n">
        <f aca="false">(H119-Assumptions!$B$18)/(Assumptions!$C$18-Assumptions!$B$18)</f>
        <v>0.00198679130583088</v>
      </c>
      <c r="L119" s="4" t="n">
        <f aca="false">(I119-Assumptions!$B$19)/(Assumptions!$C$19-Assumptions!$B$19)</f>
        <v>0.195121951219512</v>
      </c>
      <c r="M119" s="4" t="n">
        <f aca="false">0.4*J119+0.4*K119+0.2*L119</f>
        <v>0.0398191067662348</v>
      </c>
    </row>
    <row r="120" customFormat="false" ht="15" hidden="false" customHeight="false" outlineLevel="0" collapsed="false">
      <c r="A120" s="3" t="s">
        <v>2</v>
      </c>
      <c r="B120" s="3" t="s">
        <v>381</v>
      </c>
      <c r="C120" s="3" t="s">
        <v>382</v>
      </c>
      <c r="D120" s="3" t="s">
        <v>623</v>
      </c>
      <c r="E120" s="3" t="n">
        <v>65</v>
      </c>
      <c r="F120" s="3" t="n">
        <v>2</v>
      </c>
      <c r="G120" s="3" t="n">
        <v>569</v>
      </c>
      <c r="H120" s="4" t="n">
        <f aca="false">G120/E120</f>
        <v>8.75384615384616</v>
      </c>
      <c r="I120" s="3" t="n">
        <v>1.7</v>
      </c>
      <c r="J120" s="4" t="n">
        <f aca="false">(F120-Assumptions!$B$17)/(Assumptions!$C$17-Assumptions!$B$17)</f>
        <v>0.0909090909090909</v>
      </c>
      <c r="K120" s="4" t="n">
        <f aca="false">(H120-Assumptions!$B$18)/(Assumptions!$C$18-Assumptions!$B$18)</f>
        <v>0.0107861337964584</v>
      </c>
      <c r="L120" s="4" t="n">
        <f aca="false">(I120-Assumptions!$B$19)/(Assumptions!$C$19-Assumptions!$B$19)</f>
        <v>0.268292682926829</v>
      </c>
      <c r="M120" s="4" t="n">
        <f aca="false">0.4*J120+0.4*K120+0.2*L120</f>
        <v>0.0943366264675856</v>
      </c>
    </row>
    <row r="121" customFormat="false" ht="15" hidden="false" customHeight="false" outlineLevel="0" collapsed="false">
      <c r="A121" s="3" t="s">
        <v>2</v>
      </c>
      <c r="B121" s="3" t="s">
        <v>384</v>
      </c>
      <c r="C121" s="3" t="s">
        <v>385</v>
      </c>
      <c r="D121" s="3" t="s">
        <v>624</v>
      </c>
      <c r="E121" s="3" t="n">
        <v>663</v>
      </c>
      <c r="F121" s="3" t="n">
        <v>4</v>
      </c>
      <c r="G121" s="3" t="n">
        <v>321</v>
      </c>
      <c r="H121" s="4" t="n">
        <f aca="false">G121/E121</f>
        <v>0.484162895927602</v>
      </c>
      <c r="I121" s="3" t="n">
        <v>2.2</v>
      </c>
      <c r="J121" s="4" t="n">
        <f aca="false">(F121-Assumptions!$B$17)/(Assumptions!$C$17-Assumptions!$B$17)</f>
        <v>0.272727272727273</v>
      </c>
      <c r="K121" s="4" t="n">
        <f aca="false">(H121-Assumptions!$B$18)/(Assumptions!$C$18-Assumptions!$B$18)</f>
        <v>0.000525205840419679</v>
      </c>
      <c r="L121" s="4" t="n">
        <f aca="false">(I121-Assumptions!$B$19)/(Assumptions!$C$19-Assumptions!$B$19)</f>
        <v>0.390243902439024</v>
      </c>
      <c r="M121" s="4" t="n">
        <f aca="false">0.4*J121+0.4*K121+0.2*L121</f>
        <v>0.187349771914882</v>
      </c>
    </row>
    <row r="122" customFormat="false" ht="15" hidden="false" customHeight="false" outlineLevel="0" collapsed="false">
      <c r="A122" s="3" t="s">
        <v>2</v>
      </c>
      <c r="B122" s="3" t="s">
        <v>387</v>
      </c>
      <c r="C122" s="3" t="s">
        <v>388</v>
      </c>
      <c r="D122" s="3" t="s">
        <v>389</v>
      </c>
      <c r="E122" s="3" t="n">
        <v>4.5</v>
      </c>
      <c r="F122" s="3" t="n">
        <v>2</v>
      </c>
      <c r="G122" s="3" t="n">
        <v>645</v>
      </c>
      <c r="H122" s="4" t="n">
        <f aca="false">G122/E122</f>
        <v>143.333333333333</v>
      </c>
      <c r="I122" s="3" t="n">
        <v>0.6</v>
      </c>
      <c r="J122" s="4" t="n">
        <f aca="false">(F122-Assumptions!$B$17)/(Assumptions!$C$17-Assumptions!$B$17)</f>
        <v>0.0909090909090909</v>
      </c>
      <c r="K122" s="4" t="n">
        <f aca="false">(H122-Assumptions!$B$18)/(Assumptions!$C$18-Assumptions!$B$18)</f>
        <v>0.177770814979631</v>
      </c>
      <c r="L122" s="4" t="n">
        <f aca="false">(I122-Assumptions!$B$19)/(Assumptions!$C$19-Assumptions!$B$19)</f>
        <v>0</v>
      </c>
      <c r="M122" s="4" t="n">
        <f aca="false">0.4*J122+0.4*K122+0.2*L122</f>
        <v>0.107471962355489</v>
      </c>
    </row>
    <row r="123" customFormat="false" ht="15" hidden="false" customHeight="false" outlineLevel="0" collapsed="false">
      <c r="A123" s="3" t="s">
        <v>2</v>
      </c>
      <c r="B123" s="3" t="s">
        <v>390</v>
      </c>
      <c r="C123" s="3" t="s">
        <v>391</v>
      </c>
      <c r="D123" s="3" t="s">
        <v>392</v>
      </c>
      <c r="E123" s="3" t="n">
        <v>29.5</v>
      </c>
      <c r="F123" s="3" t="n">
        <v>4</v>
      </c>
      <c r="G123" s="3" t="n">
        <v>261</v>
      </c>
      <c r="H123" s="4" t="n">
        <f aca="false">G123/E123</f>
        <v>8.84745762711864</v>
      </c>
      <c r="I123" s="3" t="n">
        <v>1.9</v>
      </c>
      <c r="J123" s="4" t="n">
        <f aca="false">(F123-Assumptions!$B$17)/(Assumptions!$C$17-Assumptions!$B$17)</f>
        <v>0.272727272727273</v>
      </c>
      <c r="K123" s="4" t="n">
        <f aca="false">(H123-Assumptions!$B$18)/(Assumptions!$C$18-Assumptions!$B$18)</f>
        <v>0.0109022858367663</v>
      </c>
      <c r="L123" s="4" t="n">
        <f aca="false">(I123-Assumptions!$B$19)/(Assumptions!$C$19-Assumptions!$B$19)</f>
        <v>0.317073170731707</v>
      </c>
      <c r="M123" s="4" t="n">
        <f aca="false">0.4*J123+0.4*K123+0.2*L123</f>
        <v>0.176866457571957</v>
      </c>
    </row>
    <row r="124" customFormat="false" ht="15" hidden="false" customHeight="false" outlineLevel="0" collapsed="false">
      <c r="A124" s="3" t="s">
        <v>2</v>
      </c>
      <c r="B124" s="3" t="s">
        <v>393</v>
      </c>
      <c r="C124" s="3" t="s">
        <v>391</v>
      </c>
      <c r="D124" s="3" t="s">
        <v>392</v>
      </c>
      <c r="E124" s="3" t="n">
        <v>19.5</v>
      </c>
      <c r="F124" s="3" t="n">
        <v>4</v>
      </c>
      <c r="G124" s="3" t="n">
        <v>261</v>
      </c>
      <c r="H124" s="4" t="n">
        <f aca="false">G124/E124</f>
        <v>13.3846153846154</v>
      </c>
      <c r="I124" s="3" t="n">
        <v>1.9</v>
      </c>
      <c r="J124" s="4" t="n">
        <f aca="false">(F124-Assumptions!$B$17)/(Assumptions!$C$17-Assumptions!$B$17)</f>
        <v>0.272727272727273</v>
      </c>
      <c r="K124" s="4" t="n">
        <f aca="false">(H124-Assumptions!$B$18)/(Assumptions!$C$18-Assumptions!$B$18)</f>
        <v>0.0165319390438921</v>
      </c>
      <c r="L124" s="4" t="n">
        <f aca="false">(I124-Assumptions!$B$19)/(Assumptions!$C$19-Assumptions!$B$19)</f>
        <v>0.317073170731707</v>
      </c>
      <c r="M124" s="4" t="n">
        <f aca="false">0.4*J124+0.4*K124+0.2*L124</f>
        <v>0.179118318854807</v>
      </c>
    </row>
    <row r="125" customFormat="false" ht="15" hidden="false" customHeight="false" outlineLevel="0" collapsed="false">
      <c r="A125" s="3" t="s">
        <v>2</v>
      </c>
      <c r="B125" s="3" t="s">
        <v>394</v>
      </c>
      <c r="C125" s="3" t="s">
        <v>391</v>
      </c>
      <c r="D125" s="3" t="s">
        <v>392</v>
      </c>
      <c r="E125" s="3" t="n">
        <v>4</v>
      </c>
      <c r="F125" s="3" t="n">
        <v>4</v>
      </c>
      <c r="G125" s="3" t="n">
        <v>261</v>
      </c>
      <c r="H125" s="4" t="n">
        <f aca="false">G125/E125</f>
        <v>65.25</v>
      </c>
      <c r="I125" s="3" t="n">
        <v>1.9</v>
      </c>
      <c r="J125" s="4" t="n">
        <f aca="false">(F125-Assumptions!$B$17)/(Assumptions!$C$17-Assumptions!$B$17)</f>
        <v>0.272727272727273</v>
      </c>
      <c r="K125" s="4" t="n">
        <f aca="false">(H125-Assumptions!$B$18)/(Assumptions!$C$18-Assumptions!$B$18)</f>
        <v>0.0808859122678494</v>
      </c>
      <c r="L125" s="4" t="n">
        <f aca="false">(I125-Assumptions!$B$19)/(Assumptions!$C$19-Assumptions!$B$19)</f>
        <v>0.317073170731707</v>
      </c>
      <c r="M125" s="4" t="n">
        <f aca="false">0.4*J125+0.4*K125+0.2*L125</f>
        <v>0.20485990814439</v>
      </c>
    </row>
    <row r="126" customFormat="false" ht="15" hidden="false" customHeight="false" outlineLevel="0" collapsed="false">
      <c r="A126" s="3" t="s">
        <v>2</v>
      </c>
      <c r="B126" s="3" t="s">
        <v>395</v>
      </c>
      <c r="C126" s="3" t="s">
        <v>391</v>
      </c>
      <c r="D126" s="3" t="s">
        <v>392</v>
      </c>
      <c r="E126" s="3" t="n">
        <v>6</v>
      </c>
      <c r="F126" s="3" t="n">
        <v>4</v>
      </c>
      <c r="G126" s="3" t="n">
        <v>261</v>
      </c>
      <c r="H126" s="4" t="n">
        <f aca="false">G126/E126</f>
        <v>43.5</v>
      </c>
      <c r="I126" s="3" t="n">
        <v>1.9</v>
      </c>
      <c r="J126" s="4" t="n">
        <f aca="false">(F126-Assumptions!$B$17)/(Assumptions!$C$17-Assumptions!$B$17)</f>
        <v>0.272727272727273</v>
      </c>
      <c r="K126" s="4" t="n">
        <f aca="false">(H126-Assumptions!$B$18)/(Assumptions!$C$18-Assumptions!$B$18)</f>
        <v>0.0538987622061899</v>
      </c>
      <c r="L126" s="4" t="n">
        <f aca="false">(I126-Assumptions!$B$19)/(Assumptions!$C$19-Assumptions!$B$19)</f>
        <v>0.317073170731707</v>
      </c>
      <c r="M126" s="4" t="n">
        <f aca="false">0.4*J126+0.4*K126+0.2*L126</f>
        <v>0.194065048119727</v>
      </c>
    </row>
    <row r="127" customFormat="false" ht="15" hidden="false" customHeight="false" outlineLevel="0" collapsed="false">
      <c r="A127" s="3" t="s">
        <v>2</v>
      </c>
      <c r="B127" s="3" t="s">
        <v>396</v>
      </c>
      <c r="C127" s="3" t="s">
        <v>391</v>
      </c>
      <c r="D127" s="3" t="s">
        <v>392</v>
      </c>
      <c r="E127" s="3" t="n">
        <v>29.5</v>
      </c>
      <c r="F127" s="3" t="n">
        <v>4</v>
      </c>
      <c r="G127" s="3" t="n">
        <v>261</v>
      </c>
      <c r="H127" s="4" t="n">
        <f aca="false">G127/E127</f>
        <v>8.84745762711864</v>
      </c>
      <c r="I127" s="3" t="n">
        <v>1.9</v>
      </c>
      <c r="J127" s="4" t="n">
        <f aca="false">(F127-Assumptions!$B$17)/(Assumptions!$C$17-Assumptions!$B$17)</f>
        <v>0.272727272727273</v>
      </c>
      <c r="K127" s="4" t="n">
        <f aca="false">(H127-Assumptions!$B$18)/(Assumptions!$C$18-Assumptions!$B$18)</f>
        <v>0.0109022858367663</v>
      </c>
      <c r="L127" s="4" t="n">
        <f aca="false">(I127-Assumptions!$B$19)/(Assumptions!$C$19-Assumptions!$B$19)</f>
        <v>0.317073170731707</v>
      </c>
      <c r="M127" s="4" t="n">
        <f aca="false">0.4*J127+0.4*K127+0.2*L127</f>
        <v>0.176866457571957</v>
      </c>
    </row>
    <row r="128" customFormat="false" ht="15" hidden="false" customHeight="false" outlineLevel="0" collapsed="false">
      <c r="A128" s="3" t="s">
        <v>2</v>
      </c>
      <c r="B128" s="3" t="s">
        <v>397</v>
      </c>
      <c r="C128" s="3" t="s">
        <v>391</v>
      </c>
      <c r="D128" s="3" t="s">
        <v>392</v>
      </c>
      <c r="E128" s="3" t="n">
        <v>411</v>
      </c>
      <c r="F128" s="3" t="n">
        <v>4</v>
      </c>
      <c r="G128" s="3" t="n">
        <v>261</v>
      </c>
      <c r="H128" s="4" t="n">
        <f aca="false">G128/E128</f>
        <v>0.635036496350365</v>
      </c>
      <c r="I128" s="3" t="n">
        <v>1.9</v>
      </c>
      <c r="J128" s="4" t="n">
        <f aca="false">(F128-Assumptions!$B$17)/(Assumptions!$C$17-Assumptions!$B$17)</f>
        <v>0.272727272727273</v>
      </c>
      <c r="K128" s="4" t="n">
        <f aca="false">(H128-Assumptions!$B$18)/(Assumptions!$C$18-Assumptions!$B$18)</f>
        <v>0.000712408070072643</v>
      </c>
      <c r="L128" s="4" t="n">
        <f aca="false">(I128-Assumptions!$B$19)/(Assumptions!$C$19-Assumptions!$B$19)</f>
        <v>0.317073170731707</v>
      </c>
      <c r="M128" s="4" t="n">
        <f aca="false">0.4*J128+0.4*K128+0.2*L128</f>
        <v>0.17279050646528</v>
      </c>
    </row>
    <row r="129" customFormat="false" ht="15" hidden="false" customHeight="false" outlineLevel="0" collapsed="false">
      <c r="A129" s="3" t="s">
        <v>2</v>
      </c>
      <c r="B129" s="3" t="s">
        <v>398</v>
      </c>
      <c r="C129" s="3" t="s">
        <v>399</v>
      </c>
      <c r="D129" s="3" t="s">
        <v>400</v>
      </c>
      <c r="E129" s="3" t="n">
        <v>177</v>
      </c>
      <c r="F129" s="3" t="n">
        <v>9</v>
      </c>
      <c r="G129" s="3" t="n">
        <v>193</v>
      </c>
      <c r="H129" s="4" t="n">
        <f aca="false">G129/E129</f>
        <v>1.09039548022599</v>
      </c>
      <c r="I129" s="3" t="n">
        <v>3</v>
      </c>
      <c r="J129" s="4" t="n">
        <f aca="false">(F129-Assumptions!$B$17)/(Assumptions!$C$17-Assumptions!$B$17)</f>
        <v>0.727272727272727</v>
      </c>
      <c r="K129" s="4" t="n">
        <f aca="false">(H129-Assumptions!$B$18)/(Assumptions!$C$18-Assumptions!$B$18)</f>
        <v>0.00127741226454511</v>
      </c>
      <c r="L129" s="4" t="n">
        <f aca="false">(I129-Assumptions!$B$19)/(Assumptions!$C$19-Assumptions!$B$19)</f>
        <v>0.585365853658536</v>
      </c>
      <c r="M129" s="4" t="n">
        <f aca="false">0.4*J129+0.4*K129+0.2*L129</f>
        <v>0.408493226546616</v>
      </c>
    </row>
    <row r="130" customFormat="false" ht="15" hidden="false" customHeight="false" outlineLevel="0" collapsed="false">
      <c r="A130" s="3" t="s">
        <v>2</v>
      </c>
      <c r="B130" s="3" t="s">
        <v>401</v>
      </c>
      <c r="C130" s="3" t="s">
        <v>402</v>
      </c>
      <c r="D130" s="3" t="s">
        <v>625</v>
      </c>
      <c r="E130" s="3" t="n">
        <v>6.5</v>
      </c>
      <c r="F130" s="3" t="n">
        <v>6</v>
      </c>
      <c r="G130" s="3" t="n">
        <v>249</v>
      </c>
      <c r="H130" s="4" t="n">
        <f aca="false">G130/E130</f>
        <v>38.3076923076923</v>
      </c>
      <c r="I130" s="3" t="n">
        <v>2.2</v>
      </c>
      <c r="J130" s="4" t="n">
        <f aca="false">(F130-Assumptions!$B$17)/(Assumptions!$C$17-Assumptions!$B$17)</f>
        <v>0.454545454545455</v>
      </c>
      <c r="K130" s="4" t="n">
        <f aca="false">(H130-Assumptions!$B$18)/(Assumptions!$C$18-Assumptions!$B$18)</f>
        <v>0.0474562064885524</v>
      </c>
      <c r="L130" s="4" t="n">
        <f aca="false">(I130-Assumptions!$B$19)/(Assumptions!$C$19-Assumptions!$B$19)</f>
        <v>0.390243902439024</v>
      </c>
      <c r="M130" s="4" t="n">
        <f aca="false">0.4*J130+0.4*K130+0.2*L130</f>
        <v>0.278849444901408</v>
      </c>
    </row>
    <row r="131" customFormat="false" ht="15" hidden="false" customHeight="false" outlineLevel="0" collapsed="false">
      <c r="A131" s="3" t="s">
        <v>2</v>
      </c>
      <c r="B131" s="3" t="s">
        <v>404</v>
      </c>
      <c r="C131" s="3" t="s">
        <v>402</v>
      </c>
      <c r="D131" s="3" t="s">
        <v>625</v>
      </c>
      <c r="E131" s="3" t="n">
        <v>27.5</v>
      </c>
      <c r="F131" s="3" t="n">
        <v>6</v>
      </c>
      <c r="G131" s="3" t="n">
        <v>249</v>
      </c>
      <c r="H131" s="4" t="n">
        <f aca="false">G131/E131</f>
        <v>9.05454545454546</v>
      </c>
      <c r="I131" s="3" t="n">
        <v>2.2</v>
      </c>
      <c r="J131" s="4" t="n">
        <f aca="false">(F131-Assumptions!$B$17)/(Assumptions!$C$17-Assumptions!$B$17)</f>
        <v>0.454545454545455</v>
      </c>
      <c r="K131" s="4" t="n">
        <f aca="false">(H131-Assumptions!$B$18)/(Assumptions!$C$18-Assumptions!$B$18)</f>
        <v>0.0111592380333047</v>
      </c>
      <c r="L131" s="4" t="n">
        <f aca="false">(I131-Assumptions!$B$19)/(Assumptions!$C$19-Assumptions!$B$19)</f>
        <v>0.390243902439024</v>
      </c>
      <c r="M131" s="4" t="n">
        <f aca="false">0.4*J131+0.4*K131+0.2*L131</f>
        <v>0.264330657519309</v>
      </c>
    </row>
    <row r="132" customFormat="false" ht="15" hidden="false" customHeight="false" outlineLevel="0" collapsed="false">
      <c r="A132" s="3" t="s">
        <v>2</v>
      </c>
      <c r="B132" s="3" t="s">
        <v>405</v>
      </c>
      <c r="C132" s="3" t="s">
        <v>402</v>
      </c>
      <c r="D132" s="3" t="s">
        <v>625</v>
      </c>
      <c r="E132" s="3" t="n">
        <v>8</v>
      </c>
      <c r="F132" s="3" t="n">
        <v>6</v>
      </c>
      <c r="G132" s="3" t="n">
        <v>249</v>
      </c>
      <c r="H132" s="4" t="n">
        <f aca="false">G132/E132</f>
        <v>31.125</v>
      </c>
      <c r="I132" s="3" t="n">
        <v>2.2</v>
      </c>
      <c r="J132" s="4" t="n">
        <f aca="false">(F132-Assumptions!$B$17)/(Assumptions!$C$17-Assumptions!$B$17)</f>
        <v>0.454545454545455</v>
      </c>
      <c r="K132" s="4" t="n">
        <f aca="false">(H132-Assumptions!$B$18)/(Assumptions!$C$18-Assumptions!$B$18)</f>
        <v>0.0385440044124871</v>
      </c>
      <c r="L132" s="4" t="n">
        <f aca="false">(I132-Assumptions!$B$19)/(Assumptions!$C$19-Assumptions!$B$19)</f>
        <v>0.390243902439024</v>
      </c>
      <c r="M132" s="4" t="n">
        <f aca="false">0.4*J132+0.4*K132+0.2*L132</f>
        <v>0.275284564070982</v>
      </c>
    </row>
    <row r="133" customFormat="false" ht="15" hidden="false" customHeight="false" outlineLevel="0" collapsed="false">
      <c r="A133" s="3" t="s">
        <v>2</v>
      </c>
      <c r="B133" s="3" t="s">
        <v>406</v>
      </c>
      <c r="C133" s="3" t="s">
        <v>402</v>
      </c>
      <c r="D133" s="3" t="s">
        <v>625</v>
      </c>
      <c r="E133" s="3" t="n">
        <v>5</v>
      </c>
      <c r="F133" s="3" t="n">
        <v>6</v>
      </c>
      <c r="G133" s="3" t="n">
        <v>249</v>
      </c>
      <c r="H133" s="4" t="n">
        <f aca="false">G133/E133</f>
        <v>49.8</v>
      </c>
      <c r="I133" s="3" t="n">
        <v>2.2</v>
      </c>
      <c r="J133" s="4" t="n">
        <f aca="false">(F133-Assumptions!$B$17)/(Assumptions!$C$17-Assumptions!$B$17)</f>
        <v>0.454545454545455</v>
      </c>
      <c r="K133" s="4" t="n">
        <f aca="false">(H133-Assumptions!$B$18)/(Assumptions!$C$18-Assumptions!$B$18)</f>
        <v>0.0617157298102568</v>
      </c>
      <c r="L133" s="4" t="n">
        <f aca="false">(I133-Assumptions!$B$19)/(Assumptions!$C$19-Assumptions!$B$19)</f>
        <v>0.390243902439024</v>
      </c>
      <c r="M133" s="4" t="n">
        <f aca="false">0.4*J133+0.4*K133+0.2*L133</f>
        <v>0.284553254230089</v>
      </c>
    </row>
    <row r="134" customFormat="false" ht="15" hidden="false" customHeight="false" outlineLevel="0" collapsed="false">
      <c r="A134" s="3" t="s">
        <v>2</v>
      </c>
      <c r="B134" s="3" t="s">
        <v>407</v>
      </c>
      <c r="C134" s="3" t="s">
        <v>402</v>
      </c>
      <c r="D134" s="3" t="s">
        <v>625</v>
      </c>
      <c r="E134" s="3" t="n">
        <v>1</v>
      </c>
      <c r="F134" s="3" t="n">
        <v>6</v>
      </c>
      <c r="G134" s="3" t="n">
        <v>249</v>
      </c>
      <c r="H134" s="4" t="n">
        <f aca="false">G134/E134</f>
        <v>249</v>
      </c>
      <c r="I134" s="3" t="n">
        <v>2.2</v>
      </c>
      <c r="J134" s="4" t="n">
        <f aca="false">(F134-Assumptions!$B$17)/(Assumptions!$C$17-Assumptions!$B$17)</f>
        <v>0.454545454545455</v>
      </c>
      <c r="K134" s="4" t="n">
        <f aca="false">(H134-Assumptions!$B$18)/(Assumptions!$C$18-Assumptions!$B$18)</f>
        <v>0.3088808007198</v>
      </c>
      <c r="L134" s="4" t="n">
        <f aca="false">(I134-Assumptions!$B$19)/(Assumptions!$C$19-Assumptions!$B$19)</f>
        <v>0.390243902439024</v>
      </c>
      <c r="M134" s="4" t="n">
        <f aca="false">0.4*J134+0.4*K134+0.2*L134</f>
        <v>0.383419282593907</v>
      </c>
    </row>
    <row r="135" customFormat="false" ht="15" hidden="false" customHeight="false" outlineLevel="0" collapsed="false">
      <c r="A135" s="3" t="s">
        <v>2</v>
      </c>
      <c r="B135" s="3" t="s">
        <v>408</v>
      </c>
      <c r="C135" s="3" t="s">
        <v>409</v>
      </c>
      <c r="D135" s="3" t="s">
        <v>410</v>
      </c>
      <c r="E135" s="3" t="n">
        <v>3.5</v>
      </c>
      <c r="F135" s="3" t="n">
        <v>1</v>
      </c>
      <c r="G135" s="3" t="n">
        <v>693</v>
      </c>
      <c r="H135" s="4" t="n">
        <f aca="false">G135/E135</f>
        <v>198</v>
      </c>
      <c r="I135" s="3" t="n">
        <v>0.8</v>
      </c>
      <c r="J135" s="4" t="n">
        <f aca="false">(F135-Assumptions!$B$17)/(Assumptions!$C$17-Assumptions!$B$17)</f>
        <v>0</v>
      </c>
      <c r="K135" s="4" t="n">
        <f aca="false">(H135-Assumptions!$B$18)/(Assumptions!$C$18-Assumptions!$B$18)</f>
        <v>0.245600586782116</v>
      </c>
      <c r="L135" s="4" t="n">
        <f aca="false">(I135-Assumptions!$B$19)/(Assumptions!$C$19-Assumptions!$B$19)</f>
        <v>0.0487804878048781</v>
      </c>
      <c r="M135" s="4" t="n">
        <f aca="false">0.4*J135+0.4*K135+0.2*L135</f>
        <v>0.107996332273822</v>
      </c>
    </row>
    <row r="136" customFormat="false" ht="15" hidden="false" customHeight="false" outlineLevel="0" collapsed="false">
      <c r="A136" s="3" t="s">
        <v>2</v>
      </c>
      <c r="B136" s="3" t="s">
        <v>411</v>
      </c>
      <c r="C136" s="3" t="s">
        <v>409</v>
      </c>
      <c r="D136" s="3" t="s">
        <v>410</v>
      </c>
      <c r="E136" s="3" t="n">
        <v>40.5</v>
      </c>
      <c r="F136" s="3" t="n">
        <v>1</v>
      </c>
      <c r="G136" s="3" t="n">
        <v>693</v>
      </c>
      <c r="H136" s="4" t="n">
        <f aca="false">G136/E136</f>
        <v>17.1111111111111</v>
      </c>
      <c r="I136" s="3" t="n">
        <v>0.8</v>
      </c>
      <c r="J136" s="4" t="n">
        <f aca="false">(F136-Assumptions!$B$17)/(Assumptions!$C$17-Assumptions!$B$17)</f>
        <v>0</v>
      </c>
      <c r="K136" s="4" t="n">
        <f aca="false">(H136-Assumptions!$B$18)/(Assumptions!$C$18-Assumptions!$B$18)</f>
        <v>0.0211557321186081</v>
      </c>
      <c r="L136" s="4" t="n">
        <f aca="false">(I136-Assumptions!$B$19)/(Assumptions!$C$19-Assumptions!$B$19)</f>
        <v>0.0487804878048781</v>
      </c>
      <c r="M136" s="4" t="n">
        <f aca="false">0.4*J136+0.4*K136+0.2*L136</f>
        <v>0.0182183904084189</v>
      </c>
    </row>
    <row r="137" customFormat="false" ht="15" hidden="false" customHeight="false" outlineLevel="0" collapsed="false">
      <c r="A137" s="3" t="s">
        <v>2</v>
      </c>
      <c r="B137" s="3" t="s">
        <v>412</v>
      </c>
      <c r="C137" s="3" t="s">
        <v>409</v>
      </c>
      <c r="D137" s="3" t="s">
        <v>410</v>
      </c>
      <c r="E137" s="3" t="n">
        <v>20.5</v>
      </c>
      <c r="F137" s="3" t="n">
        <v>1</v>
      </c>
      <c r="G137" s="3" t="n">
        <v>693</v>
      </c>
      <c r="H137" s="4" t="n">
        <f aca="false">G137/E137</f>
        <v>33.8048780487805</v>
      </c>
      <c r="I137" s="3" t="n">
        <v>0.8</v>
      </c>
      <c r="J137" s="4" t="n">
        <f aca="false">(F137-Assumptions!$B$17)/(Assumptions!$C$17-Assumptions!$B$17)</f>
        <v>0</v>
      </c>
      <c r="K137" s="4" t="n">
        <f aca="false">(H137-Assumptions!$B$18)/(Assumptions!$C$18-Assumptions!$B$18)</f>
        <v>0.0418691662998152</v>
      </c>
      <c r="L137" s="4" t="n">
        <f aca="false">(I137-Assumptions!$B$19)/(Assumptions!$C$19-Assumptions!$B$19)</f>
        <v>0.0487804878048781</v>
      </c>
      <c r="M137" s="4" t="n">
        <f aca="false">0.4*J137+0.4*K137+0.2*L137</f>
        <v>0.0265037640809017</v>
      </c>
    </row>
    <row r="138" customFormat="false" ht="15" hidden="false" customHeight="false" outlineLevel="0" collapsed="false">
      <c r="A138" s="3" t="s">
        <v>2</v>
      </c>
      <c r="B138" s="3" t="s">
        <v>413</v>
      </c>
      <c r="C138" s="3" t="s">
        <v>409</v>
      </c>
      <c r="D138" s="3" t="s">
        <v>410</v>
      </c>
      <c r="E138" s="3" t="n">
        <v>7</v>
      </c>
      <c r="F138" s="3" t="n">
        <v>1</v>
      </c>
      <c r="G138" s="3" t="n">
        <v>693</v>
      </c>
      <c r="H138" s="4" t="n">
        <f aca="false">G138/E138</f>
        <v>99</v>
      </c>
      <c r="I138" s="3" t="n">
        <v>0.8</v>
      </c>
      <c r="J138" s="4" t="n">
        <f aca="false">(F138-Assumptions!$B$17)/(Assumptions!$C$17-Assumptions!$B$17)</f>
        <v>0</v>
      </c>
      <c r="K138" s="4" t="n">
        <f aca="false">(H138-Assumptions!$B$18)/(Assumptions!$C$18-Assumptions!$B$18)</f>
        <v>0.122762524432493</v>
      </c>
      <c r="L138" s="4" t="n">
        <f aca="false">(I138-Assumptions!$B$19)/(Assumptions!$C$19-Assumptions!$B$19)</f>
        <v>0.0487804878048781</v>
      </c>
      <c r="M138" s="4" t="n">
        <f aca="false">0.4*J138+0.4*K138+0.2*L138</f>
        <v>0.058861107333973</v>
      </c>
    </row>
    <row r="139" customFormat="false" ht="15" hidden="false" customHeight="false" outlineLevel="0" collapsed="false">
      <c r="A139" s="3" t="s">
        <v>2</v>
      </c>
      <c r="B139" s="3" t="s">
        <v>414</v>
      </c>
      <c r="C139" s="3" t="s">
        <v>415</v>
      </c>
      <c r="D139" s="3" t="s">
        <v>416</v>
      </c>
      <c r="E139" s="3" t="n">
        <v>165.5</v>
      </c>
      <c r="F139" s="3" t="n">
        <v>2</v>
      </c>
      <c r="G139" s="3" t="n">
        <v>545</v>
      </c>
      <c r="H139" s="4" t="n">
        <f aca="false">G139/E139</f>
        <v>3.29305135951662</v>
      </c>
      <c r="I139" s="3" t="n">
        <v>1.4</v>
      </c>
      <c r="J139" s="4" t="n">
        <f aca="false">(F139-Assumptions!$B$17)/(Assumptions!$C$17-Assumptions!$B$17)</f>
        <v>0.0909090909090909</v>
      </c>
      <c r="K139" s="4" t="n">
        <f aca="false">(H139-Assumptions!$B$18)/(Assumptions!$C$18-Assumptions!$B$18)</f>
        <v>0.00401044236792961</v>
      </c>
      <c r="L139" s="4" t="n">
        <f aca="false">(I139-Assumptions!$B$19)/(Assumptions!$C$19-Assumptions!$B$19)</f>
        <v>0.195121951219512</v>
      </c>
      <c r="M139" s="4" t="n">
        <f aca="false">0.4*J139+0.4*K139+0.2*L139</f>
        <v>0.0769922035547107</v>
      </c>
    </row>
    <row r="140" customFormat="false" ht="15" hidden="false" customHeight="false" outlineLevel="0" collapsed="false">
      <c r="A140" s="3" t="s">
        <v>2</v>
      </c>
      <c r="B140" s="3" t="s">
        <v>417</v>
      </c>
      <c r="C140" s="3" t="s">
        <v>415</v>
      </c>
      <c r="D140" s="3" t="s">
        <v>416</v>
      </c>
      <c r="E140" s="3" t="n">
        <v>762</v>
      </c>
      <c r="F140" s="3" t="n">
        <v>2</v>
      </c>
      <c r="G140" s="3" t="n">
        <v>545</v>
      </c>
      <c r="H140" s="4" t="n">
        <f aca="false">G140/E140</f>
        <v>0.715223097112861</v>
      </c>
      <c r="I140" s="3" t="n">
        <v>1.4</v>
      </c>
      <c r="J140" s="4" t="n">
        <f aca="false">(F140-Assumptions!$B$17)/(Assumptions!$C$17-Assumptions!$B$17)</f>
        <v>0.0909090909090909</v>
      </c>
      <c r="K140" s="4" t="n">
        <f aca="false">(H140-Assumptions!$B$18)/(Assumptions!$C$18-Assumptions!$B$18)</f>
        <v>0.000811902682841004</v>
      </c>
      <c r="L140" s="4" t="n">
        <f aca="false">(I140-Assumptions!$B$19)/(Assumptions!$C$19-Assumptions!$B$19)</f>
        <v>0.195121951219512</v>
      </c>
      <c r="M140" s="4" t="n">
        <f aca="false">0.4*J140+0.4*K140+0.2*L140</f>
        <v>0.0757127876806752</v>
      </c>
    </row>
    <row r="141" customFormat="false" ht="15" hidden="false" customHeight="false" outlineLevel="0" collapsed="false">
      <c r="A141" s="3" t="s">
        <v>2</v>
      </c>
      <c r="B141" s="3" t="s">
        <v>418</v>
      </c>
      <c r="C141" s="3" t="s">
        <v>415</v>
      </c>
      <c r="D141" s="3" t="s">
        <v>416</v>
      </c>
      <c r="E141" s="3" t="n">
        <v>152</v>
      </c>
      <c r="F141" s="3" t="n">
        <v>2</v>
      </c>
      <c r="G141" s="3" t="n">
        <v>545</v>
      </c>
      <c r="H141" s="4" t="n">
        <f aca="false">G141/E141</f>
        <v>3.58552631578947</v>
      </c>
      <c r="I141" s="3" t="n">
        <v>1.4</v>
      </c>
      <c r="J141" s="4" t="n">
        <f aca="false">(F141-Assumptions!$B$17)/(Assumptions!$C$17-Assumptions!$B$17)</f>
        <v>0.0909090909090909</v>
      </c>
      <c r="K141" s="4" t="n">
        <f aca="false">(H141-Assumptions!$B$18)/(Assumptions!$C$18-Assumptions!$B$18)</f>
        <v>0.00437334193272101</v>
      </c>
      <c r="L141" s="4" t="n">
        <f aca="false">(I141-Assumptions!$B$19)/(Assumptions!$C$19-Assumptions!$B$19)</f>
        <v>0.195121951219512</v>
      </c>
      <c r="M141" s="4" t="n">
        <f aca="false">0.4*J141+0.4*K141+0.2*L141</f>
        <v>0.0771373633806272</v>
      </c>
    </row>
    <row r="142" customFormat="false" ht="15" hidden="false" customHeight="false" outlineLevel="0" collapsed="false">
      <c r="A142" s="3" t="s">
        <v>2</v>
      </c>
      <c r="B142" s="3" t="s">
        <v>419</v>
      </c>
      <c r="C142" s="3" t="s">
        <v>420</v>
      </c>
      <c r="D142" s="3" t="s">
        <v>626</v>
      </c>
      <c r="E142" s="3" t="n">
        <v>32</v>
      </c>
      <c r="F142" s="3" t="n">
        <v>2</v>
      </c>
      <c r="G142" s="3" t="n">
        <v>485</v>
      </c>
      <c r="H142" s="4" t="n">
        <f aca="false">G142/E142</f>
        <v>15.15625</v>
      </c>
      <c r="I142" s="3" t="n">
        <v>1.1</v>
      </c>
      <c r="J142" s="4" t="n">
        <f aca="false">(F142-Assumptions!$B$17)/(Assumptions!$C$17-Assumptions!$B$17)</f>
        <v>0.0909090909090909</v>
      </c>
      <c r="K142" s="4" t="n">
        <f aca="false">(H142-Assumptions!$B$18)/(Assumptions!$C$18-Assumptions!$B$18)</f>
        <v>0.0187301629160675</v>
      </c>
      <c r="L142" s="4" t="n">
        <f aca="false">(I142-Assumptions!$B$19)/(Assumptions!$C$19-Assumptions!$B$19)</f>
        <v>0.121951219512195</v>
      </c>
      <c r="M142" s="4" t="n">
        <f aca="false">0.4*J142+0.4*K142+0.2*L142</f>
        <v>0.0682459454325024</v>
      </c>
    </row>
    <row r="143" customFormat="false" ht="15" hidden="false" customHeight="false" outlineLevel="0" collapsed="false">
      <c r="A143" s="3" t="s">
        <v>2</v>
      </c>
      <c r="B143" s="3" t="s">
        <v>425</v>
      </c>
      <c r="C143" s="3" t="s">
        <v>426</v>
      </c>
      <c r="D143" s="3" t="s">
        <v>627</v>
      </c>
      <c r="E143" s="3" t="n">
        <v>78</v>
      </c>
      <c r="F143" s="3" t="n">
        <v>3</v>
      </c>
      <c r="G143" s="3" t="n">
        <v>681</v>
      </c>
      <c r="H143" s="4" t="n">
        <f aca="false">G143/E143</f>
        <v>8.73076923076923</v>
      </c>
      <c r="I143" s="3" t="n">
        <v>1.1</v>
      </c>
      <c r="J143" s="4" t="n">
        <f aca="false">(F143-Assumptions!$B$17)/(Assumptions!$C$17-Assumptions!$B$17)</f>
        <v>0.181818181818182</v>
      </c>
      <c r="K143" s="4" t="n">
        <f aca="false">(H143-Assumptions!$B$18)/(Assumptions!$C$18-Assumptions!$B$18)</f>
        <v>0.0107575002154911</v>
      </c>
      <c r="L143" s="4" t="n">
        <f aca="false">(I143-Assumptions!$B$19)/(Assumptions!$C$19-Assumptions!$B$19)</f>
        <v>0.121951219512195</v>
      </c>
      <c r="M143" s="4" t="n">
        <f aca="false">0.4*J143+0.4*K143+0.2*L143</f>
        <v>0.101420516715908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5" hidden="false" customHeight="false" outlineLevel="0" collapsed="false">
      <c r="A1" s="2" t="s">
        <v>59</v>
      </c>
      <c r="B1" s="2" t="s">
        <v>61</v>
      </c>
      <c r="C1" s="2" t="s">
        <v>62</v>
      </c>
      <c r="D1" s="2" t="s">
        <v>628</v>
      </c>
      <c r="E1" s="2" t="s">
        <v>629</v>
      </c>
      <c r="F1" s="2" t="s">
        <v>630</v>
      </c>
      <c r="G1" s="2" t="s">
        <v>631</v>
      </c>
      <c r="H1" s="2" t="s">
        <v>632</v>
      </c>
      <c r="I1" s="2" t="s">
        <v>633</v>
      </c>
      <c r="J1" s="2" t="s">
        <v>634</v>
      </c>
      <c r="K1" s="2" t="s">
        <v>64</v>
      </c>
      <c r="L1" s="2" t="s">
        <v>635</v>
      </c>
      <c r="M1" s="2" t="s">
        <v>65</v>
      </c>
      <c r="N1" s="2" t="s">
        <v>67</v>
      </c>
      <c r="O1" s="2" t="s">
        <v>636</v>
      </c>
    </row>
    <row r="2" customFormat="false" ht="15" hidden="false" customHeight="false" outlineLevel="0" collapsed="false">
      <c r="A2" s="3" t="s">
        <v>2</v>
      </c>
      <c r="B2" s="3" t="s">
        <v>73</v>
      </c>
      <c r="C2" s="3" t="s">
        <v>74</v>
      </c>
      <c r="D2" s="3" t="s">
        <v>637</v>
      </c>
      <c r="E2" s="3" t="s">
        <v>638</v>
      </c>
      <c r="F2" s="3" t="s">
        <v>639</v>
      </c>
      <c r="G2" s="3" t="s">
        <v>640</v>
      </c>
      <c r="H2" s="3" t="n">
        <v>850</v>
      </c>
      <c r="I2" s="3" t="n">
        <v>1</v>
      </c>
      <c r="J2" s="9" t="b">
        <f aca="false">FALSE()</f>
        <v>0</v>
      </c>
      <c r="K2" s="3" t="n">
        <v>2</v>
      </c>
      <c r="L2" s="3" t="n">
        <v>2</v>
      </c>
      <c r="M2" s="3" t="n">
        <v>497</v>
      </c>
      <c r="N2" s="3" t="n">
        <v>1.2</v>
      </c>
      <c r="O2" s="3" t="n">
        <v>196</v>
      </c>
    </row>
    <row r="3" customFormat="false" ht="15" hidden="false" customHeight="false" outlineLevel="0" collapsed="false">
      <c r="A3" s="3" t="s">
        <v>2</v>
      </c>
      <c r="B3" s="3" t="s">
        <v>77</v>
      </c>
      <c r="C3" s="3" t="s">
        <v>78</v>
      </c>
      <c r="D3" s="3" t="s">
        <v>641</v>
      </c>
      <c r="E3" s="3" t="s">
        <v>642</v>
      </c>
      <c r="F3" s="3" t="s">
        <v>643</v>
      </c>
      <c r="G3" s="3" t="s">
        <v>640</v>
      </c>
      <c r="H3" s="3" t="n">
        <v>200</v>
      </c>
      <c r="I3" s="3" t="n">
        <v>1</v>
      </c>
      <c r="J3" s="9" t="b">
        <f aca="false">FALSE()</f>
        <v>0</v>
      </c>
      <c r="K3" s="3" t="n">
        <v>4</v>
      </c>
      <c r="L3" s="3" t="n">
        <v>4</v>
      </c>
      <c r="M3" s="3" t="n">
        <v>249</v>
      </c>
      <c r="N3" s="3" t="n">
        <v>1.8</v>
      </c>
      <c r="O3" s="3" t="n">
        <v>112</v>
      </c>
    </row>
    <row r="4" customFormat="false" ht="15" hidden="false" customHeight="false" outlineLevel="0" collapsed="false">
      <c r="A4" s="3" t="s">
        <v>2</v>
      </c>
      <c r="B4" s="3" t="s">
        <v>81</v>
      </c>
      <c r="C4" s="3" t="s">
        <v>82</v>
      </c>
      <c r="D4" s="3" t="s">
        <v>644</v>
      </c>
      <c r="E4" s="3" t="s">
        <v>645</v>
      </c>
      <c r="F4" s="3" t="s">
        <v>646</v>
      </c>
      <c r="G4" s="3" t="s">
        <v>647</v>
      </c>
      <c r="H4" s="3" t="n">
        <v>300</v>
      </c>
      <c r="I4" s="3" t="n">
        <v>1</v>
      </c>
      <c r="J4" s="9" t="b">
        <f aca="false">FALSE()</f>
        <v>0</v>
      </c>
      <c r="K4" s="3" t="n">
        <v>3</v>
      </c>
      <c r="L4" s="3" t="n">
        <v>3</v>
      </c>
      <c r="M4" s="3" t="n">
        <v>712</v>
      </c>
      <c r="N4" s="3" t="n">
        <v>1.5</v>
      </c>
      <c r="O4" s="3" t="n">
        <v>166</v>
      </c>
    </row>
    <row r="5" customFormat="false" ht="15" hidden="false" customHeight="false" outlineLevel="0" collapsed="false">
      <c r="A5" s="3" t="s">
        <v>2</v>
      </c>
      <c r="B5" s="3" t="s">
        <v>85</v>
      </c>
      <c r="C5" s="3" t="s">
        <v>86</v>
      </c>
      <c r="D5" s="3" t="s">
        <v>648</v>
      </c>
      <c r="E5" s="3" t="s">
        <v>649</v>
      </c>
      <c r="F5" s="3" t="s">
        <v>639</v>
      </c>
      <c r="G5" s="3" t="s">
        <v>647</v>
      </c>
      <c r="H5" s="3" t="n">
        <v>3400</v>
      </c>
      <c r="I5" s="3" t="n">
        <v>1</v>
      </c>
      <c r="J5" s="9" t="b">
        <f aca="false">FALSE()</f>
        <v>0</v>
      </c>
      <c r="K5" s="3" t="n">
        <v>4</v>
      </c>
      <c r="L5" s="3" t="n">
        <v>4</v>
      </c>
      <c r="M5" s="3" t="n">
        <v>588</v>
      </c>
      <c r="N5" s="3" t="n">
        <v>1.5</v>
      </c>
      <c r="O5" s="3" t="n">
        <v>208</v>
      </c>
    </row>
    <row r="6" customFormat="false" ht="15" hidden="false" customHeight="false" outlineLevel="0" collapsed="false">
      <c r="A6" s="3" t="s">
        <v>2</v>
      </c>
      <c r="B6" s="3" t="s">
        <v>90</v>
      </c>
      <c r="C6" s="3" t="s">
        <v>91</v>
      </c>
      <c r="D6" s="3" t="s">
        <v>650</v>
      </c>
      <c r="E6" s="3" t="s">
        <v>651</v>
      </c>
      <c r="F6" s="3" t="s">
        <v>639</v>
      </c>
      <c r="G6" s="3" t="s">
        <v>640</v>
      </c>
      <c r="H6" s="3" t="n">
        <v>500</v>
      </c>
      <c r="I6" s="3" t="n">
        <v>1</v>
      </c>
      <c r="J6" s="9" t="b">
        <f aca="false">FALSE()</f>
        <v>0</v>
      </c>
      <c r="K6" s="3" t="n">
        <v>2</v>
      </c>
      <c r="L6" s="3" t="n">
        <v>2</v>
      </c>
      <c r="M6" s="3" t="n">
        <v>545</v>
      </c>
      <c r="N6" s="3" t="n">
        <v>1.8</v>
      </c>
      <c r="O6" s="3" t="n">
        <v>212</v>
      </c>
    </row>
    <row r="7" customFormat="false" ht="15" hidden="false" customHeight="false" outlineLevel="0" collapsed="false">
      <c r="A7" s="3" t="s">
        <v>2</v>
      </c>
      <c r="B7" s="3" t="s">
        <v>97</v>
      </c>
      <c r="C7" s="3" t="s">
        <v>98</v>
      </c>
      <c r="D7" s="3" t="s">
        <v>652</v>
      </c>
      <c r="E7" s="3" t="s">
        <v>653</v>
      </c>
      <c r="F7" s="3" t="s">
        <v>643</v>
      </c>
      <c r="G7" s="3" t="s">
        <v>640</v>
      </c>
      <c r="H7" s="3" t="n">
        <v>30000</v>
      </c>
      <c r="I7" s="3" t="n">
        <v>4</v>
      </c>
      <c r="J7" s="9" t="b">
        <f aca="false">TRUE()</f>
        <v>1</v>
      </c>
      <c r="K7" s="3" t="n">
        <v>4</v>
      </c>
      <c r="L7" s="3" t="n">
        <v>25</v>
      </c>
      <c r="M7" s="3" t="n">
        <v>237</v>
      </c>
      <c r="N7" s="3" t="n">
        <v>2</v>
      </c>
      <c r="O7" s="3" t="n">
        <v>112</v>
      </c>
    </row>
    <row r="8" customFormat="false" ht="15" hidden="false" customHeight="false" outlineLevel="0" collapsed="false">
      <c r="A8" s="3" t="s">
        <v>2</v>
      </c>
      <c r="B8" s="3" t="s">
        <v>100</v>
      </c>
      <c r="C8" s="3" t="s">
        <v>101</v>
      </c>
      <c r="D8" s="3" t="s">
        <v>654</v>
      </c>
      <c r="E8" s="3" t="s">
        <v>655</v>
      </c>
      <c r="F8" s="3" t="s">
        <v>656</v>
      </c>
      <c r="G8" s="3" t="s">
        <v>640</v>
      </c>
      <c r="H8" s="3" t="n">
        <v>36000</v>
      </c>
      <c r="I8" s="3" t="n">
        <v>10</v>
      </c>
      <c r="J8" s="9" t="b">
        <f aca="false">TRUE()</f>
        <v>1</v>
      </c>
      <c r="K8" s="3" t="n">
        <v>1</v>
      </c>
      <c r="L8" s="3" t="n">
        <v>64</v>
      </c>
      <c r="M8" s="3" t="n">
        <v>681</v>
      </c>
      <c r="N8" s="3" t="n">
        <v>0.6</v>
      </c>
      <c r="O8" s="3" t="n">
        <v>162</v>
      </c>
    </row>
    <row r="9" customFormat="false" ht="15" hidden="false" customHeight="false" outlineLevel="0" collapsed="false">
      <c r="A9" s="3" t="s">
        <v>2</v>
      </c>
      <c r="B9" s="3" t="s">
        <v>105</v>
      </c>
      <c r="C9" s="3" t="s">
        <v>106</v>
      </c>
      <c r="D9" s="3" t="s">
        <v>657</v>
      </c>
      <c r="E9" s="3" t="s">
        <v>658</v>
      </c>
      <c r="F9" s="3" t="s">
        <v>656</v>
      </c>
      <c r="G9" s="3" t="s">
        <v>647</v>
      </c>
      <c r="H9" s="3" t="n">
        <v>1600</v>
      </c>
      <c r="I9" s="3" t="n">
        <v>1</v>
      </c>
      <c r="J9" s="9" t="b">
        <f aca="false">FALSE()</f>
        <v>0</v>
      </c>
      <c r="K9" s="3" t="n">
        <v>4</v>
      </c>
      <c r="L9" s="3" t="n">
        <v>4</v>
      </c>
      <c r="M9" s="3" t="n">
        <v>328</v>
      </c>
      <c r="N9" s="3" t="n">
        <v>2.3</v>
      </c>
      <c r="O9" s="3" t="n">
        <v>104</v>
      </c>
    </row>
    <row r="10" customFormat="false" ht="15" hidden="false" customHeight="false" outlineLevel="0" collapsed="false">
      <c r="A10" s="3" t="s">
        <v>2</v>
      </c>
      <c r="B10" s="3" t="s">
        <v>108</v>
      </c>
      <c r="C10" s="3" t="s">
        <v>109</v>
      </c>
      <c r="D10" s="3" t="s">
        <v>659</v>
      </c>
      <c r="E10" s="3" t="s">
        <v>659</v>
      </c>
      <c r="F10" s="3" t="s">
        <v>643</v>
      </c>
      <c r="G10" s="3" t="s">
        <v>647</v>
      </c>
      <c r="H10" s="3" t="n">
        <v>9000</v>
      </c>
      <c r="I10" s="3" t="n">
        <v>2</v>
      </c>
      <c r="J10" s="9" t="b">
        <f aca="false">TRUE()</f>
        <v>1</v>
      </c>
      <c r="K10" s="3" t="n">
        <v>2</v>
      </c>
      <c r="L10" s="3" t="n">
        <v>9</v>
      </c>
      <c r="M10" s="3" t="n">
        <v>588</v>
      </c>
      <c r="N10" s="3" t="n">
        <v>1.5</v>
      </c>
      <c r="O10" s="3" t="n">
        <v>196</v>
      </c>
    </row>
    <row r="11" customFormat="false" ht="15" hidden="false" customHeight="false" outlineLevel="0" collapsed="false">
      <c r="A11" s="3" t="s">
        <v>2</v>
      </c>
      <c r="B11" s="3" t="s">
        <v>111</v>
      </c>
      <c r="C11" s="3" t="s">
        <v>112</v>
      </c>
      <c r="D11" s="3" t="s">
        <v>660</v>
      </c>
      <c r="E11" s="3" t="s">
        <v>661</v>
      </c>
      <c r="F11" s="3" t="s">
        <v>656</v>
      </c>
      <c r="G11" s="3" t="s">
        <v>640</v>
      </c>
      <c r="H11" s="3" t="n">
        <v>450</v>
      </c>
      <c r="I11" s="3" t="n">
        <v>1</v>
      </c>
      <c r="J11" s="9" t="b">
        <f aca="false">FALSE()</f>
        <v>0</v>
      </c>
      <c r="K11" s="3" t="n">
        <v>3</v>
      </c>
      <c r="L11" s="3" t="n">
        <v>3</v>
      </c>
      <c r="M11" s="3" t="n">
        <v>657</v>
      </c>
      <c r="N11" s="3" t="n">
        <v>0.8</v>
      </c>
      <c r="O11" s="3" t="n">
        <v>170</v>
      </c>
    </row>
    <row r="12" customFormat="false" ht="15" hidden="false" customHeight="false" outlineLevel="0" collapsed="false">
      <c r="A12" s="3" t="s">
        <v>2</v>
      </c>
      <c r="B12" s="3" t="s">
        <v>115</v>
      </c>
      <c r="C12" s="3" t="s">
        <v>116</v>
      </c>
      <c r="D12" s="3" t="s">
        <v>662</v>
      </c>
      <c r="E12" s="3" t="s">
        <v>663</v>
      </c>
      <c r="F12" s="3" t="s">
        <v>639</v>
      </c>
      <c r="G12" s="3" t="s">
        <v>647</v>
      </c>
      <c r="H12" s="3" t="n">
        <v>300</v>
      </c>
      <c r="I12" s="3" t="n">
        <v>1</v>
      </c>
      <c r="J12" s="9" t="b">
        <f aca="false">FALSE()</f>
        <v>0</v>
      </c>
      <c r="K12" s="3" t="n">
        <v>2</v>
      </c>
      <c r="L12" s="3" t="n">
        <v>2</v>
      </c>
      <c r="M12" s="3" t="n">
        <v>552</v>
      </c>
      <c r="N12" s="3" t="n">
        <v>1.5</v>
      </c>
      <c r="O12" s="3" t="n">
        <v>212</v>
      </c>
    </row>
    <row r="13" customFormat="false" ht="15" hidden="false" customHeight="false" outlineLevel="0" collapsed="false">
      <c r="A13" s="3" t="s">
        <v>2</v>
      </c>
      <c r="B13" s="3" t="s">
        <v>122</v>
      </c>
      <c r="C13" s="3" t="s">
        <v>123</v>
      </c>
      <c r="D13" s="3" t="s">
        <v>664</v>
      </c>
      <c r="E13" s="3" t="s">
        <v>665</v>
      </c>
      <c r="F13" s="3" t="s">
        <v>643</v>
      </c>
      <c r="G13" s="3" t="s">
        <v>640</v>
      </c>
      <c r="H13" s="3" t="n">
        <v>400</v>
      </c>
      <c r="I13" s="3" t="n">
        <v>1</v>
      </c>
      <c r="J13" s="9" t="b">
        <f aca="false">FALSE()</f>
        <v>0</v>
      </c>
      <c r="K13" s="3" t="n">
        <v>4</v>
      </c>
      <c r="L13" s="3" t="n">
        <v>4</v>
      </c>
      <c r="M13" s="3" t="n">
        <v>273</v>
      </c>
      <c r="N13" s="3" t="n">
        <v>2</v>
      </c>
      <c r="O13" s="3" t="n">
        <v>128</v>
      </c>
    </row>
    <row r="14" customFormat="false" ht="15" hidden="false" customHeight="false" outlineLevel="0" collapsed="false">
      <c r="A14" s="3" t="s">
        <v>2</v>
      </c>
      <c r="B14" s="3" t="s">
        <v>125</v>
      </c>
      <c r="C14" s="3" t="s">
        <v>126</v>
      </c>
      <c r="D14" s="3" t="s">
        <v>666</v>
      </c>
      <c r="E14" s="3" t="s">
        <v>667</v>
      </c>
      <c r="F14" s="3" t="s">
        <v>646</v>
      </c>
      <c r="G14" s="3" t="s">
        <v>647</v>
      </c>
      <c r="H14" s="3" t="n">
        <v>500</v>
      </c>
      <c r="I14" s="3" t="n">
        <v>1</v>
      </c>
      <c r="J14" s="9" t="b">
        <f aca="false">FALSE()</f>
        <v>0</v>
      </c>
      <c r="K14" s="3" t="n">
        <v>3</v>
      </c>
      <c r="L14" s="3" t="n">
        <v>3</v>
      </c>
      <c r="M14" s="3" t="n">
        <v>712</v>
      </c>
      <c r="N14" s="3" t="n">
        <v>1.5</v>
      </c>
      <c r="O14" s="3" t="n">
        <v>182</v>
      </c>
    </row>
    <row r="15" customFormat="false" ht="15" hidden="false" customHeight="false" outlineLevel="0" collapsed="false">
      <c r="A15" s="3" t="s">
        <v>2</v>
      </c>
      <c r="B15" s="3" t="s">
        <v>128</v>
      </c>
      <c r="C15" s="3" t="s">
        <v>129</v>
      </c>
      <c r="D15" s="3" t="s">
        <v>668</v>
      </c>
      <c r="E15" s="3" t="s">
        <v>669</v>
      </c>
      <c r="F15" s="3" t="s">
        <v>639</v>
      </c>
      <c r="G15" s="3" t="s">
        <v>640</v>
      </c>
      <c r="H15" s="3" t="n">
        <v>72000</v>
      </c>
      <c r="I15" s="3" t="n">
        <v>9</v>
      </c>
      <c r="J15" s="9" t="b">
        <f aca="false">TRUE()</f>
        <v>1</v>
      </c>
      <c r="K15" s="3" t="n">
        <v>4</v>
      </c>
      <c r="L15" s="3" t="n">
        <v>60</v>
      </c>
      <c r="M15" s="3" t="n">
        <v>557</v>
      </c>
      <c r="N15" s="3" t="n">
        <v>1.1</v>
      </c>
      <c r="O15" s="3" t="n">
        <v>204</v>
      </c>
    </row>
    <row r="16" customFormat="false" ht="15" hidden="false" customHeight="false" outlineLevel="0" collapsed="false">
      <c r="A16" s="3" t="s">
        <v>2</v>
      </c>
      <c r="B16" s="3" t="s">
        <v>131</v>
      </c>
      <c r="C16" s="3" t="s">
        <v>132</v>
      </c>
      <c r="D16" s="3" t="s">
        <v>670</v>
      </c>
      <c r="E16" s="3" t="s">
        <v>671</v>
      </c>
      <c r="F16" s="3" t="s">
        <v>639</v>
      </c>
      <c r="G16" s="3" t="s">
        <v>640</v>
      </c>
      <c r="H16" s="3" t="n">
        <v>700</v>
      </c>
      <c r="I16" s="3" t="n">
        <v>1</v>
      </c>
      <c r="J16" s="9" t="b">
        <f aca="false">FALSE()</f>
        <v>0</v>
      </c>
      <c r="K16" s="3" t="n">
        <v>2</v>
      </c>
      <c r="L16" s="3" t="n">
        <v>2</v>
      </c>
      <c r="M16" s="3" t="n">
        <v>569</v>
      </c>
      <c r="N16" s="3" t="n">
        <v>1.2</v>
      </c>
      <c r="O16" s="3" t="n">
        <v>196</v>
      </c>
    </row>
    <row r="17" customFormat="false" ht="15" hidden="false" customHeight="false" outlineLevel="0" collapsed="false">
      <c r="A17" s="3" t="s">
        <v>2</v>
      </c>
      <c r="B17" s="3" t="s">
        <v>135</v>
      </c>
      <c r="C17" s="3" t="s">
        <v>136</v>
      </c>
      <c r="D17" s="3" t="s">
        <v>672</v>
      </c>
      <c r="E17" s="3" t="s">
        <v>673</v>
      </c>
      <c r="F17" s="3" t="s">
        <v>656</v>
      </c>
      <c r="G17" s="3" t="s">
        <v>640</v>
      </c>
      <c r="H17" s="3" t="n">
        <v>5000</v>
      </c>
      <c r="I17" s="3" t="n">
        <v>1</v>
      </c>
      <c r="J17" s="9" t="b">
        <f aca="false">FALSE()</f>
        <v>0</v>
      </c>
      <c r="K17" s="3" t="n">
        <v>2</v>
      </c>
      <c r="L17" s="3" t="n">
        <v>2</v>
      </c>
      <c r="M17" s="3" t="n">
        <v>657</v>
      </c>
      <c r="N17" s="3" t="n">
        <v>1.3</v>
      </c>
      <c r="O17" s="3" t="n">
        <v>168</v>
      </c>
    </row>
    <row r="18" customFormat="false" ht="15" hidden="false" customHeight="false" outlineLevel="0" collapsed="false">
      <c r="A18" s="3" t="s">
        <v>2</v>
      </c>
      <c r="B18" s="3" t="s">
        <v>139</v>
      </c>
      <c r="C18" s="3" t="s">
        <v>140</v>
      </c>
      <c r="D18" s="3" t="s">
        <v>674</v>
      </c>
      <c r="E18" s="3" t="s">
        <v>674</v>
      </c>
      <c r="F18" s="3" t="s">
        <v>643</v>
      </c>
      <c r="G18" s="3" t="s">
        <v>647</v>
      </c>
      <c r="H18" s="3" t="n">
        <v>33000</v>
      </c>
      <c r="I18" s="3" t="n">
        <v>7</v>
      </c>
      <c r="J18" s="9" t="b">
        <f aca="false">TRUE()</f>
        <v>1</v>
      </c>
      <c r="K18" s="3" t="n">
        <v>3</v>
      </c>
      <c r="L18" s="3" t="n">
        <v>45</v>
      </c>
      <c r="M18" s="3" t="n">
        <v>552</v>
      </c>
      <c r="N18" s="3" t="n">
        <v>1.5</v>
      </c>
      <c r="O18" s="3" t="n">
        <v>202</v>
      </c>
    </row>
    <row r="19" customFormat="false" ht="15" hidden="false" customHeight="false" outlineLevel="0" collapsed="false">
      <c r="A19" s="3" t="s">
        <v>2</v>
      </c>
      <c r="B19" s="3" t="s">
        <v>144</v>
      </c>
      <c r="C19" s="3" t="s">
        <v>145</v>
      </c>
      <c r="D19" s="3" t="s">
        <v>675</v>
      </c>
      <c r="E19" s="3" t="s">
        <v>676</v>
      </c>
      <c r="F19" s="3" t="s">
        <v>656</v>
      </c>
      <c r="G19" s="3" t="s">
        <v>640</v>
      </c>
      <c r="H19" s="3" t="n">
        <v>1400</v>
      </c>
      <c r="I19" s="3" t="n">
        <v>1</v>
      </c>
      <c r="J19" s="9" t="b">
        <f aca="false">FALSE()</f>
        <v>0</v>
      </c>
      <c r="K19" s="3" t="n">
        <v>1</v>
      </c>
      <c r="L19" s="3" t="n">
        <v>1</v>
      </c>
      <c r="M19" s="3" t="n">
        <v>645</v>
      </c>
      <c r="N19" s="3" t="n">
        <v>0.6</v>
      </c>
      <c r="O19" s="3" t="n">
        <v>146</v>
      </c>
    </row>
    <row r="20" customFormat="false" ht="15" hidden="false" customHeight="false" outlineLevel="0" collapsed="false">
      <c r="A20" s="3" t="s">
        <v>2</v>
      </c>
      <c r="B20" s="3" t="s">
        <v>147</v>
      </c>
      <c r="C20" s="3" t="s">
        <v>148</v>
      </c>
      <c r="D20" s="3" t="s">
        <v>677</v>
      </c>
      <c r="E20" s="3" t="s">
        <v>678</v>
      </c>
      <c r="F20" s="3" t="s">
        <v>646</v>
      </c>
      <c r="G20" s="3" t="s">
        <v>640</v>
      </c>
      <c r="H20" s="3" t="n">
        <v>1600</v>
      </c>
      <c r="I20" s="3" t="n">
        <v>1</v>
      </c>
      <c r="J20" s="9" t="b">
        <f aca="false">FALSE()</f>
        <v>0</v>
      </c>
      <c r="K20" s="3" t="n">
        <v>9</v>
      </c>
      <c r="L20" s="3" t="n">
        <v>9</v>
      </c>
      <c r="M20" s="3" t="n">
        <v>169</v>
      </c>
      <c r="N20" s="3" t="n">
        <v>2.8</v>
      </c>
      <c r="O20" s="3" t="n">
        <v>117</v>
      </c>
    </row>
    <row r="21" customFormat="false" ht="15" hidden="false" customHeight="false" outlineLevel="0" collapsed="false">
      <c r="A21" s="3" t="s">
        <v>2</v>
      </c>
      <c r="B21" s="3" t="s">
        <v>150</v>
      </c>
      <c r="C21" s="3" t="s">
        <v>151</v>
      </c>
      <c r="D21" s="3" t="s">
        <v>679</v>
      </c>
      <c r="E21" s="3" t="s">
        <v>680</v>
      </c>
      <c r="F21" s="3" t="s">
        <v>656</v>
      </c>
      <c r="G21" s="3" t="s">
        <v>647</v>
      </c>
      <c r="H21" s="3" t="n">
        <v>4320</v>
      </c>
      <c r="I21" s="3" t="n">
        <v>1</v>
      </c>
      <c r="J21" s="9" t="b">
        <f aca="false">FALSE()</f>
        <v>0</v>
      </c>
      <c r="K21" s="3" t="n">
        <v>4</v>
      </c>
      <c r="L21" s="3" t="n">
        <v>4</v>
      </c>
      <c r="M21" s="3" t="n">
        <v>328</v>
      </c>
      <c r="N21" s="3" t="n">
        <v>2.3</v>
      </c>
      <c r="O21" s="3" t="n">
        <v>120</v>
      </c>
    </row>
    <row r="22" customFormat="false" ht="15" hidden="false" customHeight="false" outlineLevel="0" collapsed="false">
      <c r="A22" s="3" t="s">
        <v>2</v>
      </c>
      <c r="B22" s="3" t="s">
        <v>154</v>
      </c>
      <c r="C22" s="3" t="s">
        <v>155</v>
      </c>
      <c r="D22" s="3" t="s">
        <v>681</v>
      </c>
      <c r="E22" s="3" t="s">
        <v>682</v>
      </c>
      <c r="F22" s="3" t="s">
        <v>639</v>
      </c>
      <c r="G22" s="3" t="s">
        <v>640</v>
      </c>
      <c r="H22" s="3" t="n">
        <v>2000</v>
      </c>
      <c r="I22" s="3" t="n">
        <v>1</v>
      </c>
      <c r="J22" s="9" t="b">
        <f aca="false">FALSE()</f>
        <v>0</v>
      </c>
      <c r="K22" s="3" t="n">
        <v>2</v>
      </c>
      <c r="L22" s="3" t="n">
        <v>2</v>
      </c>
      <c r="M22" s="3" t="n">
        <v>497</v>
      </c>
      <c r="N22" s="3" t="n">
        <v>1.2</v>
      </c>
      <c r="O22" s="3" t="n">
        <v>212</v>
      </c>
    </row>
    <row r="23" customFormat="false" ht="15" hidden="false" customHeight="false" outlineLevel="0" collapsed="false">
      <c r="A23" s="3" t="s">
        <v>2</v>
      </c>
      <c r="B23" s="3" t="s">
        <v>157</v>
      </c>
      <c r="C23" s="3" t="s">
        <v>158</v>
      </c>
      <c r="D23" s="3" t="s">
        <v>683</v>
      </c>
      <c r="E23" s="3" t="s">
        <v>684</v>
      </c>
      <c r="F23" s="3" t="s">
        <v>656</v>
      </c>
      <c r="G23" s="3" t="s">
        <v>640</v>
      </c>
      <c r="H23" s="3" t="n">
        <v>45000</v>
      </c>
      <c r="I23" s="3" t="n">
        <v>8</v>
      </c>
      <c r="J23" s="9" t="b">
        <f aca="false">TRUE()</f>
        <v>1</v>
      </c>
      <c r="K23" s="3" t="n">
        <v>3</v>
      </c>
      <c r="L23" s="3" t="n">
        <v>52</v>
      </c>
      <c r="M23" s="3" t="n">
        <v>729</v>
      </c>
      <c r="N23" s="3" t="n">
        <v>0.8</v>
      </c>
      <c r="O23" s="3" t="n">
        <v>186</v>
      </c>
    </row>
    <row r="24" customFormat="false" ht="15" hidden="false" customHeight="false" outlineLevel="0" collapsed="false">
      <c r="A24" s="3" t="s">
        <v>2</v>
      </c>
      <c r="B24" s="3" t="s">
        <v>160</v>
      </c>
      <c r="C24" s="3" t="s">
        <v>161</v>
      </c>
      <c r="D24" s="3" t="s">
        <v>675</v>
      </c>
      <c r="E24" s="3" t="s">
        <v>685</v>
      </c>
      <c r="F24" s="3" t="s">
        <v>656</v>
      </c>
      <c r="G24" s="3" t="s">
        <v>640</v>
      </c>
      <c r="H24" s="3" t="n">
        <v>400</v>
      </c>
      <c r="I24" s="3" t="n">
        <v>1</v>
      </c>
      <c r="J24" s="9" t="b">
        <f aca="false">FALSE()</f>
        <v>0</v>
      </c>
      <c r="K24" s="3" t="n">
        <v>1</v>
      </c>
      <c r="L24" s="3" t="n">
        <v>1</v>
      </c>
      <c r="M24" s="3" t="n">
        <v>693</v>
      </c>
      <c r="N24" s="3" t="n">
        <v>1.3</v>
      </c>
      <c r="O24" s="3" t="n">
        <v>146</v>
      </c>
    </row>
    <row r="25" customFormat="false" ht="15" hidden="false" customHeight="false" outlineLevel="0" collapsed="false">
      <c r="A25" s="3" t="s">
        <v>2</v>
      </c>
      <c r="B25" s="3" t="s">
        <v>165</v>
      </c>
      <c r="C25" s="3" t="s">
        <v>166</v>
      </c>
      <c r="D25" s="3" t="s">
        <v>686</v>
      </c>
      <c r="E25" s="3" t="s">
        <v>687</v>
      </c>
      <c r="F25" s="3" t="s">
        <v>639</v>
      </c>
      <c r="G25" s="3" t="s">
        <v>640</v>
      </c>
      <c r="H25" s="3" t="n">
        <v>800</v>
      </c>
      <c r="I25" s="3" t="n">
        <v>1</v>
      </c>
      <c r="J25" s="9" t="b">
        <f aca="false">FALSE()</f>
        <v>0</v>
      </c>
      <c r="K25" s="3" t="n">
        <v>4</v>
      </c>
      <c r="L25" s="3" t="n">
        <v>4</v>
      </c>
      <c r="M25" s="3" t="n">
        <v>581</v>
      </c>
      <c r="N25" s="3" t="n">
        <v>1.4</v>
      </c>
      <c r="O25" s="3" t="n">
        <v>220</v>
      </c>
    </row>
    <row r="26" customFormat="false" ht="15" hidden="false" customHeight="false" outlineLevel="0" collapsed="false">
      <c r="A26" s="3" t="s">
        <v>2</v>
      </c>
      <c r="B26" s="3" t="s">
        <v>168</v>
      </c>
      <c r="C26" s="3" t="s">
        <v>169</v>
      </c>
      <c r="D26" s="3" t="s">
        <v>688</v>
      </c>
      <c r="E26" s="3" t="s">
        <v>689</v>
      </c>
      <c r="F26" s="3" t="s">
        <v>639</v>
      </c>
      <c r="G26" s="3" t="s">
        <v>640</v>
      </c>
      <c r="H26" s="3" t="n">
        <v>900</v>
      </c>
      <c r="I26" s="3" t="n">
        <v>1</v>
      </c>
      <c r="J26" s="9" t="b">
        <f aca="false">FALSE()</f>
        <v>0</v>
      </c>
      <c r="K26" s="3" t="n">
        <v>2</v>
      </c>
      <c r="L26" s="3" t="n">
        <v>2</v>
      </c>
      <c r="M26" s="3" t="n">
        <v>485</v>
      </c>
      <c r="N26" s="3" t="n">
        <v>1.5</v>
      </c>
      <c r="O26" s="3" t="n">
        <v>212</v>
      </c>
    </row>
    <row r="27" customFormat="false" ht="15" hidden="false" customHeight="false" outlineLevel="0" collapsed="false">
      <c r="A27" s="3" t="s">
        <v>2</v>
      </c>
      <c r="B27" s="3" t="s">
        <v>171</v>
      </c>
      <c r="C27" s="3" t="s">
        <v>172</v>
      </c>
      <c r="D27" s="3" t="s">
        <v>690</v>
      </c>
      <c r="E27" s="3" t="s">
        <v>690</v>
      </c>
      <c r="F27" s="3" t="s">
        <v>643</v>
      </c>
      <c r="G27" s="3" t="s">
        <v>647</v>
      </c>
      <c r="H27" s="3" t="n">
        <v>3120</v>
      </c>
      <c r="I27" s="3" t="n">
        <v>1</v>
      </c>
      <c r="J27" s="9" t="b">
        <f aca="false">FALSE()</f>
        <v>0</v>
      </c>
      <c r="K27" s="3" t="n">
        <v>3</v>
      </c>
      <c r="L27" s="3" t="n">
        <v>3</v>
      </c>
      <c r="M27" s="3" t="n">
        <v>552</v>
      </c>
      <c r="N27" s="3" t="n">
        <v>1.5</v>
      </c>
      <c r="O27" s="3" t="n">
        <v>218</v>
      </c>
    </row>
    <row r="28" customFormat="false" ht="15" hidden="false" customHeight="false" outlineLevel="0" collapsed="false">
      <c r="A28" s="3" t="s">
        <v>2</v>
      </c>
      <c r="B28" s="3" t="s">
        <v>174</v>
      </c>
      <c r="C28" s="3" t="s">
        <v>175</v>
      </c>
      <c r="D28" s="3" t="s">
        <v>691</v>
      </c>
      <c r="E28" s="3" t="s">
        <v>692</v>
      </c>
      <c r="F28" s="3" t="s">
        <v>656</v>
      </c>
      <c r="G28" s="3" t="s">
        <v>640</v>
      </c>
      <c r="H28" s="3" t="n">
        <v>8000</v>
      </c>
      <c r="I28" s="3" t="n">
        <v>2</v>
      </c>
      <c r="J28" s="9" t="b">
        <f aca="false">TRUE()</f>
        <v>1</v>
      </c>
      <c r="K28" s="3" t="n">
        <v>1</v>
      </c>
      <c r="L28" s="3" t="n">
        <v>8</v>
      </c>
      <c r="M28" s="3" t="n">
        <v>729</v>
      </c>
      <c r="N28" s="3" t="n">
        <v>1.3</v>
      </c>
      <c r="O28" s="3" t="n">
        <v>162</v>
      </c>
    </row>
    <row r="29" customFormat="false" ht="15" hidden="false" customHeight="false" outlineLevel="0" collapsed="false">
      <c r="A29" s="3" t="s">
        <v>2</v>
      </c>
      <c r="B29" s="3" t="s">
        <v>178</v>
      </c>
      <c r="C29" s="3" t="s">
        <v>179</v>
      </c>
      <c r="D29" s="3" t="s">
        <v>693</v>
      </c>
      <c r="E29" s="3" t="s">
        <v>694</v>
      </c>
      <c r="F29" s="3" t="s">
        <v>646</v>
      </c>
      <c r="G29" s="3" t="s">
        <v>640</v>
      </c>
      <c r="H29" s="3" t="n">
        <v>1800</v>
      </c>
      <c r="I29" s="3" t="n">
        <v>1</v>
      </c>
      <c r="J29" s="9" t="b">
        <f aca="false">FALSE()</f>
        <v>0</v>
      </c>
      <c r="K29" s="3" t="n">
        <v>11</v>
      </c>
      <c r="L29" s="3" t="n">
        <v>11</v>
      </c>
      <c r="M29" s="3" t="n">
        <v>145</v>
      </c>
      <c r="N29" s="3" t="n">
        <v>2.5</v>
      </c>
      <c r="O29" s="3" t="n">
        <v>145</v>
      </c>
    </row>
    <row r="30" customFormat="false" ht="15" hidden="false" customHeight="false" outlineLevel="0" collapsed="false">
      <c r="A30" s="3" t="s">
        <v>2</v>
      </c>
      <c r="B30" s="3" t="s">
        <v>181</v>
      </c>
      <c r="C30" s="3" t="s">
        <v>182</v>
      </c>
      <c r="D30" s="3" t="s">
        <v>695</v>
      </c>
      <c r="E30" s="3" t="s">
        <v>696</v>
      </c>
      <c r="F30" s="3" t="s">
        <v>639</v>
      </c>
      <c r="G30" s="3" t="s">
        <v>647</v>
      </c>
      <c r="H30" s="3" t="n">
        <v>300</v>
      </c>
      <c r="I30" s="3" t="n">
        <v>1</v>
      </c>
      <c r="J30" s="9" t="b">
        <f aca="false">FALSE()</f>
        <v>0</v>
      </c>
      <c r="K30" s="3" t="n">
        <v>1</v>
      </c>
      <c r="L30" s="3" t="n">
        <v>1</v>
      </c>
      <c r="M30" s="3" t="n">
        <v>712</v>
      </c>
      <c r="N30" s="3" t="n">
        <v>1.5</v>
      </c>
      <c r="O30" s="3" t="n">
        <v>154</v>
      </c>
    </row>
    <row r="31" customFormat="false" ht="15" hidden="false" customHeight="false" outlineLevel="0" collapsed="false">
      <c r="A31" s="3" t="s">
        <v>2</v>
      </c>
      <c r="B31" s="3" t="s">
        <v>185</v>
      </c>
      <c r="C31" s="3" t="s">
        <v>186</v>
      </c>
      <c r="D31" s="3" t="s">
        <v>660</v>
      </c>
      <c r="E31" s="3" t="s">
        <v>661</v>
      </c>
      <c r="F31" s="3" t="s">
        <v>656</v>
      </c>
      <c r="G31" s="3" t="s">
        <v>640</v>
      </c>
      <c r="H31" s="3" t="n">
        <v>15000</v>
      </c>
      <c r="I31" s="3" t="n">
        <v>3</v>
      </c>
      <c r="J31" s="9" t="b">
        <f aca="false">TRUE()</f>
        <v>1</v>
      </c>
      <c r="K31" s="3" t="n">
        <v>2</v>
      </c>
      <c r="L31" s="3" t="n">
        <v>16</v>
      </c>
      <c r="M31" s="3" t="n">
        <v>717</v>
      </c>
      <c r="N31" s="3" t="n">
        <v>0.6</v>
      </c>
      <c r="O31" s="3" t="n">
        <v>152</v>
      </c>
    </row>
    <row r="32" customFormat="false" ht="15" hidden="false" customHeight="false" outlineLevel="0" collapsed="false">
      <c r="A32" s="3" t="s">
        <v>2</v>
      </c>
      <c r="B32" s="3" t="s">
        <v>188</v>
      </c>
      <c r="C32" s="3" t="s">
        <v>189</v>
      </c>
      <c r="D32" s="3" t="s">
        <v>697</v>
      </c>
      <c r="E32" s="3" t="s">
        <v>698</v>
      </c>
      <c r="F32" s="3" t="s">
        <v>639</v>
      </c>
      <c r="G32" s="3" t="s">
        <v>647</v>
      </c>
      <c r="H32" s="3" t="n">
        <v>7000</v>
      </c>
      <c r="I32" s="3" t="n">
        <v>2</v>
      </c>
      <c r="J32" s="9" t="b">
        <f aca="false">TRUE()</f>
        <v>1</v>
      </c>
      <c r="K32" s="3" t="n">
        <v>2</v>
      </c>
      <c r="L32" s="3" t="n">
        <v>9</v>
      </c>
      <c r="M32" s="3" t="n">
        <v>552</v>
      </c>
      <c r="N32" s="3" t="n">
        <v>1.5</v>
      </c>
      <c r="O32" s="3" t="n">
        <v>212</v>
      </c>
    </row>
    <row r="33" customFormat="false" ht="15" hidden="false" customHeight="false" outlineLevel="0" collapsed="false">
      <c r="A33" s="3" t="s">
        <v>2</v>
      </c>
      <c r="B33" s="3" t="s">
        <v>193</v>
      </c>
      <c r="C33" s="3" t="s">
        <v>194</v>
      </c>
      <c r="D33" s="3" t="s">
        <v>699</v>
      </c>
      <c r="E33" s="3" t="s">
        <v>700</v>
      </c>
      <c r="F33" s="3" t="s">
        <v>643</v>
      </c>
      <c r="G33" s="3" t="s">
        <v>640</v>
      </c>
      <c r="H33" s="3" t="n">
        <v>800</v>
      </c>
      <c r="I33" s="3" t="n">
        <v>1</v>
      </c>
      <c r="J33" s="9" t="b">
        <f aca="false">FALSE()</f>
        <v>0</v>
      </c>
      <c r="K33" s="3" t="n">
        <v>4</v>
      </c>
      <c r="L33" s="3" t="n">
        <v>4</v>
      </c>
      <c r="M33" s="3" t="n">
        <v>321</v>
      </c>
      <c r="N33" s="3" t="n">
        <v>1.8</v>
      </c>
      <c r="O33" s="3" t="n">
        <v>128</v>
      </c>
    </row>
    <row r="34" customFormat="false" ht="15" hidden="false" customHeight="false" outlineLevel="0" collapsed="false">
      <c r="A34" s="3" t="s">
        <v>2</v>
      </c>
      <c r="B34" s="3" t="s">
        <v>196</v>
      </c>
      <c r="C34" s="3" t="s">
        <v>197</v>
      </c>
      <c r="D34" s="3" t="s">
        <v>701</v>
      </c>
      <c r="E34" s="3" t="s">
        <v>702</v>
      </c>
      <c r="F34" s="3" t="s">
        <v>646</v>
      </c>
      <c r="G34" s="3" t="s">
        <v>647</v>
      </c>
      <c r="H34" s="3" t="n">
        <v>900</v>
      </c>
      <c r="I34" s="3" t="n">
        <v>1</v>
      </c>
      <c r="J34" s="9" t="b">
        <f aca="false">FALSE()</f>
        <v>0</v>
      </c>
      <c r="K34" s="3" t="n">
        <v>3</v>
      </c>
      <c r="L34" s="3" t="n">
        <v>3</v>
      </c>
      <c r="M34" s="3" t="n">
        <v>712</v>
      </c>
      <c r="N34" s="3" t="n">
        <v>1.5</v>
      </c>
      <c r="O34" s="3" t="n">
        <v>182</v>
      </c>
    </row>
    <row r="35" customFormat="false" ht="15" hidden="false" customHeight="false" outlineLevel="0" collapsed="false">
      <c r="A35" s="3" t="s">
        <v>2</v>
      </c>
      <c r="B35" s="3" t="s">
        <v>199</v>
      </c>
      <c r="C35" s="3" t="s">
        <v>200</v>
      </c>
      <c r="D35" s="3" t="s">
        <v>677</v>
      </c>
      <c r="E35" s="3" t="s">
        <v>678</v>
      </c>
      <c r="F35" s="3" t="s">
        <v>646</v>
      </c>
      <c r="G35" s="3" t="s">
        <v>640</v>
      </c>
      <c r="H35" s="3" t="n">
        <v>36000</v>
      </c>
      <c r="I35" s="3" t="n">
        <v>5</v>
      </c>
      <c r="J35" s="9" t="b">
        <f aca="false">TRUE()</f>
        <v>1</v>
      </c>
      <c r="K35" s="3" t="n">
        <v>11</v>
      </c>
      <c r="L35" s="3" t="n">
        <v>39</v>
      </c>
      <c r="M35" s="3" t="n">
        <v>169</v>
      </c>
      <c r="N35" s="3" t="n">
        <v>2.8</v>
      </c>
      <c r="O35" s="3" t="n">
        <v>129</v>
      </c>
    </row>
    <row r="36" customFormat="false" ht="15" hidden="false" customHeight="false" outlineLevel="0" collapsed="false">
      <c r="A36" s="3" t="s">
        <v>2</v>
      </c>
      <c r="B36" s="3" t="s">
        <v>202</v>
      </c>
      <c r="C36" s="3" t="s">
        <v>203</v>
      </c>
      <c r="D36" s="3" t="s">
        <v>703</v>
      </c>
      <c r="E36" s="3" t="s">
        <v>695</v>
      </c>
      <c r="F36" s="3" t="s">
        <v>656</v>
      </c>
      <c r="G36" s="3" t="s">
        <v>647</v>
      </c>
      <c r="H36" s="3" t="n">
        <v>400</v>
      </c>
      <c r="I36" s="3" t="n">
        <v>1</v>
      </c>
      <c r="J36" s="9" t="b">
        <f aca="false">FALSE()</f>
        <v>0</v>
      </c>
      <c r="K36" s="3" t="n">
        <v>4</v>
      </c>
      <c r="L36" s="3" t="n">
        <v>4</v>
      </c>
      <c r="M36" s="3" t="n">
        <v>328</v>
      </c>
      <c r="N36" s="3" t="n">
        <v>2.3</v>
      </c>
      <c r="O36" s="3" t="n">
        <v>120</v>
      </c>
    </row>
    <row r="37" customFormat="false" ht="15" hidden="false" customHeight="false" outlineLevel="0" collapsed="false">
      <c r="A37" s="3" t="s">
        <v>2</v>
      </c>
      <c r="B37" s="3" t="s">
        <v>205</v>
      </c>
      <c r="C37" s="3" t="s">
        <v>206</v>
      </c>
      <c r="D37" s="3" t="s">
        <v>658</v>
      </c>
      <c r="E37" s="3" t="s">
        <v>704</v>
      </c>
      <c r="F37" s="3" t="s">
        <v>639</v>
      </c>
      <c r="G37" s="3" t="s">
        <v>647</v>
      </c>
      <c r="H37" s="3" t="n">
        <v>45000</v>
      </c>
      <c r="I37" s="3" t="n">
        <v>10</v>
      </c>
      <c r="J37" s="9" t="b">
        <f aca="false">TRUE()</f>
        <v>1</v>
      </c>
      <c r="K37" s="3" t="n">
        <v>1</v>
      </c>
      <c r="L37" s="3" t="n">
        <v>64</v>
      </c>
      <c r="M37" s="3" t="n">
        <v>712</v>
      </c>
      <c r="N37" s="3" t="n">
        <v>1.5</v>
      </c>
      <c r="O37" s="3" t="n">
        <v>170</v>
      </c>
    </row>
    <row r="38" customFormat="false" ht="15" hidden="false" customHeight="false" outlineLevel="0" collapsed="false">
      <c r="A38" s="3" t="s">
        <v>2</v>
      </c>
      <c r="B38" s="3" t="s">
        <v>209</v>
      </c>
      <c r="C38" s="3" t="s">
        <v>210</v>
      </c>
      <c r="D38" s="3" t="s">
        <v>705</v>
      </c>
      <c r="E38" s="3" t="s">
        <v>706</v>
      </c>
      <c r="F38" s="3" t="s">
        <v>656</v>
      </c>
      <c r="G38" s="3" t="s">
        <v>640</v>
      </c>
      <c r="H38" s="3" t="n">
        <v>800</v>
      </c>
      <c r="I38" s="3" t="n">
        <v>1</v>
      </c>
      <c r="J38" s="9" t="b">
        <f aca="false">FALSE()</f>
        <v>0</v>
      </c>
      <c r="K38" s="3" t="n">
        <v>1</v>
      </c>
      <c r="L38" s="3" t="n">
        <v>1</v>
      </c>
      <c r="M38" s="3" t="n">
        <v>741</v>
      </c>
      <c r="N38" s="3" t="n">
        <v>0.9</v>
      </c>
      <c r="O38" s="3" t="n">
        <v>146</v>
      </c>
    </row>
    <row r="39" customFormat="false" ht="15" hidden="false" customHeight="false" outlineLevel="0" collapsed="false">
      <c r="A39" s="3" t="s">
        <v>2</v>
      </c>
      <c r="B39" s="3" t="s">
        <v>212</v>
      </c>
      <c r="C39" s="3" t="s">
        <v>213</v>
      </c>
      <c r="D39" s="3" t="s">
        <v>707</v>
      </c>
      <c r="E39" s="3" t="s">
        <v>708</v>
      </c>
      <c r="F39" s="3" t="s">
        <v>639</v>
      </c>
      <c r="G39" s="3" t="s">
        <v>640</v>
      </c>
      <c r="H39" s="3" t="n">
        <v>36000</v>
      </c>
      <c r="I39" s="3" t="n">
        <v>4</v>
      </c>
      <c r="J39" s="9" t="b">
        <f aca="false">TRUE()</f>
        <v>1</v>
      </c>
      <c r="K39" s="3" t="n">
        <v>4</v>
      </c>
      <c r="L39" s="3" t="n">
        <v>25</v>
      </c>
      <c r="M39" s="3" t="n">
        <v>521</v>
      </c>
      <c r="N39" s="3" t="n">
        <v>1.1</v>
      </c>
      <c r="O39" s="3" t="n">
        <v>220</v>
      </c>
    </row>
    <row r="40" customFormat="false" ht="15" hidden="false" customHeight="false" outlineLevel="0" collapsed="false">
      <c r="A40" s="3" t="s">
        <v>2</v>
      </c>
      <c r="B40" s="3" t="s">
        <v>216</v>
      </c>
      <c r="C40" s="3" t="s">
        <v>217</v>
      </c>
      <c r="D40" s="3" t="s">
        <v>709</v>
      </c>
      <c r="E40" s="3" t="s">
        <v>710</v>
      </c>
      <c r="F40" s="3" t="s">
        <v>656</v>
      </c>
      <c r="G40" s="3" t="s">
        <v>640</v>
      </c>
      <c r="H40" s="3" t="n">
        <v>4000</v>
      </c>
      <c r="I40" s="3" t="n">
        <v>2</v>
      </c>
      <c r="J40" s="9" t="b">
        <f aca="false">TRUE()</f>
        <v>1</v>
      </c>
      <c r="K40" s="3" t="n">
        <v>2</v>
      </c>
      <c r="L40" s="3" t="n">
        <v>9</v>
      </c>
      <c r="M40" s="3" t="n">
        <v>741</v>
      </c>
      <c r="N40" s="3" t="n">
        <v>0.9</v>
      </c>
      <c r="O40" s="3" t="n">
        <v>152</v>
      </c>
    </row>
    <row r="41" customFormat="false" ht="15" hidden="false" customHeight="false" outlineLevel="0" collapsed="false">
      <c r="A41" s="3" t="s">
        <v>2</v>
      </c>
      <c r="B41" s="3" t="s">
        <v>219</v>
      </c>
      <c r="C41" s="3" t="s">
        <v>220</v>
      </c>
      <c r="D41" s="3" t="s">
        <v>711</v>
      </c>
      <c r="E41" s="3" t="s">
        <v>712</v>
      </c>
      <c r="F41" s="3" t="s">
        <v>646</v>
      </c>
      <c r="G41" s="3" t="s">
        <v>640</v>
      </c>
      <c r="H41" s="3" t="n">
        <v>156000</v>
      </c>
      <c r="I41" s="3" t="n">
        <v>12</v>
      </c>
      <c r="J41" s="9" t="b">
        <f aca="false">TRUE()</f>
        <v>1</v>
      </c>
      <c r="K41" s="3" t="n">
        <v>11</v>
      </c>
      <c r="L41" s="3" t="n">
        <v>88</v>
      </c>
      <c r="M41" s="3" t="n">
        <v>205</v>
      </c>
      <c r="N41" s="3" t="n">
        <v>2.8</v>
      </c>
      <c r="O41" s="3" t="n">
        <v>145</v>
      </c>
    </row>
    <row r="42" customFormat="false" ht="15" hidden="false" customHeight="false" outlineLevel="0" collapsed="false">
      <c r="A42" s="3" t="s">
        <v>2</v>
      </c>
      <c r="B42" s="3" t="s">
        <v>222</v>
      </c>
      <c r="C42" s="3" t="s">
        <v>223</v>
      </c>
      <c r="D42" s="3" t="s">
        <v>713</v>
      </c>
      <c r="E42" s="3" t="s">
        <v>714</v>
      </c>
      <c r="F42" s="3" t="s">
        <v>639</v>
      </c>
      <c r="G42" s="3" t="s">
        <v>647</v>
      </c>
      <c r="H42" s="3" t="n">
        <v>700</v>
      </c>
      <c r="I42" s="3" t="n">
        <v>1</v>
      </c>
      <c r="J42" s="9" t="b">
        <f aca="false">FALSE()</f>
        <v>0</v>
      </c>
      <c r="K42" s="3" t="n">
        <v>1</v>
      </c>
      <c r="L42" s="3" t="n">
        <v>1</v>
      </c>
      <c r="M42" s="3" t="n">
        <v>712</v>
      </c>
      <c r="N42" s="3" t="n">
        <v>1.5</v>
      </c>
      <c r="O42" s="3" t="n">
        <v>154</v>
      </c>
    </row>
    <row r="43" customFormat="false" ht="15" hidden="false" customHeight="false" outlineLevel="0" collapsed="false">
      <c r="A43" s="3" t="s">
        <v>2</v>
      </c>
      <c r="B43" s="3" t="s">
        <v>226</v>
      </c>
      <c r="C43" s="3" t="s">
        <v>227</v>
      </c>
      <c r="D43" s="3" t="s">
        <v>715</v>
      </c>
      <c r="E43" s="3" t="s">
        <v>715</v>
      </c>
      <c r="F43" s="3" t="s">
        <v>643</v>
      </c>
      <c r="G43" s="3" t="s">
        <v>647</v>
      </c>
      <c r="H43" s="3" t="n">
        <v>800</v>
      </c>
      <c r="I43" s="3" t="n">
        <v>1</v>
      </c>
      <c r="J43" s="9" t="b">
        <f aca="false">FALSE()</f>
        <v>0</v>
      </c>
      <c r="K43" s="3" t="n">
        <v>2</v>
      </c>
      <c r="L43" s="3" t="n">
        <v>2</v>
      </c>
      <c r="M43" s="3" t="n">
        <v>624</v>
      </c>
      <c r="N43" s="3" t="n">
        <v>1.5</v>
      </c>
      <c r="O43" s="3" t="n">
        <v>196</v>
      </c>
    </row>
    <row r="44" customFormat="false" ht="15" hidden="false" customHeight="false" outlineLevel="0" collapsed="false">
      <c r="A44" s="3" t="s">
        <v>2</v>
      </c>
      <c r="B44" s="3" t="s">
        <v>229</v>
      </c>
      <c r="C44" s="3" t="s">
        <v>230</v>
      </c>
      <c r="D44" s="3" t="s">
        <v>691</v>
      </c>
      <c r="E44" s="3" t="s">
        <v>716</v>
      </c>
      <c r="F44" s="3" t="s">
        <v>656</v>
      </c>
      <c r="G44" s="3" t="s">
        <v>640</v>
      </c>
      <c r="H44" s="3" t="n">
        <v>30000</v>
      </c>
      <c r="I44" s="3" t="n">
        <v>7</v>
      </c>
      <c r="J44" s="9" t="b">
        <f aca="false">TRUE()</f>
        <v>1</v>
      </c>
      <c r="K44" s="3" t="n">
        <v>1</v>
      </c>
      <c r="L44" s="3" t="n">
        <v>43</v>
      </c>
      <c r="M44" s="3" t="n">
        <v>729</v>
      </c>
      <c r="N44" s="3" t="n">
        <v>0.8</v>
      </c>
      <c r="O44" s="3" t="n">
        <v>150</v>
      </c>
    </row>
    <row r="45" customFormat="false" ht="15" hidden="false" customHeight="false" outlineLevel="0" collapsed="false">
      <c r="A45" s="3" t="s">
        <v>2</v>
      </c>
      <c r="B45" s="3" t="s">
        <v>233</v>
      </c>
      <c r="C45" s="3" t="s">
        <v>234</v>
      </c>
      <c r="D45" s="3" t="s">
        <v>717</v>
      </c>
      <c r="E45" s="3" t="s">
        <v>718</v>
      </c>
      <c r="F45" s="3" t="s">
        <v>643</v>
      </c>
      <c r="G45" s="3" t="s">
        <v>647</v>
      </c>
      <c r="H45" s="3" t="n">
        <v>36000</v>
      </c>
      <c r="I45" s="3" t="n">
        <v>5</v>
      </c>
      <c r="J45" s="9" t="b">
        <f aca="false">TRUE()</f>
        <v>1</v>
      </c>
      <c r="K45" s="3" t="n">
        <v>4</v>
      </c>
      <c r="L45" s="3" t="n">
        <v>32</v>
      </c>
      <c r="M45" s="3" t="n">
        <v>292</v>
      </c>
      <c r="N45" s="3" t="n">
        <v>2.3</v>
      </c>
      <c r="O45" s="3" t="n">
        <v>120</v>
      </c>
    </row>
    <row r="46" customFormat="false" ht="15" hidden="false" customHeight="false" outlineLevel="0" collapsed="false">
      <c r="A46" s="3" t="s">
        <v>2</v>
      </c>
      <c r="B46" s="3" t="s">
        <v>237</v>
      </c>
      <c r="C46" s="3" t="s">
        <v>238</v>
      </c>
      <c r="D46" s="3" t="s">
        <v>668</v>
      </c>
      <c r="E46" s="3" t="s">
        <v>669</v>
      </c>
      <c r="F46" s="3" t="s">
        <v>639</v>
      </c>
      <c r="G46" s="3" t="s">
        <v>640</v>
      </c>
      <c r="H46" s="3" t="n">
        <v>1400</v>
      </c>
      <c r="I46" s="3" t="n">
        <v>1</v>
      </c>
      <c r="J46" s="9" t="b">
        <f aca="false">FALSE()</f>
        <v>0</v>
      </c>
      <c r="K46" s="3" t="n">
        <v>2</v>
      </c>
      <c r="L46" s="3" t="n">
        <v>2</v>
      </c>
      <c r="M46" s="3" t="n">
        <v>509</v>
      </c>
      <c r="N46" s="3" t="n">
        <v>1.8</v>
      </c>
      <c r="O46" s="3" t="n">
        <v>212</v>
      </c>
    </row>
    <row r="47" customFormat="false" ht="15" hidden="false" customHeight="false" outlineLevel="0" collapsed="false">
      <c r="A47" s="3" t="s">
        <v>2</v>
      </c>
      <c r="B47" s="3" t="s">
        <v>240</v>
      </c>
      <c r="C47" s="3" t="s">
        <v>241</v>
      </c>
      <c r="D47" s="3" t="s">
        <v>670</v>
      </c>
      <c r="E47" s="3" t="s">
        <v>671</v>
      </c>
      <c r="F47" s="3" t="s">
        <v>639</v>
      </c>
      <c r="G47" s="3" t="s">
        <v>640</v>
      </c>
      <c r="H47" s="3" t="n">
        <v>1500</v>
      </c>
      <c r="I47" s="3" t="n">
        <v>1</v>
      </c>
      <c r="J47" s="9" t="b">
        <f aca="false">FALSE()</f>
        <v>0</v>
      </c>
      <c r="K47" s="3" t="n">
        <v>2</v>
      </c>
      <c r="L47" s="3" t="n">
        <v>2</v>
      </c>
      <c r="M47" s="3" t="n">
        <v>521</v>
      </c>
      <c r="N47" s="3" t="n">
        <v>1.1</v>
      </c>
      <c r="O47" s="3" t="n">
        <v>216</v>
      </c>
    </row>
    <row r="48" customFormat="false" ht="15" hidden="false" customHeight="false" outlineLevel="0" collapsed="false">
      <c r="A48" s="3" t="s">
        <v>2</v>
      </c>
      <c r="B48" s="3" t="s">
        <v>243</v>
      </c>
      <c r="C48" s="3" t="s">
        <v>244</v>
      </c>
      <c r="D48" s="3" t="s">
        <v>719</v>
      </c>
      <c r="E48" s="3" t="s">
        <v>719</v>
      </c>
      <c r="F48" s="3" t="s">
        <v>643</v>
      </c>
      <c r="G48" s="3" t="s">
        <v>647</v>
      </c>
      <c r="H48" s="3" t="n">
        <v>100</v>
      </c>
      <c r="I48" s="3" t="n">
        <v>1</v>
      </c>
      <c r="J48" s="9" t="b">
        <f aca="false">FALSE()</f>
        <v>0</v>
      </c>
      <c r="K48" s="3" t="n">
        <v>3</v>
      </c>
      <c r="L48" s="3" t="n">
        <v>3</v>
      </c>
      <c r="M48" s="3" t="n">
        <v>588</v>
      </c>
      <c r="N48" s="3" t="n">
        <v>1.5</v>
      </c>
      <c r="O48" s="3" t="n">
        <v>202</v>
      </c>
    </row>
    <row r="49" customFormat="false" ht="15" hidden="false" customHeight="false" outlineLevel="0" collapsed="false">
      <c r="A49" s="3" t="s">
        <v>2</v>
      </c>
      <c r="B49" s="3" t="s">
        <v>248</v>
      </c>
      <c r="C49" s="3" t="s">
        <v>249</v>
      </c>
      <c r="D49" s="3" t="s">
        <v>679</v>
      </c>
      <c r="E49" s="3" t="s">
        <v>720</v>
      </c>
      <c r="F49" s="3" t="s">
        <v>656</v>
      </c>
      <c r="G49" s="3" t="s">
        <v>647</v>
      </c>
      <c r="H49" s="3" t="n">
        <v>40000</v>
      </c>
      <c r="I49" s="3" t="n">
        <v>6</v>
      </c>
      <c r="J49" s="9" t="b">
        <f aca="false">TRUE()</f>
        <v>1</v>
      </c>
      <c r="K49" s="3" t="n">
        <v>1</v>
      </c>
      <c r="L49" s="3" t="n">
        <v>36</v>
      </c>
      <c r="M49" s="3" t="n">
        <v>712</v>
      </c>
      <c r="N49" s="3" t="n">
        <v>1.5</v>
      </c>
      <c r="O49" s="3" t="n">
        <v>154</v>
      </c>
    </row>
    <row r="50" customFormat="false" ht="15" hidden="false" customHeight="false" outlineLevel="0" collapsed="false">
      <c r="A50" s="3" t="s">
        <v>2</v>
      </c>
      <c r="B50" s="3" t="s">
        <v>251</v>
      </c>
      <c r="C50" s="3" t="s">
        <v>252</v>
      </c>
      <c r="D50" s="3" t="s">
        <v>721</v>
      </c>
      <c r="E50" s="3" t="s">
        <v>722</v>
      </c>
      <c r="F50" s="3" t="s">
        <v>646</v>
      </c>
      <c r="G50" s="3" t="s">
        <v>640</v>
      </c>
      <c r="H50" s="3" t="n">
        <v>600</v>
      </c>
      <c r="I50" s="3" t="n">
        <v>1</v>
      </c>
      <c r="J50" s="9" t="b">
        <f aca="false">FALSE()</f>
        <v>0</v>
      </c>
      <c r="K50" s="3" t="n">
        <v>9</v>
      </c>
      <c r="L50" s="3" t="n">
        <v>9</v>
      </c>
      <c r="M50" s="3" t="n">
        <v>181</v>
      </c>
      <c r="N50" s="3" t="n">
        <v>2.9</v>
      </c>
      <c r="O50" s="3" t="n">
        <v>137</v>
      </c>
    </row>
    <row r="51" customFormat="false" ht="15" hidden="false" customHeight="false" outlineLevel="0" collapsed="false">
      <c r="A51" s="3" t="s">
        <v>2</v>
      </c>
      <c r="B51" s="3" t="s">
        <v>254</v>
      </c>
      <c r="C51" s="3" t="s">
        <v>255</v>
      </c>
      <c r="D51" s="3" t="s">
        <v>717</v>
      </c>
      <c r="E51" s="3" t="s">
        <v>723</v>
      </c>
      <c r="F51" s="3" t="s">
        <v>656</v>
      </c>
      <c r="G51" s="3" t="s">
        <v>647</v>
      </c>
      <c r="H51" s="3" t="n">
        <v>800</v>
      </c>
      <c r="I51" s="3" t="n">
        <v>1</v>
      </c>
      <c r="J51" s="9" t="b">
        <f aca="false">FALSE()</f>
        <v>0</v>
      </c>
      <c r="K51" s="3" t="n">
        <v>4</v>
      </c>
      <c r="L51" s="3" t="n">
        <v>4</v>
      </c>
      <c r="M51" s="3" t="n">
        <v>328</v>
      </c>
      <c r="N51" s="3" t="n">
        <v>2.3</v>
      </c>
      <c r="O51" s="3" t="n">
        <v>120</v>
      </c>
    </row>
    <row r="52" customFormat="false" ht="15" hidden="false" customHeight="false" outlineLevel="0" collapsed="false">
      <c r="A52" s="3" t="s">
        <v>2</v>
      </c>
      <c r="B52" s="3" t="s">
        <v>264</v>
      </c>
      <c r="C52" s="3" t="s">
        <v>161</v>
      </c>
      <c r="D52" s="3" t="s">
        <v>675</v>
      </c>
      <c r="E52" s="3" t="s">
        <v>685</v>
      </c>
      <c r="F52" s="3" t="s">
        <v>656</v>
      </c>
      <c r="G52" s="3" t="s">
        <v>640</v>
      </c>
      <c r="H52" s="3" t="n">
        <v>1200</v>
      </c>
      <c r="I52" s="3" t="n">
        <v>1</v>
      </c>
      <c r="J52" s="9" t="b">
        <f aca="false">FALSE()</f>
        <v>0</v>
      </c>
      <c r="K52" s="3" t="n">
        <v>1</v>
      </c>
      <c r="L52" s="3" t="n">
        <v>1</v>
      </c>
      <c r="M52" s="3" t="n">
        <v>693</v>
      </c>
      <c r="N52" s="3" t="n">
        <v>1.3</v>
      </c>
      <c r="O52" s="3" t="n">
        <v>146</v>
      </c>
    </row>
    <row r="53" customFormat="false" ht="15" hidden="false" customHeight="false" outlineLevel="0" collapsed="false">
      <c r="A53" s="3" t="s">
        <v>2</v>
      </c>
      <c r="B53" s="3" t="s">
        <v>266</v>
      </c>
      <c r="C53" s="3" t="s">
        <v>267</v>
      </c>
      <c r="D53" s="3" t="s">
        <v>724</v>
      </c>
      <c r="E53" s="3" t="s">
        <v>725</v>
      </c>
      <c r="F53" s="3" t="s">
        <v>639</v>
      </c>
      <c r="G53" s="3" t="s">
        <v>640</v>
      </c>
      <c r="H53" s="3" t="n">
        <v>1300</v>
      </c>
      <c r="I53" s="3" t="n">
        <v>1</v>
      </c>
      <c r="J53" s="9" t="b">
        <f aca="false">FALSE()</f>
        <v>0</v>
      </c>
      <c r="K53" s="3" t="n">
        <v>2</v>
      </c>
      <c r="L53" s="3" t="n">
        <v>2</v>
      </c>
      <c r="M53" s="3" t="n">
        <v>485</v>
      </c>
      <c r="N53" s="3" t="n">
        <v>1.5</v>
      </c>
      <c r="O53" s="3" t="n">
        <v>212</v>
      </c>
    </row>
    <row r="54" customFormat="false" ht="15" hidden="false" customHeight="false" outlineLevel="0" collapsed="false">
      <c r="A54" s="3" t="s">
        <v>2</v>
      </c>
      <c r="B54" s="3" t="s">
        <v>270</v>
      </c>
      <c r="C54" s="3" t="s">
        <v>271</v>
      </c>
      <c r="D54" s="3" t="s">
        <v>726</v>
      </c>
      <c r="E54" s="3" t="s">
        <v>727</v>
      </c>
      <c r="F54" s="3" t="s">
        <v>646</v>
      </c>
      <c r="G54" s="3" t="s">
        <v>647</v>
      </c>
      <c r="H54" s="3" t="n">
        <v>1500</v>
      </c>
      <c r="I54" s="3" t="n">
        <v>1</v>
      </c>
      <c r="J54" s="9" t="b">
        <f aca="false">FALSE()</f>
        <v>0</v>
      </c>
      <c r="K54" s="3" t="n">
        <v>3</v>
      </c>
      <c r="L54" s="3" t="n">
        <v>3</v>
      </c>
      <c r="M54" s="3" t="n">
        <v>712</v>
      </c>
      <c r="N54" s="3" t="n">
        <v>1.5</v>
      </c>
      <c r="O54" s="3" t="n">
        <v>166</v>
      </c>
    </row>
    <row r="55" customFormat="false" ht="15" hidden="false" customHeight="false" outlineLevel="0" collapsed="false">
      <c r="A55" s="3" t="s">
        <v>2</v>
      </c>
      <c r="B55" s="3" t="s">
        <v>273</v>
      </c>
      <c r="C55" s="3" t="s">
        <v>274</v>
      </c>
      <c r="D55" s="3" t="s">
        <v>686</v>
      </c>
      <c r="E55" s="3" t="s">
        <v>687</v>
      </c>
      <c r="F55" s="3" t="s">
        <v>639</v>
      </c>
      <c r="G55" s="3" t="s">
        <v>640</v>
      </c>
      <c r="H55" s="3" t="n">
        <v>16000</v>
      </c>
      <c r="I55" s="3" t="n">
        <v>3</v>
      </c>
      <c r="J55" s="9" t="b">
        <f aca="false">TRUE()</f>
        <v>1</v>
      </c>
      <c r="K55" s="3" t="n">
        <v>2</v>
      </c>
      <c r="L55" s="3" t="n">
        <v>16</v>
      </c>
      <c r="M55" s="3" t="n">
        <v>521</v>
      </c>
      <c r="N55" s="3" t="n">
        <v>1.1</v>
      </c>
      <c r="O55" s="3" t="n">
        <v>192</v>
      </c>
    </row>
    <row r="56" customFormat="false" ht="15" hidden="false" customHeight="false" outlineLevel="0" collapsed="false">
      <c r="A56" s="3" t="s">
        <v>2</v>
      </c>
      <c r="B56" s="3" t="s">
        <v>276</v>
      </c>
      <c r="C56" s="3" t="s">
        <v>277</v>
      </c>
      <c r="D56" s="3" t="s">
        <v>650</v>
      </c>
      <c r="E56" s="3" t="s">
        <v>651</v>
      </c>
      <c r="F56" s="3" t="s">
        <v>639</v>
      </c>
      <c r="G56" s="3" t="s">
        <v>640</v>
      </c>
      <c r="H56" s="3" t="n">
        <v>1700</v>
      </c>
      <c r="I56" s="3" t="n">
        <v>1</v>
      </c>
      <c r="J56" s="9" t="b">
        <f aca="false">FALSE()</f>
        <v>0</v>
      </c>
      <c r="K56" s="3" t="n">
        <v>2</v>
      </c>
      <c r="L56" s="3" t="n">
        <v>2</v>
      </c>
      <c r="M56" s="3" t="n">
        <v>521</v>
      </c>
      <c r="N56" s="3" t="n">
        <v>1.1</v>
      </c>
      <c r="O56" s="3" t="n">
        <v>208</v>
      </c>
    </row>
    <row r="57" customFormat="false" ht="15" hidden="false" customHeight="false" outlineLevel="0" collapsed="false">
      <c r="A57" s="3" t="s">
        <v>2</v>
      </c>
      <c r="B57" s="3" t="s">
        <v>279</v>
      </c>
      <c r="C57" s="3" t="s">
        <v>280</v>
      </c>
      <c r="D57" s="3" t="s">
        <v>728</v>
      </c>
      <c r="E57" s="3" t="s">
        <v>729</v>
      </c>
      <c r="F57" s="3" t="s">
        <v>656</v>
      </c>
      <c r="G57" s="3" t="s">
        <v>640</v>
      </c>
      <c r="H57" s="3" t="n">
        <v>200</v>
      </c>
      <c r="I57" s="3" t="n">
        <v>1</v>
      </c>
      <c r="J57" s="9" t="b">
        <f aca="false">FALSE()</f>
        <v>0</v>
      </c>
      <c r="K57" s="3" t="n">
        <v>3</v>
      </c>
      <c r="L57" s="3" t="n">
        <v>3</v>
      </c>
      <c r="M57" s="3" t="n">
        <v>729</v>
      </c>
      <c r="N57" s="3" t="n">
        <v>1.3</v>
      </c>
      <c r="O57" s="3" t="n">
        <v>174</v>
      </c>
    </row>
    <row r="58" customFormat="false" ht="15" hidden="false" customHeight="false" outlineLevel="0" collapsed="false">
      <c r="A58" s="3" t="s">
        <v>2</v>
      </c>
      <c r="B58" s="3" t="s">
        <v>282</v>
      </c>
      <c r="C58" s="3" t="s">
        <v>283</v>
      </c>
      <c r="D58" s="3" t="s">
        <v>730</v>
      </c>
      <c r="E58" s="3" t="s">
        <v>730</v>
      </c>
      <c r="F58" s="3" t="s">
        <v>643</v>
      </c>
      <c r="G58" s="3" t="s">
        <v>647</v>
      </c>
      <c r="H58" s="3" t="n">
        <v>90000</v>
      </c>
      <c r="I58" s="3" t="n">
        <v>11</v>
      </c>
      <c r="J58" s="9" t="b">
        <f aca="false">TRUE()</f>
        <v>1</v>
      </c>
      <c r="K58" s="3" t="n">
        <v>3</v>
      </c>
      <c r="L58" s="3" t="n">
        <v>73</v>
      </c>
      <c r="M58" s="3" t="n">
        <v>624</v>
      </c>
      <c r="N58" s="3" t="n">
        <v>1.5</v>
      </c>
      <c r="O58" s="3" t="n">
        <v>218</v>
      </c>
    </row>
    <row r="59" customFormat="false" ht="15" hidden="false" customHeight="false" outlineLevel="0" collapsed="false">
      <c r="A59" s="3" t="s">
        <v>2</v>
      </c>
      <c r="B59" s="3" t="s">
        <v>285</v>
      </c>
      <c r="C59" s="3" t="s">
        <v>286</v>
      </c>
      <c r="D59" s="3" t="s">
        <v>641</v>
      </c>
      <c r="E59" s="3" t="s">
        <v>731</v>
      </c>
      <c r="F59" s="3" t="s">
        <v>643</v>
      </c>
      <c r="G59" s="3" t="s">
        <v>640</v>
      </c>
      <c r="H59" s="3" t="n">
        <v>400</v>
      </c>
      <c r="I59" s="3" t="n">
        <v>1</v>
      </c>
      <c r="J59" s="9" t="b">
        <f aca="false">FALSE()</f>
        <v>0</v>
      </c>
      <c r="K59" s="3" t="n">
        <v>4</v>
      </c>
      <c r="L59" s="3" t="n">
        <v>4</v>
      </c>
      <c r="M59" s="3" t="n">
        <v>225</v>
      </c>
      <c r="N59" s="3" t="n">
        <v>1.4</v>
      </c>
      <c r="O59" s="3" t="n">
        <v>128</v>
      </c>
    </row>
    <row r="60" customFormat="false" ht="15" hidden="false" customHeight="false" outlineLevel="0" collapsed="false">
      <c r="A60" s="3" t="s">
        <v>2</v>
      </c>
      <c r="B60" s="3" t="s">
        <v>288</v>
      </c>
      <c r="C60" s="3" t="s">
        <v>289</v>
      </c>
      <c r="D60" s="3" t="s">
        <v>732</v>
      </c>
      <c r="E60" s="3" t="s">
        <v>701</v>
      </c>
      <c r="F60" s="3" t="s">
        <v>639</v>
      </c>
      <c r="G60" s="3" t="s">
        <v>647</v>
      </c>
      <c r="H60" s="3" t="n">
        <v>1100</v>
      </c>
      <c r="I60" s="3" t="n">
        <v>1</v>
      </c>
      <c r="J60" s="9" t="b">
        <f aca="false">FALSE()</f>
        <v>0</v>
      </c>
      <c r="K60" s="3" t="n">
        <v>1</v>
      </c>
      <c r="L60" s="3" t="n">
        <v>1</v>
      </c>
      <c r="M60" s="3" t="n">
        <v>748</v>
      </c>
      <c r="N60" s="3" t="n">
        <v>1.5</v>
      </c>
      <c r="O60" s="3" t="n">
        <v>154</v>
      </c>
    </row>
    <row r="61" customFormat="false" ht="15" hidden="false" customHeight="false" outlineLevel="0" collapsed="false">
      <c r="A61" s="3" t="s">
        <v>2</v>
      </c>
      <c r="B61" s="3" t="s">
        <v>295</v>
      </c>
      <c r="C61" s="3" t="s">
        <v>296</v>
      </c>
      <c r="D61" s="3" t="s">
        <v>733</v>
      </c>
      <c r="E61" s="3" t="s">
        <v>667</v>
      </c>
      <c r="F61" s="3" t="s">
        <v>656</v>
      </c>
      <c r="G61" s="3" t="s">
        <v>647</v>
      </c>
      <c r="H61" s="3" t="n">
        <v>1400</v>
      </c>
      <c r="I61" s="3" t="n">
        <v>1</v>
      </c>
      <c r="J61" s="9" t="b">
        <f aca="false">FALSE()</f>
        <v>0</v>
      </c>
      <c r="K61" s="3" t="n">
        <v>2</v>
      </c>
      <c r="L61" s="3" t="n">
        <v>2</v>
      </c>
      <c r="M61" s="3" t="n">
        <v>712</v>
      </c>
      <c r="N61" s="3" t="n">
        <v>1.5</v>
      </c>
      <c r="O61" s="3" t="n">
        <v>160</v>
      </c>
    </row>
    <row r="62" customFormat="false" ht="15" hidden="false" customHeight="false" outlineLevel="0" collapsed="false">
      <c r="A62" s="3" t="s">
        <v>2</v>
      </c>
      <c r="B62" s="3" t="s">
        <v>298</v>
      </c>
      <c r="C62" s="3" t="s">
        <v>299</v>
      </c>
      <c r="D62" s="3" t="s">
        <v>734</v>
      </c>
      <c r="E62" s="3" t="s">
        <v>735</v>
      </c>
      <c r="F62" s="3" t="s">
        <v>639</v>
      </c>
      <c r="G62" s="3" t="s">
        <v>640</v>
      </c>
      <c r="H62" s="3" t="n">
        <v>1800</v>
      </c>
      <c r="I62" s="3" t="n">
        <v>1</v>
      </c>
      <c r="J62" s="9" t="b">
        <f aca="false">FALSE()</f>
        <v>0</v>
      </c>
      <c r="K62" s="3" t="n">
        <v>2</v>
      </c>
      <c r="L62" s="3" t="n">
        <v>2</v>
      </c>
      <c r="M62" s="3" t="n">
        <v>509</v>
      </c>
      <c r="N62" s="3" t="n">
        <v>1.8</v>
      </c>
      <c r="O62" s="3" t="n">
        <v>196</v>
      </c>
    </row>
    <row r="63" customFormat="false" ht="15" hidden="false" customHeight="false" outlineLevel="0" collapsed="false">
      <c r="A63" s="3" t="s">
        <v>2</v>
      </c>
      <c r="B63" s="3" t="s">
        <v>301</v>
      </c>
      <c r="C63" s="3" t="s">
        <v>302</v>
      </c>
      <c r="D63" s="3" t="s">
        <v>736</v>
      </c>
      <c r="E63" s="3" t="s">
        <v>737</v>
      </c>
      <c r="F63" s="3" t="s">
        <v>639</v>
      </c>
      <c r="G63" s="3" t="s">
        <v>640</v>
      </c>
      <c r="H63" s="3" t="n">
        <v>100</v>
      </c>
      <c r="I63" s="3" t="n">
        <v>1</v>
      </c>
      <c r="J63" s="9" t="b">
        <f aca="false">FALSE()</f>
        <v>0</v>
      </c>
      <c r="K63" s="3" t="n">
        <v>3</v>
      </c>
      <c r="L63" s="3" t="n">
        <v>3</v>
      </c>
      <c r="M63" s="3" t="n">
        <v>521</v>
      </c>
      <c r="N63" s="3" t="n">
        <v>1.1</v>
      </c>
      <c r="O63" s="3" t="n">
        <v>206</v>
      </c>
    </row>
    <row r="64" customFormat="false" ht="15" hidden="false" customHeight="false" outlineLevel="0" collapsed="false">
      <c r="A64" s="3" t="s">
        <v>2</v>
      </c>
      <c r="B64" s="3" t="s">
        <v>304</v>
      </c>
      <c r="C64" s="3" t="s">
        <v>305</v>
      </c>
      <c r="D64" s="3" t="s">
        <v>738</v>
      </c>
      <c r="E64" s="3" t="s">
        <v>739</v>
      </c>
      <c r="F64" s="3" t="s">
        <v>643</v>
      </c>
      <c r="G64" s="3" t="s">
        <v>640</v>
      </c>
      <c r="H64" s="3" t="n">
        <v>500</v>
      </c>
      <c r="I64" s="3" t="n">
        <v>1</v>
      </c>
      <c r="J64" s="9" t="b">
        <f aca="false">FALSE()</f>
        <v>0</v>
      </c>
      <c r="K64" s="3" t="n">
        <v>4</v>
      </c>
      <c r="L64" s="3" t="n">
        <v>4</v>
      </c>
      <c r="M64" s="3" t="n">
        <v>285</v>
      </c>
      <c r="N64" s="3" t="n">
        <v>1.8</v>
      </c>
      <c r="O64" s="3" t="n">
        <v>104</v>
      </c>
    </row>
    <row r="65" customFormat="false" ht="15" hidden="false" customHeight="false" outlineLevel="0" collapsed="false">
      <c r="A65" s="3" t="s">
        <v>2</v>
      </c>
      <c r="B65" s="3" t="s">
        <v>307</v>
      </c>
      <c r="C65" s="3" t="s">
        <v>308</v>
      </c>
      <c r="D65" s="3" t="s">
        <v>675</v>
      </c>
      <c r="E65" s="3" t="s">
        <v>676</v>
      </c>
      <c r="F65" s="3" t="s">
        <v>656</v>
      </c>
      <c r="G65" s="3" t="s">
        <v>640</v>
      </c>
      <c r="H65" s="3" t="n">
        <v>800</v>
      </c>
      <c r="I65" s="3" t="n">
        <v>1</v>
      </c>
      <c r="J65" s="9" t="b">
        <f aca="false">FALSE()</f>
        <v>0</v>
      </c>
      <c r="K65" s="3" t="n">
        <v>1</v>
      </c>
      <c r="L65" s="3" t="n">
        <v>1</v>
      </c>
      <c r="M65" s="3" t="n">
        <v>657</v>
      </c>
      <c r="N65" s="3" t="n">
        <v>0.8</v>
      </c>
      <c r="O65" s="3" t="n">
        <v>150</v>
      </c>
    </row>
    <row r="66" customFormat="false" ht="15" hidden="false" customHeight="false" outlineLevel="0" collapsed="false">
      <c r="A66" s="3" t="s">
        <v>2</v>
      </c>
      <c r="B66" s="3" t="s">
        <v>314</v>
      </c>
      <c r="C66" s="3" t="s">
        <v>148</v>
      </c>
      <c r="D66" s="3" t="s">
        <v>677</v>
      </c>
      <c r="E66" s="3" t="s">
        <v>678</v>
      </c>
      <c r="F66" s="3" t="s">
        <v>646</v>
      </c>
      <c r="G66" s="3" t="s">
        <v>640</v>
      </c>
      <c r="H66" s="3" t="n">
        <v>1000</v>
      </c>
      <c r="I66" s="3" t="n">
        <v>1</v>
      </c>
      <c r="J66" s="9" t="b">
        <f aca="false">FALSE()</f>
        <v>0</v>
      </c>
      <c r="K66" s="3" t="n">
        <v>9</v>
      </c>
      <c r="L66" s="3" t="n">
        <v>9</v>
      </c>
      <c r="M66" s="3" t="n">
        <v>169</v>
      </c>
      <c r="N66" s="3" t="n">
        <v>2.8</v>
      </c>
      <c r="O66" s="3" t="n">
        <v>117</v>
      </c>
    </row>
    <row r="67" customFormat="false" ht="15" hidden="false" customHeight="false" outlineLevel="0" collapsed="false">
      <c r="A67" s="3" t="s">
        <v>2</v>
      </c>
      <c r="B67" s="3" t="s">
        <v>316</v>
      </c>
      <c r="C67" s="3" t="s">
        <v>317</v>
      </c>
      <c r="D67" s="3" t="s">
        <v>740</v>
      </c>
      <c r="E67" s="3" t="s">
        <v>741</v>
      </c>
      <c r="F67" s="3" t="s">
        <v>643</v>
      </c>
      <c r="G67" s="3" t="s">
        <v>647</v>
      </c>
      <c r="H67" s="3" t="n">
        <v>1800</v>
      </c>
      <c r="I67" s="3" t="n">
        <v>1</v>
      </c>
      <c r="J67" s="9" t="b">
        <f aca="false">FALSE()</f>
        <v>0</v>
      </c>
      <c r="K67" s="3" t="n">
        <v>4</v>
      </c>
      <c r="L67" s="3" t="n">
        <v>4</v>
      </c>
      <c r="M67" s="3" t="n">
        <v>292</v>
      </c>
      <c r="N67" s="3" t="n">
        <v>2.3</v>
      </c>
      <c r="O67" s="3" t="n">
        <v>104</v>
      </c>
    </row>
    <row r="68" customFormat="false" ht="15" hidden="false" customHeight="false" outlineLevel="0" collapsed="false">
      <c r="A68" s="3" t="s">
        <v>2</v>
      </c>
      <c r="B68" s="3" t="s">
        <v>319</v>
      </c>
      <c r="C68" s="3" t="s">
        <v>277</v>
      </c>
      <c r="D68" s="3" t="s">
        <v>650</v>
      </c>
      <c r="E68" s="3" t="s">
        <v>651</v>
      </c>
      <c r="F68" s="3" t="s">
        <v>639</v>
      </c>
      <c r="G68" s="3" t="s">
        <v>640</v>
      </c>
      <c r="H68" s="3" t="n">
        <v>300</v>
      </c>
      <c r="I68" s="3" t="n">
        <v>1</v>
      </c>
      <c r="J68" s="9" t="b">
        <f aca="false">FALSE()</f>
        <v>0</v>
      </c>
      <c r="K68" s="3" t="n">
        <v>2</v>
      </c>
      <c r="L68" s="3" t="n">
        <v>2</v>
      </c>
      <c r="M68" s="3" t="n">
        <v>521</v>
      </c>
      <c r="N68" s="3" t="n">
        <v>1.1</v>
      </c>
      <c r="O68" s="3" t="n">
        <v>208</v>
      </c>
    </row>
    <row r="69" customFormat="false" ht="15" hidden="false" customHeight="false" outlineLevel="0" collapsed="false">
      <c r="A69" s="3" t="s">
        <v>2</v>
      </c>
      <c r="B69" s="3" t="s">
        <v>321</v>
      </c>
      <c r="C69" s="3" t="s">
        <v>322</v>
      </c>
      <c r="D69" s="3" t="s">
        <v>709</v>
      </c>
      <c r="E69" s="3" t="s">
        <v>710</v>
      </c>
      <c r="F69" s="3" t="s">
        <v>656</v>
      </c>
      <c r="G69" s="3" t="s">
        <v>640</v>
      </c>
      <c r="H69" s="3" t="n">
        <v>600</v>
      </c>
      <c r="I69" s="3" t="n">
        <v>1</v>
      </c>
      <c r="J69" s="9" t="b">
        <f aca="false">FALSE()</f>
        <v>0</v>
      </c>
      <c r="K69" s="3" t="n">
        <v>3</v>
      </c>
      <c r="L69" s="3" t="n">
        <v>3</v>
      </c>
      <c r="M69" s="3" t="n">
        <v>717</v>
      </c>
      <c r="N69" s="3" t="n">
        <v>1.1</v>
      </c>
      <c r="O69" s="3" t="n">
        <v>186</v>
      </c>
    </row>
    <row r="70" customFormat="false" ht="15" hidden="false" customHeight="false" outlineLevel="0" collapsed="false">
      <c r="A70" s="3" t="s">
        <v>2</v>
      </c>
      <c r="B70" s="3" t="s">
        <v>324</v>
      </c>
      <c r="C70" s="3" t="s">
        <v>325</v>
      </c>
      <c r="D70" s="3" t="s">
        <v>652</v>
      </c>
      <c r="E70" s="3" t="s">
        <v>653</v>
      </c>
      <c r="F70" s="3" t="s">
        <v>643</v>
      </c>
      <c r="G70" s="3" t="s">
        <v>640</v>
      </c>
      <c r="H70" s="3" t="n">
        <v>800</v>
      </c>
      <c r="I70" s="3" t="n">
        <v>1</v>
      </c>
      <c r="J70" s="9" t="b">
        <f aca="false">FALSE()</f>
        <v>0</v>
      </c>
      <c r="K70" s="3" t="n">
        <v>4</v>
      </c>
      <c r="L70" s="3" t="n">
        <v>4</v>
      </c>
      <c r="M70" s="3" t="n">
        <v>309</v>
      </c>
      <c r="N70" s="3" t="n">
        <v>2</v>
      </c>
      <c r="O70" s="3" t="n">
        <v>104</v>
      </c>
    </row>
    <row r="71" customFormat="false" ht="15" hidden="false" customHeight="false" outlineLevel="0" collapsed="false">
      <c r="A71" s="3" t="s">
        <v>2</v>
      </c>
      <c r="B71" s="3" t="s">
        <v>328</v>
      </c>
      <c r="C71" s="3" t="s">
        <v>329</v>
      </c>
      <c r="D71" s="3" t="s">
        <v>688</v>
      </c>
      <c r="E71" s="3" t="s">
        <v>742</v>
      </c>
      <c r="F71" s="3" t="s">
        <v>639</v>
      </c>
      <c r="G71" s="3" t="s">
        <v>640</v>
      </c>
      <c r="H71" s="3" t="n">
        <v>1100</v>
      </c>
      <c r="I71" s="3" t="n">
        <v>1</v>
      </c>
      <c r="J71" s="9" t="b">
        <f aca="false">FALSE()</f>
        <v>0</v>
      </c>
      <c r="K71" s="3" t="n">
        <v>3</v>
      </c>
      <c r="L71" s="3" t="n">
        <v>3</v>
      </c>
      <c r="M71" s="3" t="n">
        <v>497</v>
      </c>
      <c r="N71" s="3" t="n">
        <v>1.2</v>
      </c>
      <c r="O71" s="3" t="n">
        <v>210</v>
      </c>
    </row>
    <row r="72" customFormat="false" ht="15" hidden="false" customHeight="false" outlineLevel="0" collapsed="false">
      <c r="A72" s="3" t="s">
        <v>2</v>
      </c>
      <c r="B72" s="3" t="s">
        <v>331</v>
      </c>
      <c r="C72" s="3" t="s">
        <v>332</v>
      </c>
      <c r="D72" s="3" t="s">
        <v>711</v>
      </c>
      <c r="E72" s="3" t="s">
        <v>712</v>
      </c>
      <c r="F72" s="3" t="s">
        <v>646</v>
      </c>
      <c r="G72" s="3" t="s">
        <v>640</v>
      </c>
      <c r="H72" s="3" t="n">
        <v>1200</v>
      </c>
      <c r="I72" s="3" t="n">
        <v>1</v>
      </c>
      <c r="J72" s="9" t="b">
        <f aca="false">FALSE()</f>
        <v>0</v>
      </c>
      <c r="K72" s="3" t="n">
        <v>11</v>
      </c>
      <c r="L72" s="3" t="n">
        <v>11</v>
      </c>
      <c r="M72" s="3" t="n">
        <v>169</v>
      </c>
      <c r="N72" s="3" t="n">
        <v>2.8</v>
      </c>
      <c r="O72" s="3" t="n">
        <v>137</v>
      </c>
    </row>
    <row r="73" customFormat="false" ht="15" hidden="false" customHeight="false" outlineLevel="0" collapsed="false">
      <c r="A73" s="3" t="s">
        <v>2</v>
      </c>
      <c r="B73" s="3" t="s">
        <v>335</v>
      </c>
      <c r="C73" s="3" t="s">
        <v>336</v>
      </c>
      <c r="D73" s="3" t="s">
        <v>743</v>
      </c>
      <c r="E73" s="3" t="s">
        <v>744</v>
      </c>
      <c r="F73" s="3" t="s">
        <v>656</v>
      </c>
      <c r="G73" s="3" t="s">
        <v>647</v>
      </c>
      <c r="H73" s="3" t="n">
        <v>1400</v>
      </c>
      <c r="I73" s="3" t="n">
        <v>1</v>
      </c>
      <c r="J73" s="9" t="b">
        <f aca="false">FALSE()</f>
        <v>0</v>
      </c>
      <c r="K73" s="3" t="n">
        <v>4</v>
      </c>
      <c r="L73" s="3" t="n">
        <v>4</v>
      </c>
      <c r="M73" s="3" t="n">
        <v>328</v>
      </c>
      <c r="N73" s="3" t="n">
        <v>2.3</v>
      </c>
      <c r="O73" s="3" t="n">
        <v>104</v>
      </c>
    </row>
    <row r="74" customFormat="false" ht="15" hidden="false" customHeight="false" outlineLevel="0" collapsed="false">
      <c r="A74" s="3" t="s">
        <v>2</v>
      </c>
      <c r="B74" s="3" t="s">
        <v>338</v>
      </c>
      <c r="C74" s="3" t="s">
        <v>339</v>
      </c>
      <c r="D74" s="3" t="s">
        <v>745</v>
      </c>
      <c r="E74" s="3" t="s">
        <v>745</v>
      </c>
      <c r="F74" s="3" t="s">
        <v>656</v>
      </c>
      <c r="G74" s="3" t="s">
        <v>647</v>
      </c>
      <c r="H74" s="3" t="n">
        <v>102000</v>
      </c>
      <c r="I74" s="3" t="n">
        <v>10</v>
      </c>
      <c r="J74" s="9" t="b">
        <f aca="false">TRUE()</f>
        <v>1</v>
      </c>
      <c r="K74" s="3" t="n">
        <v>10</v>
      </c>
      <c r="L74" s="3" t="n">
        <v>73</v>
      </c>
      <c r="M74" s="3" t="n">
        <v>248</v>
      </c>
      <c r="N74" s="3" t="n">
        <v>2.9</v>
      </c>
      <c r="O74" s="3" t="n">
        <v>127</v>
      </c>
    </row>
    <row r="75" customFormat="false" ht="15" hidden="false" customHeight="false" outlineLevel="0" collapsed="false">
      <c r="A75" s="3" t="s">
        <v>2</v>
      </c>
      <c r="B75" s="3" t="s">
        <v>341</v>
      </c>
      <c r="C75" s="3" t="s">
        <v>342</v>
      </c>
      <c r="D75" s="3" t="s">
        <v>746</v>
      </c>
      <c r="E75" s="3" t="s">
        <v>747</v>
      </c>
      <c r="F75" s="3" t="s">
        <v>656</v>
      </c>
      <c r="G75" s="3" t="s">
        <v>647</v>
      </c>
      <c r="H75" s="3" t="n">
        <v>54000</v>
      </c>
      <c r="I75" s="3" t="n">
        <v>11</v>
      </c>
      <c r="J75" s="9" t="b">
        <f aca="false">TRUE()</f>
        <v>1</v>
      </c>
      <c r="K75" s="3" t="n">
        <v>2</v>
      </c>
      <c r="L75" s="3" t="n">
        <v>72</v>
      </c>
      <c r="M75" s="3" t="n">
        <v>748</v>
      </c>
      <c r="N75" s="3" t="n">
        <v>1.5</v>
      </c>
      <c r="O75" s="3" t="n">
        <v>160</v>
      </c>
    </row>
    <row r="76" customFormat="false" ht="15" hidden="false" customHeight="false" outlineLevel="0" collapsed="false">
      <c r="A76" s="3" t="s">
        <v>2</v>
      </c>
      <c r="B76" s="3" t="s">
        <v>344</v>
      </c>
      <c r="C76" s="3" t="s">
        <v>126</v>
      </c>
      <c r="D76" s="3" t="s">
        <v>666</v>
      </c>
      <c r="E76" s="3" t="s">
        <v>667</v>
      </c>
      <c r="F76" s="3" t="s">
        <v>646</v>
      </c>
      <c r="G76" s="3" t="s">
        <v>647</v>
      </c>
      <c r="H76" s="3" t="n">
        <v>1500</v>
      </c>
      <c r="I76" s="3" t="n">
        <v>1</v>
      </c>
      <c r="J76" s="9" t="b">
        <f aca="false">FALSE()</f>
        <v>0</v>
      </c>
      <c r="K76" s="3" t="n">
        <v>3</v>
      </c>
      <c r="L76" s="3" t="n">
        <v>3</v>
      </c>
      <c r="M76" s="3" t="n">
        <v>712</v>
      </c>
      <c r="N76" s="3" t="n">
        <v>1.5</v>
      </c>
      <c r="O76" s="3" t="n">
        <v>182</v>
      </c>
    </row>
    <row r="77" customFormat="false" ht="15" hidden="false" customHeight="false" outlineLevel="0" collapsed="false">
      <c r="A77" s="3" t="s">
        <v>2</v>
      </c>
      <c r="B77" s="3" t="s">
        <v>346</v>
      </c>
      <c r="C77" s="3" t="s">
        <v>238</v>
      </c>
      <c r="D77" s="3" t="s">
        <v>668</v>
      </c>
      <c r="E77" s="3" t="s">
        <v>669</v>
      </c>
      <c r="F77" s="3" t="s">
        <v>639</v>
      </c>
      <c r="G77" s="3" t="s">
        <v>640</v>
      </c>
      <c r="H77" s="3" t="n">
        <v>400</v>
      </c>
      <c r="I77" s="3" t="n">
        <v>1</v>
      </c>
      <c r="J77" s="9" t="b">
        <f aca="false">FALSE()</f>
        <v>0</v>
      </c>
      <c r="K77" s="3" t="n">
        <v>2</v>
      </c>
      <c r="L77" s="3" t="n">
        <v>2</v>
      </c>
      <c r="M77" s="3" t="n">
        <v>509</v>
      </c>
      <c r="N77" s="3" t="n">
        <v>1.8</v>
      </c>
      <c r="O77" s="3" t="n">
        <v>212</v>
      </c>
    </row>
    <row r="78" customFormat="false" ht="15" hidden="false" customHeight="false" outlineLevel="0" collapsed="false">
      <c r="A78" s="3" t="s">
        <v>2</v>
      </c>
      <c r="B78" s="3" t="s">
        <v>348</v>
      </c>
      <c r="C78" s="3" t="s">
        <v>349</v>
      </c>
      <c r="D78" s="3" t="s">
        <v>670</v>
      </c>
      <c r="E78" s="3" t="s">
        <v>671</v>
      </c>
      <c r="F78" s="3" t="s">
        <v>639</v>
      </c>
      <c r="G78" s="3" t="s">
        <v>640</v>
      </c>
      <c r="H78" s="3" t="n">
        <v>2500</v>
      </c>
      <c r="I78" s="3" t="n">
        <v>1</v>
      </c>
      <c r="J78" s="9" t="b">
        <f aca="false">FALSE()</f>
        <v>0</v>
      </c>
      <c r="K78" s="3" t="n">
        <v>2</v>
      </c>
      <c r="L78" s="3" t="n">
        <v>2</v>
      </c>
      <c r="M78" s="3" t="n">
        <v>497</v>
      </c>
      <c r="N78" s="3" t="n">
        <v>1.7</v>
      </c>
      <c r="O78" s="3" t="n">
        <v>208</v>
      </c>
    </row>
    <row r="79" customFormat="false" ht="15" hidden="false" customHeight="false" outlineLevel="0" collapsed="false">
      <c r="A79" s="3" t="s">
        <v>2</v>
      </c>
      <c r="B79" s="3" t="s">
        <v>351</v>
      </c>
      <c r="C79" s="3" t="s">
        <v>352</v>
      </c>
      <c r="D79" s="3" t="s">
        <v>748</v>
      </c>
      <c r="E79" s="3" t="s">
        <v>748</v>
      </c>
      <c r="F79" s="3" t="s">
        <v>643</v>
      </c>
      <c r="G79" s="3" t="s">
        <v>647</v>
      </c>
      <c r="H79" s="3" t="n">
        <v>900</v>
      </c>
      <c r="I79" s="3" t="n">
        <v>1</v>
      </c>
      <c r="J79" s="9" t="b">
        <f aca="false">FALSE()</f>
        <v>0</v>
      </c>
      <c r="K79" s="3" t="n">
        <v>3</v>
      </c>
      <c r="L79" s="3" t="n">
        <v>3</v>
      </c>
      <c r="M79" s="3" t="n">
        <v>552</v>
      </c>
      <c r="N79" s="3" t="n">
        <v>1.5</v>
      </c>
      <c r="O79" s="3" t="n">
        <v>202</v>
      </c>
    </row>
    <row r="80" customFormat="false" ht="15" hidden="false" customHeight="false" outlineLevel="0" collapsed="false">
      <c r="A80" s="3" t="s">
        <v>2</v>
      </c>
      <c r="B80" s="3" t="s">
        <v>354</v>
      </c>
      <c r="C80" s="3" t="s">
        <v>355</v>
      </c>
      <c r="D80" s="3" t="s">
        <v>749</v>
      </c>
      <c r="E80" s="3" t="s">
        <v>750</v>
      </c>
      <c r="F80" s="3" t="s">
        <v>656</v>
      </c>
      <c r="G80" s="3" t="s">
        <v>647</v>
      </c>
      <c r="H80" s="3" t="n">
        <v>1200</v>
      </c>
      <c r="I80" s="3" t="n">
        <v>1</v>
      </c>
      <c r="J80" s="9" t="b">
        <f aca="false">FALSE()</f>
        <v>0</v>
      </c>
      <c r="K80" s="3" t="n">
        <v>1</v>
      </c>
      <c r="L80" s="3" t="n">
        <v>1</v>
      </c>
      <c r="M80" s="3" t="n">
        <v>712</v>
      </c>
      <c r="N80" s="3" t="n">
        <v>1.5</v>
      </c>
      <c r="O80" s="3" t="n">
        <v>154</v>
      </c>
    </row>
    <row r="81" customFormat="false" ht="15" hidden="false" customHeight="false" outlineLevel="0" collapsed="false">
      <c r="A81" s="3" t="s">
        <v>2</v>
      </c>
      <c r="B81" s="3" t="s">
        <v>357</v>
      </c>
      <c r="C81" s="3" t="s">
        <v>358</v>
      </c>
      <c r="D81" s="3" t="s">
        <v>751</v>
      </c>
      <c r="E81" s="3" t="s">
        <v>752</v>
      </c>
      <c r="F81" s="3" t="s">
        <v>656</v>
      </c>
      <c r="G81" s="3" t="s">
        <v>647</v>
      </c>
      <c r="H81" s="3" t="n">
        <v>1600</v>
      </c>
      <c r="I81" s="3" t="n">
        <v>1</v>
      </c>
      <c r="J81" s="9" t="b">
        <f aca="false">FALSE()</f>
        <v>0</v>
      </c>
      <c r="K81" s="3" t="n">
        <v>4</v>
      </c>
      <c r="L81" s="3" t="n">
        <v>4</v>
      </c>
      <c r="M81" s="3" t="n">
        <v>328</v>
      </c>
      <c r="N81" s="3" t="n">
        <v>2.3</v>
      </c>
      <c r="O81" s="3" t="n">
        <v>120</v>
      </c>
    </row>
    <row r="82" customFormat="false" ht="15" hidden="false" customHeight="false" outlineLevel="0" collapsed="false">
      <c r="A82" s="3" t="s">
        <v>2</v>
      </c>
      <c r="B82" s="3" t="s">
        <v>360</v>
      </c>
      <c r="C82" s="3" t="s">
        <v>361</v>
      </c>
      <c r="D82" s="3" t="s">
        <v>675</v>
      </c>
      <c r="E82" s="3" t="s">
        <v>685</v>
      </c>
      <c r="F82" s="3" t="s">
        <v>656</v>
      </c>
      <c r="G82" s="3" t="s">
        <v>640</v>
      </c>
      <c r="H82" s="3" t="n">
        <v>200</v>
      </c>
      <c r="I82" s="3" t="n">
        <v>1</v>
      </c>
      <c r="J82" s="9" t="b">
        <f aca="false">FALSE()</f>
        <v>0</v>
      </c>
      <c r="K82" s="3" t="n">
        <v>1</v>
      </c>
      <c r="L82" s="3" t="n">
        <v>1</v>
      </c>
      <c r="M82" s="3" t="n">
        <v>717</v>
      </c>
      <c r="N82" s="3" t="n">
        <v>0.6</v>
      </c>
      <c r="O82" s="3" t="n">
        <v>154</v>
      </c>
    </row>
    <row r="83" customFormat="false" ht="15" hidden="false" customHeight="false" outlineLevel="0" collapsed="false">
      <c r="A83" s="3" t="s">
        <v>2</v>
      </c>
      <c r="B83" s="3" t="s">
        <v>363</v>
      </c>
      <c r="C83" s="3" t="s">
        <v>364</v>
      </c>
      <c r="D83" s="3" t="s">
        <v>724</v>
      </c>
      <c r="E83" s="3" t="s">
        <v>725</v>
      </c>
      <c r="F83" s="3" t="s">
        <v>639</v>
      </c>
      <c r="G83" s="3" t="s">
        <v>640</v>
      </c>
      <c r="H83" s="3" t="n">
        <v>300</v>
      </c>
      <c r="I83" s="3" t="n">
        <v>1</v>
      </c>
      <c r="J83" s="9" t="b">
        <f aca="false">FALSE()</f>
        <v>0</v>
      </c>
      <c r="K83" s="3" t="n">
        <v>2</v>
      </c>
      <c r="L83" s="3" t="n">
        <v>2</v>
      </c>
      <c r="M83" s="3" t="n">
        <v>569</v>
      </c>
      <c r="N83" s="3" t="n">
        <v>1.2</v>
      </c>
      <c r="O83" s="3" t="n">
        <v>204</v>
      </c>
    </row>
    <row r="84" customFormat="false" ht="15" hidden="false" customHeight="false" outlineLevel="0" collapsed="false">
      <c r="A84" s="3" t="s">
        <v>2</v>
      </c>
      <c r="B84" s="3" t="s">
        <v>367</v>
      </c>
      <c r="C84" s="3" t="s">
        <v>368</v>
      </c>
      <c r="D84" s="3" t="s">
        <v>652</v>
      </c>
      <c r="E84" s="3" t="s">
        <v>753</v>
      </c>
      <c r="F84" s="3" t="s">
        <v>643</v>
      </c>
      <c r="G84" s="3" t="s">
        <v>640</v>
      </c>
      <c r="H84" s="3" t="n">
        <v>120000</v>
      </c>
      <c r="I84" s="3" t="n">
        <v>9</v>
      </c>
      <c r="J84" s="9" t="b">
        <f aca="false">TRUE()</f>
        <v>1</v>
      </c>
      <c r="K84" s="3" t="n">
        <v>4</v>
      </c>
      <c r="L84" s="3" t="n">
        <v>60</v>
      </c>
      <c r="M84" s="3" t="n">
        <v>297</v>
      </c>
      <c r="N84" s="3" t="n">
        <v>1.4</v>
      </c>
      <c r="O84" s="3" t="n">
        <v>112</v>
      </c>
    </row>
    <row r="85" customFormat="false" ht="15" hidden="false" customHeight="false" outlineLevel="0" collapsed="false">
      <c r="A85" s="3" t="s">
        <v>2</v>
      </c>
      <c r="B85" s="3" t="s">
        <v>370</v>
      </c>
      <c r="C85" s="3" t="s">
        <v>371</v>
      </c>
      <c r="D85" s="3" t="s">
        <v>754</v>
      </c>
      <c r="E85" s="3" t="s">
        <v>755</v>
      </c>
      <c r="F85" s="3" t="s">
        <v>646</v>
      </c>
      <c r="G85" s="3" t="s">
        <v>640</v>
      </c>
      <c r="H85" s="3" t="n">
        <v>150000</v>
      </c>
      <c r="I85" s="3" t="n">
        <v>9</v>
      </c>
      <c r="J85" s="9" t="b">
        <f aca="false">TRUE()</f>
        <v>1</v>
      </c>
      <c r="K85" s="3" t="n">
        <v>10</v>
      </c>
      <c r="L85" s="3" t="n">
        <v>66</v>
      </c>
      <c r="M85" s="3" t="n">
        <v>229</v>
      </c>
      <c r="N85" s="3" t="n">
        <v>2.6</v>
      </c>
      <c r="O85" s="3" t="n">
        <v>127</v>
      </c>
    </row>
    <row r="86" customFormat="false" ht="15" hidden="false" customHeight="false" outlineLevel="0" collapsed="false">
      <c r="A86" s="3" t="s">
        <v>2</v>
      </c>
      <c r="B86" s="3" t="s">
        <v>373</v>
      </c>
      <c r="C86" s="3" t="s">
        <v>169</v>
      </c>
      <c r="D86" s="3" t="s">
        <v>688</v>
      </c>
      <c r="E86" s="3" t="s">
        <v>689</v>
      </c>
      <c r="F86" s="3" t="s">
        <v>639</v>
      </c>
      <c r="G86" s="3" t="s">
        <v>640</v>
      </c>
      <c r="H86" s="3" t="n">
        <v>700</v>
      </c>
      <c r="I86" s="3" t="n">
        <v>1</v>
      </c>
      <c r="J86" s="9" t="b">
        <f aca="false">FALSE()</f>
        <v>0</v>
      </c>
      <c r="K86" s="3" t="n">
        <v>2</v>
      </c>
      <c r="L86" s="3" t="n">
        <v>2</v>
      </c>
      <c r="M86" s="3" t="n">
        <v>485</v>
      </c>
      <c r="N86" s="3" t="n">
        <v>1.5</v>
      </c>
      <c r="O86" s="3" t="n">
        <v>212</v>
      </c>
    </row>
    <row r="87" customFormat="false" ht="15" hidden="false" customHeight="false" outlineLevel="0" collapsed="false">
      <c r="A87" s="3" t="s">
        <v>2</v>
      </c>
      <c r="B87" s="3" t="s">
        <v>376</v>
      </c>
      <c r="C87" s="3" t="s">
        <v>377</v>
      </c>
      <c r="D87" s="3" t="s">
        <v>674</v>
      </c>
      <c r="E87" s="3" t="s">
        <v>674</v>
      </c>
      <c r="F87" s="3" t="s">
        <v>643</v>
      </c>
      <c r="G87" s="3" t="s">
        <v>647</v>
      </c>
      <c r="H87" s="3" t="n">
        <v>33000</v>
      </c>
      <c r="I87" s="3" t="n">
        <v>7</v>
      </c>
      <c r="J87" s="9" t="b">
        <f aca="false">TRUE()</f>
        <v>1</v>
      </c>
      <c r="K87" s="3" t="n">
        <v>3</v>
      </c>
      <c r="L87" s="3" t="n">
        <v>45</v>
      </c>
      <c r="M87" s="3" t="n">
        <v>552</v>
      </c>
      <c r="N87" s="3" t="n">
        <v>1.5</v>
      </c>
      <c r="O87" s="3" t="n">
        <v>218</v>
      </c>
    </row>
    <row r="88" customFormat="false" ht="15" hidden="false" customHeight="false" outlineLevel="0" collapsed="false">
      <c r="A88" s="3" t="s">
        <v>2</v>
      </c>
      <c r="B88" s="3" t="s">
        <v>379</v>
      </c>
      <c r="C88" s="3" t="s">
        <v>380</v>
      </c>
      <c r="D88" s="3" t="s">
        <v>691</v>
      </c>
      <c r="E88" s="3" t="s">
        <v>692</v>
      </c>
      <c r="F88" s="3" t="s">
        <v>656</v>
      </c>
      <c r="G88" s="3" t="s">
        <v>640</v>
      </c>
      <c r="H88" s="3" t="n">
        <v>1400</v>
      </c>
      <c r="I88" s="3" t="n">
        <v>1</v>
      </c>
      <c r="J88" s="9" t="b">
        <f aca="false">FALSE()</f>
        <v>0</v>
      </c>
      <c r="K88" s="3" t="n">
        <v>1</v>
      </c>
      <c r="L88" s="3" t="n">
        <v>1</v>
      </c>
      <c r="M88" s="3" t="n">
        <v>669</v>
      </c>
      <c r="N88" s="3" t="n">
        <v>1.4</v>
      </c>
      <c r="O88" s="3" t="n">
        <v>174</v>
      </c>
    </row>
    <row r="89" customFormat="false" ht="15" hidden="false" customHeight="false" outlineLevel="0" collapsed="false">
      <c r="A89" s="3" t="s">
        <v>2</v>
      </c>
      <c r="B89" s="3" t="s">
        <v>382</v>
      </c>
      <c r="C89" s="3" t="s">
        <v>383</v>
      </c>
      <c r="D89" s="3" t="s">
        <v>744</v>
      </c>
      <c r="E89" s="3" t="s">
        <v>756</v>
      </c>
      <c r="F89" s="3" t="s">
        <v>639</v>
      </c>
      <c r="G89" s="3" t="s">
        <v>647</v>
      </c>
      <c r="H89" s="3" t="n">
        <v>100</v>
      </c>
      <c r="I89" s="3" t="n">
        <v>1</v>
      </c>
      <c r="J89" s="9" t="b">
        <f aca="false">FALSE()</f>
        <v>0</v>
      </c>
      <c r="K89" s="3" t="n">
        <v>1</v>
      </c>
      <c r="L89" s="3" t="n">
        <v>1</v>
      </c>
      <c r="M89" s="3" t="n">
        <v>712</v>
      </c>
      <c r="N89" s="3" t="n">
        <v>1.5</v>
      </c>
      <c r="O89" s="3" t="n">
        <v>154</v>
      </c>
    </row>
    <row r="90" customFormat="false" ht="15" hidden="false" customHeight="false" outlineLevel="0" collapsed="false">
      <c r="A90" s="3" t="s">
        <v>2</v>
      </c>
      <c r="B90" s="3" t="s">
        <v>385</v>
      </c>
      <c r="C90" s="3" t="s">
        <v>386</v>
      </c>
      <c r="D90" s="3" t="s">
        <v>757</v>
      </c>
      <c r="E90" s="3" t="s">
        <v>757</v>
      </c>
      <c r="F90" s="3" t="s">
        <v>643</v>
      </c>
      <c r="G90" s="3" t="s">
        <v>647</v>
      </c>
      <c r="H90" s="3" t="n">
        <v>200</v>
      </c>
      <c r="I90" s="3" t="n">
        <v>1</v>
      </c>
      <c r="J90" s="9" t="b">
        <f aca="false">FALSE()</f>
        <v>0</v>
      </c>
      <c r="K90" s="3" t="n">
        <v>2</v>
      </c>
      <c r="L90" s="3" t="n">
        <v>2</v>
      </c>
      <c r="M90" s="3" t="n">
        <v>552</v>
      </c>
      <c r="N90" s="3" t="n">
        <v>1.5</v>
      </c>
      <c r="O90" s="3" t="n">
        <v>196</v>
      </c>
    </row>
    <row r="91" customFormat="false" ht="15" hidden="false" customHeight="false" outlineLevel="0" collapsed="false">
      <c r="A91" s="3" t="s">
        <v>2</v>
      </c>
      <c r="B91" s="3" t="s">
        <v>388</v>
      </c>
      <c r="C91" s="3" t="s">
        <v>389</v>
      </c>
      <c r="D91" s="3" t="s">
        <v>758</v>
      </c>
      <c r="E91" s="3" t="s">
        <v>759</v>
      </c>
      <c r="F91" s="3" t="s">
        <v>656</v>
      </c>
      <c r="G91" s="3" t="s">
        <v>640</v>
      </c>
      <c r="H91" s="3" t="n">
        <v>30000</v>
      </c>
      <c r="I91" s="3" t="n">
        <v>6</v>
      </c>
      <c r="J91" s="9" t="b">
        <f aca="false">TRUE()</f>
        <v>1</v>
      </c>
      <c r="K91" s="3" t="n">
        <v>2</v>
      </c>
      <c r="L91" s="3" t="n">
        <v>37</v>
      </c>
      <c r="M91" s="3" t="n">
        <v>645</v>
      </c>
      <c r="N91" s="3" t="n">
        <v>0.6</v>
      </c>
      <c r="O91" s="3" t="n">
        <v>176</v>
      </c>
    </row>
    <row r="92" customFormat="false" ht="15" hidden="false" customHeight="false" outlineLevel="0" collapsed="false">
      <c r="A92" s="3" t="s">
        <v>2</v>
      </c>
      <c r="B92" s="3" t="s">
        <v>391</v>
      </c>
      <c r="C92" s="3" t="s">
        <v>392</v>
      </c>
      <c r="D92" s="3" t="s">
        <v>699</v>
      </c>
      <c r="E92" s="3" t="s">
        <v>700</v>
      </c>
      <c r="F92" s="3" t="s">
        <v>643</v>
      </c>
      <c r="G92" s="3" t="s">
        <v>640</v>
      </c>
      <c r="H92" s="3" t="n">
        <v>600</v>
      </c>
      <c r="I92" s="3" t="n">
        <v>1</v>
      </c>
      <c r="J92" s="9" t="b">
        <f aca="false">FALSE()</f>
        <v>0</v>
      </c>
      <c r="K92" s="3" t="n">
        <v>4</v>
      </c>
      <c r="L92" s="3" t="n">
        <v>4</v>
      </c>
      <c r="M92" s="3" t="n">
        <v>261</v>
      </c>
      <c r="N92" s="3" t="n">
        <v>1.9</v>
      </c>
      <c r="O92" s="3" t="n">
        <v>108</v>
      </c>
    </row>
    <row r="93" customFormat="false" ht="15" hidden="false" customHeight="false" outlineLevel="0" collapsed="false">
      <c r="A93" s="3" t="s">
        <v>2</v>
      </c>
      <c r="B93" s="3" t="s">
        <v>399</v>
      </c>
      <c r="C93" s="3" t="s">
        <v>400</v>
      </c>
      <c r="D93" s="3" t="s">
        <v>760</v>
      </c>
      <c r="E93" s="3" t="s">
        <v>761</v>
      </c>
      <c r="F93" s="3" t="s">
        <v>646</v>
      </c>
      <c r="G93" s="3" t="s">
        <v>640</v>
      </c>
      <c r="H93" s="3" t="n">
        <v>70000</v>
      </c>
      <c r="I93" s="3" t="n">
        <v>9</v>
      </c>
      <c r="J93" s="9" t="b">
        <f aca="false">TRUE()</f>
        <v>1</v>
      </c>
      <c r="K93" s="3" t="n">
        <v>9</v>
      </c>
      <c r="L93" s="3" t="n">
        <v>65</v>
      </c>
      <c r="M93" s="3" t="n">
        <v>193</v>
      </c>
      <c r="N93" s="3" t="n">
        <v>3</v>
      </c>
      <c r="O93" s="3" t="n">
        <v>117</v>
      </c>
    </row>
    <row r="94" customFormat="false" ht="15" hidden="false" customHeight="false" outlineLevel="0" collapsed="false">
      <c r="A94" s="3" t="s">
        <v>2</v>
      </c>
      <c r="B94" s="3" t="s">
        <v>402</v>
      </c>
      <c r="C94" s="3" t="s">
        <v>403</v>
      </c>
      <c r="D94" s="3" t="s">
        <v>733</v>
      </c>
      <c r="E94" s="3" t="s">
        <v>667</v>
      </c>
      <c r="F94" s="3" t="s">
        <v>643</v>
      </c>
      <c r="G94" s="3" t="s">
        <v>647</v>
      </c>
      <c r="H94" s="3" t="n">
        <v>1400</v>
      </c>
      <c r="I94" s="3" t="n">
        <v>1</v>
      </c>
      <c r="J94" s="9" t="b">
        <f aca="false">FALSE()</f>
        <v>0</v>
      </c>
      <c r="K94" s="3" t="n">
        <v>5</v>
      </c>
      <c r="L94" s="3" t="n">
        <v>5</v>
      </c>
      <c r="M94" s="3" t="n">
        <v>292</v>
      </c>
      <c r="N94" s="3" t="n">
        <v>2.3</v>
      </c>
      <c r="O94" s="3" t="n">
        <v>110</v>
      </c>
    </row>
    <row r="95" customFormat="false" ht="15" hidden="false" customHeight="false" outlineLevel="0" collapsed="false">
      <c r="A95" s="3" t="s">
        <v>2</v>
      </c>
      <c r="B95" s="3" t="s">
        <v>409</v>
      </c>
      <c r="C95" s="3" t="s">
        <v>410</v>
      </c>
      <c r="D95" s="3" t="s">
        <v>675</v>
      </c>
      <c r="E95" s="3" t="s">
        <v>676</v>
      </c>
      <c r="F95" s="3" t="s">
        <v>656</v>
      </c>
      <c r="G95" s="3" t="s">
        <v>640</v>
      </c>
      <c r="H95" s="3" t="n">
        <v>1600</v>
      </c>
      <c r="I95" s="3" t="n">
        <v>1</v>
      </c>
      <c r="J95" s="9" t="b">
        <f aca="false">FALSE()</f>
        <v>0</v>
      </c>
      <c r="K95" s="3" t="n">
        <v>1</v>
      </c>
      <c r="L95" s="3" t="n">
        <v>1</v>
      </c>
      <c r="M95" s="3" t="n">
        <v>693</v>
      </c>
      <c r="N95" s="3" t="n">
        <v>0.8</v>
      </c>
      <c r="O95" s="3" t="n">
        <v>158</v>
      </c>
    </row>
    <row r="96" customFormat="false" ht="15" hidden="false" customHeight="false" outlineLevel="0" collapsed="false">
      <c r="A96" s="3" t="s">
        <v>2</v>
      </c>
      <c r="B96" s="3" t="s">
        <v>415</v>
      </c>
      <c r="C96" s="3" t="s">
        <v>416</v>
      </c>
      <c r="D96" s="3" t="s">
        <v>670</v>
      </c>
      <c r="E96" s="3" t="s">
        <v>762</v>
      </c>
      <c r="F96" s="3" t="s">
        <v>639</v>
      </c>
      <c r="G96" s="3" t="s">
        <v>640</v>
      </c>
      <c r="H96" s="3" t="n">
        <v>1700</v>
      </c>
      <c r="I96" s="3" t="n">
        <v>1</v>
      </c>
      <c r="J96" s="9" t="b">
        <f aca="false">FALSE()</f>
        <v>0</v>
      </c>
      <c r="K96" s="3" t="n">
        <v>2</v>
      </c>
      <c r="L96" s="3" t="n">
        <v>2</v>
      </c>
      <c r="M96" s="3" t="n">
        <v>545</v>
      </c>
      <c r="N96" s="3" t="n">
        <v>1.4</v>
      </c>
      <c r="O96" s="3" t="n">
        <v>208</v>
      </c>
    </row>
    <row r="97" customFormat="false" ht="15" hidden="false" customHeight="false" outlineLevel="0" collapsed="false">
      <c r="A97" s="3" t="s">
        <v>2</v>
      </c>
      <c r="B97" s="3" t="s">
        <v>420</v>
      </c>
      <c r="C97" s="3" t="s">
        <v>421</v>
      </c>
      <c r="D97" s="3" t="s">
        <v>763</v>
      </c>
      <c r="E97" s="3" t="s">
        <v>764</v>
      </c>
      <c r="F97" s="3" t="s">
        <v>639</v>
      </c>
      <c r="G97" s="3" t="s">
        <v>647</v>
      </c>
      <c r="H97" s="3" t="n">
        <v>300</v>
      </c>
      <c r="I97" s="3" t="n">
        <v>1</v>
      </c>
      <c r="J97" s="9" t="b">
        <f aca="false">FALSE()</f>
        <v>0</v>
      </c>
      <c r="K97" s="3" t="n">
        <v>1</v>
      </c>
      <c r="L97" s="3" t="n">
        <v>1</v>
      </c>
      <c r="M97" s="3" t="n">
        <v>748</v>
      </c>
      <c r="N97" s="3" t="n">
        <v>1.5</v>
      </c>
      <c r="O97" s="3" t="n">
        <v>170</v>
      </c>
    </row>
    <row r="98" customFormat="false" ht="15" hidden="false" customHeight="false" outlineLevel="0" collapsed="false">
      <c r="A98" s="3" t="s">
        <v>2</v>
      </c>
      <c r="B98" s="3" t="s">
        <v>423</v>
      </c>
      <c r="C98" s="3" t="s">
        <v>424</v>
      </c>
      <c r="D98" s="3" t="s">
        <v>765</v>
      </c>
      <c r="E98" s="3" t="s">
        <v>765</v>
      </c>
      <c r="F98" s="3" t="s">
        <v>643</v>
      </c>
      <c r="G98" s="3" t="s">
        <v>647</v>
      </c>
      <c r="H98" s="3" t="n">
        <v>40000</v>
      </c>
      <c r="I98" s="3" t="n">
        <v>6</v>
      </c>
      <c r="J98" s="9" t="b">
        <f aca="false">TRUE()</f>
        <v>1</v>
      </c>
      <c r="K98" s="3" t="n">
        <v>2</v>
      </c>
      <c r="L98" s="3" t="n">
        <v>37</v>
      </c>
      <c r="M98" s="3" t="n">
        <v>552</v>
      </c>
      <c r="N98" s="3" t="n">
        <v>1.5</v>
      </c>
      <c r="O98" s="3" t="n">
        <v>212</v>
      </c>
    </row>
    <row r="99" customFormat="false" ht="15" hidden="false" customHeight="false" outlineLevel="0" collapsed="false">
      <c r="A99" s="3" t="s">
        <v>2</v>
      </c>
      <c r="B99" s="3" t="s">
        <v>426</v>
      </c>
      <c r="C99" s="3" t="s">
        <v>427</v>
      </c>
      <c r="D99" s="3" t="s">
        <v>766</v>
      </c>
      <c r="E99" s="3" t="s">
        <v>767</v>
      </c>
      <c r="F99" s="3" t="s">
        <v>656</v>
      </c>
      <c r="G99" s="3" t="s">
        <v>647</v>
      </c>
      <c r="H99" s="3" t="n">
        <v>600</v>
      </c>
      <c r="I99" s="3" t="n">
        <v>1</v>
      </c>
      <c r="J99" s="9" t="b">
        <f aca="false">FALSE()</f>
        <v>0</v>
      </c>
      <c r="K99" s="3" t="n">
        <v>2</v>
      </c>
      <c r="L99" s="3" t="n">
        <v>2</v>
      </c>
      <c r="M99" s="3" t="n">
        <v>712</v>
      </c>
      <c r="N99" s="3" t="n">
        <v>1.5</v>
      </c>
      <c r="O99" s="3" t="n">
        <v>176</v>
      </c>
    </row>
    <row r="100" customFormat="false" ht="15" hidden="false" customHeight="false" outlineLevel="0" collapsed="false">
      <c r="A100" s="3" t="s">
        <v>3</v>
      </c>
      <c r="B100" s="3" t="s">
        <v>73</v>
      </c>
      <c r="C100" s="3" t="s">
        <v>428</v>
      </c>
      <c r="D100" s="3" t="s">
        <v>768</v>
      </c>
      <c r="E100" s="3" t="s">
        <v>703</v>
      </c>
      <c r="F100" s="3" t="s">
        <v>639</v>
      </c>
      <c r="G100" s="3" t="s">
        <v>647</v>
      </c>
      <c r="H100" s="3" t="n">
        <v>850</v>
      </c>
      <c r="I100" s="3" t="n">
        <v>1</v>
      </c>
      <c r="J100" s="9" t="b">
        <f aca="false">FALSE()</f>
        <v>0</v>
      </c>
      <c r="K100" s="3" t="n">
        <v>6</v>
      </c>
      <c r="L100" s="3" t="n">
        <v>6</v>
      </c>
      <c r="M100" s="3" t="n">
        <v>394</v>
      </c>
      <c r="N100" s="3" t="n">
        <v>3.2</v>
      </c>
      <c r="O100" s="3" t="n">
        <v>124</v>
      </c>
    </row>
    <row r="101" customFormat="false" ht="15" hidden="false" customHeight="false" outlineLevel="0" collapsed="false">
      <c r="A101" s="3" t="s">
        <v>3</v>
      </c>
      <c r="B101" s="3" t="s">
        <v>77</v>
      </c>
      <c r="C101" s="3" t="s">
        <v>429</v>
      </c>
      <c r="D101" s="3" t="s">
        <v>769</v>
      </c>
      <c r="E101" s="3" t="s">
        <v>649</v>
      </c>
      <c r="F101" s="3" t="s">
        <v>643</v>
      </c>
      <c r="G101" s="3" t="s">
        <v>647</v>
      </c>
      <c r="H101" s="3" t="n">
        <v>200</v>
      </c>
      <c r="I101" s="3" t="n">
        <v>1</v>
      </c>
      <c r="J101" s="9" t="b">
        <f aca="false">FALSE()</f>
        <v>0</v>
      </c>
      <c r="K101" s="3" t="n">
        <v>11</v>
      </c>
      <c r="L101" s="3" t="n">
        <v>11</v>
      </c>
      <c r="M101" s="3" t="n">
        <v>386</v>
      </c>
      <c r="N101" s="3" t="n">
        <v>4.7</v>
      </c>
      <c r="O101" s="3" t="n">
        <v>125</v>
      </c>
    </row>
    <row r="102" customFormat="false" ht="15" hidden="false" customHeight="false" outlineLevel="0" collapsed="false">
      <c r="A102" s="3" t="s">
        <v>3</v>
      </c>
      <c r="B102" s="3" t="s">
        <v>81</v>
      </c>
      <c r="C102" s="3" t="s">
        <v>430</v>
      </c>
      <c r="D102" s="3" t="s">
        <v>765</v>
      </c>
      <c r="E102" s="3" t="s">
        <v>770</v>
      </c>
      <c r="F102" s="3" t="s">
        <v>646</v>
      </c>
      <c r="G102" s="3" t="s">
        <v>647</v>
      </c>
      <c r="H102" s="3" t="n">
        <v>300</v>
      </c>
      <c r="I102" s="3" t="n">
        <v>1</v>
      </c>
      <c r="J102" s="9" t="b">
        <f aca="false">FALSE()</f>
        <v>0</v>
      </c>
      <c r="K102" s="3" t="n">
        <v>4</v>
      </c>
      <c r="L102" s="3" t="n">
        <v>4</v>
      </c>
      <c r="M102" s="3" t="n">
        <v>654</v>
      </c>
      <c r="N102" s="3" t="n">
        <v>3.3</v>
      </c>
      <c r="O102" s="3" t="n">
        <v>216</v>
      </c>
    </row>
    <row r="103" customFormat="false" ht="15" hidden="false" customHeight="false" outlineLevel="0" collapsed="false">
      <c r="A103" s="3" t="s">
        <v>3</v>
      </c>
      <c r="B103" s="3" t="s">
        <v>85</v>
      </c>
      <c r="C103" s="3" t="s">
        <v>431</v>
      </c>
      <c r="D103" s="3" t="s">
        <v>771</v>
      </c>
      <c r="E103" s="3" t="s">
        <v>772</v>
      </c>
      <c r="F103" s="3" t="s">
        <v>639</v>
      </c>
      <c r="G103" s="3" t="s">
        <v>647</v>
      </c>
      <c r="H103" s="3" t="n">
        <v>3400</v>
      </c>
      <c r="I103" s="3" t="n">
        <v>1</v>
      </c>
      <c r="J103" s="9" t="b">
        <f aca="false">FALSE()</f>
        <v>0</v>
      </c>
      <c r="K103" s="3" t="n">
        <v>6</v>
      </c>
      <c r="L103" s="3" t="n">
        <v>6</v>
      </c>
      <c r="M103" s="3" t="n">
        <v>430</v>
      </c>
      <c r="N103" s="3" t="n">
        <v>3.2</v>
      </c>
      <c r="O103" s="3" t="n">
        <v>124</v>
      </c>
    </row>
    <row r="104" customFormat="false" ht="15" hidden="false" customHeight="false" outlineLevel="0" collapsed="false">
      <c r="A104" s="3" t="s">
        <v>3</v>
      </c>
      <c r="B104" s="3" t="s">
        <v>90</v>
      </c>
      <c r="C104" s="3" t="s">
        <v>432</v>
      </c>
      <c r="D104" s="3" t="s">
        <v>772</v>
      </c>
      <c r="E104" s="3" t="s">
        <v>773</v>
      </c>
      <c r="F104" s="3" t="s">
        <v>639</v>
      </c>
      <c r="G104" s="3" t="s">
        <v>647</v>
      </c>
      <c r="H104" s="3" t="n">
        <v>500</v>
      </c>
      <c r="I104" s="3" t="n">
        <v>1</v>
      </c>
      <c r="J104" s="9" t="b">
        <f aca="false">FALSE()</f>
        <v>0</v>
      </c>
      <c r="K104" s="3" t="n">
        <v>4</v>
      </c>
      <c r="L104" s="3" t="n">
        <v>4</v>
      </c>
      <c r="M104" s="3" t="n">
        <v>850</v>
      </c>
      <c r="N104" s="3" t="n">
        <v>2.4</v>
      </c>
      <c r="O104" s="3" t="n">
        <v>180</v>
      </c>
    </row>
    <row r="105" customFormat="false" ht="15" hidden="false" customHeight="false" outlineLevel="0" collapsed="false">
      <c r="A105" s="3" t="s">
        <v>3</v>
      </c>
      <c r="B105" s="3" t="s">
        <v>97</v>
      </c>
      <c r="C105" s="3" t="s">
        <v>433</v>
      </c>
      <c r="D105" s="3" t="s">
        <v>774</v>
      </c>
      <c r="E105" s="3" t="s">
        <v>775</v>
      </c>
      <c r="F105" s="3" t="s">
        <v>643</v>
      </c>
      <c r="G105" s="3" t="s">
        <v>647</v>
      </c>
      <c r="H105" s="3" t="n">
        <v>30000</v>
      </c>
      <c r="I105" s="3" t="n">
        <v>7</v>
      </c>
      <c r="J105" s="9" t="b">
        <f aca="false">TRUE()</f>
        <v>1</v>
      </c>
      <c r="K105" s="3" t="n">
        <v>12</v>
      </c>
      <c r="L105" s="3" t="n">
        <v>54</v>
      </c>
      <c r="M105" s="3" t="n">
        <v>314</v>
      </c>
      <c r="N105" s="3" t="n">
        <v>4.7</v>
      </c>
      <c r="O105" s="3" t="n">
        <v>147</v>
      </c>
    </row>
    <row r="106" customFormat="false" ht="15" hidden="false" customHeight="false" outlineLevel="0" collapsed="false">
      <c r="A106" s="3" t="s">
        <v>3</v>
      </c>
      <c r="B106" s="3" t="s">
        <v>100</v>
      </c>
      <c r="C106" s="3" t="s">
        <v>434</v>
      </c>
      <c r="D106" s="3" t="s">
        <v>776</v>
      </c>
      <c r="E106" s="3" t="s">
        <v>777</v>
      </c>
      <c r="F106" s="3" t="s">
        <v>656</v>
      </c>
      <c r="G106" s="3" t="s">
        <v>647</v>
      </c>
      <c r="H106" s="3" t="n">
        <v>36000</v>
      </c>
      <c r="I106" s="3" t="n">
        <v>7</v>
      </c>
      <c r="J106" s="9" t="b">
        <f aca="false">TRUE()</f>
        <v>1</v>
      </c>
      <c r="K106" s="3" t="n">
        <v>4</v>
      </c>
      <c r="L106" s="3" t="n">
        <v>46</v>
      </c>
      <c r="M106" s="3" t="n">
        <v>654</v>
      </c>
      <c r="N106" s="3" t="n">
        <v>3.3</v>
      </c>
      <c r="O106" s="3" t="n">
        <v>232</v>
      </c>
    </row>
    <row r="107" customFormat="false" ht="15" hidden="false" customHeight="false" outlineLevel="0" collapsed="false">
      <c r="A107" s="3" t="s">
        <v>3</v>
      </c>
      <c r="B107" s="3" t="s">
        <v>105</v>
      </c>
      <c r="C107" s="3" t="s">
        <v>435</v>
      </c>
      <c r="D107" s="3" t="s">
        <v>778</v>
      </c>
      <c r="E107" s="3" t="s">
        <v>779</v>
      </c>
      <c r="F107" s="3" t="s">
        <v>656</v>
      </c>
      <c r="G107" s="3" t="s">
        <v>647</v>
      </c>
      <c r="H107" s="3" t="n">
        <v>1600</v>
      </c>
      <c r="I107" s="3" t="n">
        <v>1</v>
      </c>
      <c r="J107" s="9" t="b">
        <f aca="false">FALSE()</f>
        <v>0</v>
      </c>
      <c r="K107" s="3" t="n">
        <v>12</v>
      </c>
      <c r="L107" s="3" t="n">
        <v>12</v>
      </c>
      <c r="M107" s="3" t="n">
        <v>386</v>
      </c>
      <c r="N107" s="3" t="n">
        <v>4.7</v>
      </c>
      <c r="O107" s="3" t="n">
        <v>131</v>
      </c>
    </row>
    <row r="108" customFormat="false" ht="15" hidden="false" customHeight="false" outlineLevel="0" collapsed="false">
      <c r="A108" s="3" t="s">
        <v>3</v>
      </c>
      <c r="B108" s="3" t="s">
        <v>108</v>
      </c>
      <c r="C108" s="3" t="s">
        <v>436</v>
      </c>
      <c r="D108" s="3" t="s">
        <v>780</v>
      </c>
      <c r="E108" s="3" t="s">
        <v>701</v>
      </c>
      <c r="F108" s="3" t="s">
        <v>643</v>
      </c>
      <c r="G108" s="3" t="s">
        <v>647</v>
      </c>
      <c r="H108" s="3" t="n">
        <v>9000</v>
      </c>
      <c r="I108" s="3" t="n">
        <v>3</v>
      </c>
      <c r="J108" s="9" t="b">
        <f aca="false">TRUE()</f>
        <v>1</v>
      </c>
      <c r="K108" s="3" t="n">
        <v>6</v>
      </c>
      <c r="L108" s="3" t="n">
        <v>20</v>
      </c>
      <c r="M108" s="3" t="n">
        <v>430</v>
      </c>
      <c r="N108" s="3" t="n">
        <v>3.2</v>
      </c>
      <c r="O108" s="3" t="n">
        <v>124</v>
      </c>
    </row>
    <row r="109" customFormat="false" ht="15" hidden="false" customHeight="false" outlineLevel="0" collapsed="false">
      <c r="A109" s="3" t="s">
        <v>3</v>
      </c>
      <c r="B109" s="3" t="s">
        <v>111</v>
      </c>
      <c r="C109" s="3" t="s">
        <v>437</v>
      </c>
      <c r="D109" s="3" t="s">
        <v>702</v>
      </c>
      <c r="E109" s="3" t="s">
        <v>781</v>
      </c>
      <c r="F109" s="3" t="s">
        <v>656</v>
      </c>
      <c r="G109" s="3" t="s">
        <v>647</v>
      </c>
      <c r="H109" s="3" t="n">
        <v>450</v>
      </c>
      <c r="I109" s="3" t="n">
        <v>1</v>
      </c>
      <c r="J109" s="9" t="b">
        <f aca="false">FALSE()</f>
        <v>0</v>
      </c>
      <c r="K109" s="3" t="n">
        <v>5</v>
      </c>
      <c r="L109" s="3" t="n">
        <v>5</v>
      </c>
      <c r="M109" s="3" t="n">
        <v>850</v>
      </c>
      <c r="N109" s="3" t="n">
        <v>2.4</v>
      </c>
      <c r="O109" s="3" t="n">
        <v>186</v>
      </c>
    </row>
    <row r="110" customFormat="false" ht="15" hidden="false" customHeight="false" outlineLevel="0" collapsed="false">
      <c r="A110" s="3" t="s">
        <v>3</v>
      </c>
      <c r="B110" s="3" t="s">
        <v>115</v>
      </c>
      <c r="C110" s="3" t="s">
        <v>438</v>
      </c>
      <c r="D110" s="3" t="s">
        <v>782</v>
      </c>
      <c r="E110" s="3" t="s">
        <v>743</v>
      </c>
      <c r="F110" s="3" t="s">
        <v>639</v>
      </c>
      <c r="G110" s="3" t="s">
        <v>647</v>
      </c>
      <c r="H110" s="3" t="n">
        <v>300</v>
      </c>
      <c r="I110" s="3" t="n">
        <v>1</v>
      </c>
      <c r="J110" s="9" t="b">
        <f aca="false">FALSE()</f>
        <v>0</v>
      </c>
      <c r="K110" s="3" t="n">
        <v>6</v>
      </c>
      <c r="L110" s="3" t="n">
        <v>6</v>
      </c>
      <c r="M110" s="3" t="n">
        <v>394</v>
      </c>
      <c r="N110" s="3" t="n">
        <v>3.2</v>
      </c>
      <c r="O110" s="3" t="n">
        <v>140</v>
      </c>
    </row>
    <row r="111" customFormat="false" ht="15" hidden="false" customHeight="false" outlineLevel="0" collapsed="false">
      <c r="A111" s="3" t="s">
        <v>3</v>
      </c>
      <c r="B111" s="3" t="s">
        <v>122</v>
      </c>
      <c r="C111" s="3" t="s">
        <v>439</v>
      </c>
      <c r="D111" s="3" t="s">
        <v>783</v>
      </c>
      <c r="E111" s="3" t="s">
        <v>784</v>
      </c>
      <c r="F111" s="3" t="s">
        <v>643</v>
      </c>
      <c r="G111" s="3" t="s">
        <v>647</v>
      </c>
      <c r="H111" s="3" t="n">
        <v>400</v>
      </c>
      <c r="I111" s="3" t="n">
        <v>1</v>
      </c>
      <c r="J111" s="9" t="b">
        <f aca="false">FALSE()</f>
        <v>0</v>
      </c>
      <c r="K111" s="3" t="n">
        <v>11</v>
      </c>
      <c r="L111" s="3" t="n">
        <v>11</v>
      </c>
      <c r="M111" s="3" t="n">
        <v>314</v>
      </c>
      <c r="N111" s="3" t="n">
        <v>4.7</v>
      </c>
      <c r="O111" s="3" t="n">
        <v>141</v>
      </c>
    </row>
    <row r="112" customFormat="false" ht="15" hidden="false" customHeight="false" outlineLevel="0" collapsed="false">
      <c r="A112" s="3" t="s">
        <v>3</v>
      </c>
      <c r="B112" s="3" t="s">
        <v>125</v>
      </c>
      <c r="C112" s="3" t="s">
        <v>440</v>
      </c>
      <c r="D112" s="3" t="s">
        <v>785</v>
      </c>
      <c r="E112" s="3" t="s">
        <v>786</v>
      </c>
      <c r="F112" s="3" t="s">
        <v>646</v>
      </c>
      <c r="G112" s="3" t="s">
        <v>647</v>
      </c>
      <c r="H112" s="3" t="n">
        <v>500</v>
      </c>
      <c r="I112" s="3" t="n">
        <v>1</v>
      </c>
      <c r="J112" s="9" t="b">
        <f aca="false">FALSE()</f>
        <v>0</v>
      </c>
      <c r="K112" s="3" t="n">
        <v>4</v>
      </c>
      <c r="L112" s="3" t="n">
        <v>4</v>
      </c>
      <c r="M112" s="3" t="n">
        <v>654</v>
      </c>
      <c r="N112" s="3" t="n">
        <v>3.3</v>
      </c>
      <c r="O112" s="3" t="n">
        <v>232</v>
      </c>
    </row>
    <row r="113" customFormat="false" ht="15" hidden="false" customHeight="false" outlineLevel="0" collapsed="false">
      <c r="A113" s="3" t="s">
        <v>3</v>
      </c>
      <c r="B113" s="3" t="s">
        <v>128</v>
      </c>
      <c r="C113" s="3" t="s">
        <v>441</v>
      </c>
      <c r="D113" s="3" t="s">
        <v>787</v>
      </c>
      <c r="E113" s="3" t="s">
        <v>788</v>
      </c>
      <c r="F113" s="3" t="s">
        <v>639</v>
      </c>
      <c r="G113" s="3" t="s">
        <v>647</v>
      </c>
      <c r="H113" s="3" t="n">
        <v>72000</v>
      </c>
      <c r="I113" s="3" t="n">
        <v>12</v>
      </c>
      <c r="J113" s="9" t="b">
        <f aca="false">TRUE()</f>
        <v>1</v>
      </c>
      <c r="K113" s="3" t="n">
        <v>6</v>
      </c>
      <c r="L113" s="3" t="n">
        <v>83</v>
      </c>
      <c r="M113" s="3" t="n">
        <v>394</v>
      </c>
      <c r="N113" s="3" t="n">
        <v>3.2</v>
      </c>
      <c r="O113" s="3" t="n">
        <v>140</v>
      </c>
    </row>
    <row r="114" customFormat="false" ht="15" hidden="false" customHeight="false" outlineLevel="0" collapsed="false">
      <c r="A114" s="3" t="s">
        <v>3</v>
      </c>
      <c r="B114" s="3" t="s">
        <v>131</v>
      </c>
      <c r="C114" s="3" t="s">
        <v>442</v>
      </c>
      <c r="D114" s="3" t="s">
        <v>718</v>
      </c>
      <c r="E114" s="3" t="s">
        <v>789</v>
      </c>
      <c r="F114" s="3" t="s">
        <v>639</v>
      </c>
      <c r="G114" s="3" t="s">
        <v>647</v>
      </c>
      <c r="H114" s="3" t="n">
        <v>700</v>
      </c>
      <c r="I114" s="3" t="n">
        <v>1</v>
      </c>
      <c r="J114" s="9" t="b">
        <f aca="false">FALSE()</f>
        <v>0</v>
      </c>
      <c r="K114" s="3" t="n">
        <v>4</v>
      </c>
      <c r="L114" s="3" t="n">
        <v>4</v>
      </c>
      <c r="M114" s="3" t="n">
        <v>886</v>
      </c>
      <c r="N114" s="3" t="n">
        <v>2.4</v>
      </c>
      <c r="O114" s="3" t="n">
        <v>164</v>
      </c>
    </row>
    <row r="115" customFormat="false" ht="15" hidden="false" customHeight="false" outlineLevel="0" collapsed="false">
      <c r="A115" s="3" t="s">
        <v>3</v>
      </c>
      <c r="B115" s="3" t="s">
        <v>135</v>
      </c>
      <c r="C115" s="3" t="s">
        <v>443</v>
      </c>
      <c r="D115" s="3" t="s">
        <v>790</v>
      </c>
      <c r="E115" s="3" t="s">
        <v>741</v>
      </c>
      <c r="F115" s="3" t="s">
        <v>656</v>
      </c>
      <c r="G115" s="3" t="s">
        <v>647</v>
      </c>
      <c r="H115" s="3" t="n">
        <v>5000</v>
      </c>
      <c r="I115" s="3" t="n">
        <v>2</v>
      </c>
      <c r="J115" s="9" t="b">
        <f aca="false">TRUE()</f>
        <v>1</v>
      </c>
      <c r="K115" s="3" t="n">
        <v>3</v>
      </c>
      <c r="L115" s="3" t="n">
        <v>10</v>
      </c>
      <c r="M115" s="3" t="n">
        <v>814</v>
      </c>
      <c r="N115" s="3" t="n">
        <v>2.4</v>
      </c>
      <c r="O115" s="3" t="n">
        <v>158</v>
      </c>
    </row>
    <row r="116" customFormat="false" ht="15" hidden="false" customHeight="false" outlineLevel="0" collapsed="false">
      <c r="A116" s="3" t="s">
        <v>3</v>
      </c>
      <c r="B116" s="3" t="s">
        <v>139</v>
      </c>
      <c r="C116" s="3" t="s">
        <v>444</v>
      </c>
      <c r="D116" s="3" t="s">
        <v>791</v>
      </c>
      <c r="E116" s="3" t="s">
        <v>645</v>
      </c>
      <c r="F116" s="3" t="s">
        <v>643</v>
      </c>
      <c r="G116" s="3" t="s">
        <v>647</v>
      </c>
      <c r="H116" s="3" t="n">
        <v>33000</v>
      </c>
      <c r="I116" s="3" t="n">
        <v>8</v>
      </c>
      <c r="J116" s="9" t="b">
        <f aca="false">TRUE()</f>
        <v>1</v>
      </c>
      <c r="K116" s="3" t="n">
        <v>8</v>
      </c>
      <c r="L116" s="3" t="n">
        <v>57</v>
      </c>
      <c r="M116" s="3" t="n">
        <v>394</v>
      </c>
      <c r="N116" s="3" t="n">
        <v>3.2</v>
      </c>
      <c r="O116" s="3" t="n">
        <v>136</v>
      </c>
    </row>
    <row r="117" customFormat="false" ht="15" hidden="false" customHeight="false" outlineLevel="0" collapsed="false">
      <c r="A117" s="3" t="s">
        <v>3</v>
      </c>
      <c r="B117" s="3" t="s">
        <v>144</v>
      </c>
      <c r="C117" s="3" t="s">
        <v>445</v>
      </c>
      <c r="D117" s="3" t="s">
        <v>792</v>
      </c>
      <c r="E117" s="3" t="s">
        <v>793</v>
      </c>
      <c r="F117" s="3" t="s">
        <v>656</v>
      </c>
      <c r="G117" s="3" t="s">
        <v>647</v>
      </c>
      <c r="H117" s="3" t="n">
        <v>1400</v>
      </c>
      <c r="I117" s="3" t="n">
        <v>1</v>
      </c>
      <c r="J117" s="9" t="b">
        <f aca="false">FALSE()</f>
        <v>0</v>
      </c>
      <c r="K117" s="3" t="n">
        <v>4</v>
      </c>
      <c r="L117" s="3" t="n">
        <v>4</v>
      </c>
      <c r="M117" s="3" t="n">
        <v>654</v>
      </c>
      <c r="N117" s="3" t="n">
        <v>3.3</v>
      </c>
      <c r="O117" s="3" t="n">
        <v>216</v>
      </c>
    </row>
    <row r="118" customFormat="false" ht="15" hidden="false" customHeight="false" outlineLevel="0" collapsed="false">
      <c r="A118" s="3" t="s">
        <v>3</v>
      </c>
      <c r="B118" s="3" t="s">
        <v>147</v>
      </c>
      <c r="C118" s="3" t="s">
        <v>446</v>
      </c>
      <c r="D118" s="3" t="s">
        <v>794</v>
      </c>
      <c r="E118" s="3" t="s">
        <v>666</v>
      </c>
      <c r="F118" s="3" t="s">
        <v>646</v>
      </c>
      <c r="G118" s="3" t="s">
        <v>647</v>
      </c>
      <c r="H118" s="3" t="n">
        <v>1600</v>
      </c>
      <c r="I118" s="3" t="n">
        <v>1</v>
      </c>
      <c r="J118" s="9" t="b">
        <f aca="false">FALSE()</f>
        <v>0</v>
      </c>
      <c r="K118" s="3" t="n">
        <v>3</v>
      </c>
      <c r="L118" s="3" t="n">
        <v>3</v>
      </c>
      <c r="M118" s="3" t="n">
        <v>814</v>
      </c>
      <c r="N118" s="3" t="n">
        <v>2.4</v>
      </c>
      <c r="O118" s="3" t="n">
        <v>174</v>
      </c>
    </row>
    <row r="119" customFormat="false" ht="15" hidden="false" customHeight="false" outlineLevel="0" collapsed="false">
      <c r="A119" s="3" t="s">
        <v>3</v>
      </c>
      <c r="B119" s="3" t="s">
        <v>154</v>
      </c>
      <c r="C119" s="3" t="s">
        <v>447</v>
      </c>
      <c r="D119" s="3" t="s">
        <v>795</v>
      </c>
      <c r="E119" s="3" t="s">
        <v>796</v>
      </c>
      <c r="F119" s="3" t="s">
        <v>639</v>
      </c>
      <c r="G119" s="3" t="s">
        <v>647</v>
      </c>
      <c r="H119" s="3" t="n">
        <v>2000</v>
      </c>
      <c r="I119" s="3" t="n">
        <v>1</v>
      </c>
      <c r="J119" s="9" t="b">
        <f aca="false">FALSE()</f>
        <v>0</v>
      </c>
      <c r="K119" s="3" t="n">
        <v>4</v>
      </c>
      <c r="L119" s="3" t="n">
        <v>4</v>
      </c>
      <c r="M119" s="3" t="n">
        <v>654</v>
      </c>
      <c r="N119" s="3" t="n">
        <v>3.3</v>
      </c>
      <c r="O119" s="3" t="n">
        <v>232</v>
      </c>
    </row>
    <row r="120" customFormat="false" ht="15" hidden="false" customHeight="false" outlineLevel="0" collapsed="false">
      <c r="A120" s="3" t="s">
        <v>3</v>
      </c>
      <c r="B120" s="3" t="s">
        <v>157</v>
      </c>
      <c r="C120" s="3" t="s">
        <v>448</v>
      </c>
      <c r="D120" s="3" t="s">
        <v>797</v>
      </c>
      <c r="E120" s="3" t="s">
        <v>798</v>
      </c>
      <c r="F120" s="3" t="s">
        <v>656</v>
      </c>
      <c r="G120" s="3" t="s">
        <v>647</v>
      </c>
      <c r="H120" s="3" t="n">
        <v>45000</v>
      </c>
      <c r="I120" s="3" t="n">
        <v>12</v>
      </c>
      <c r="J120" s="9" t="b">
        <f aca="false">TRUE()</f>
        <v>1</v>
      </c>
      <c r="K120" s="3" t="n">
        <v>5</v>
      </c>
      <c r="L120" s="3" t="n">
        <v>82</v>
      </c>
      <c r="M120" s="3" t="n">
        <v>886</v>
      </c>
      <c r="N120" s="3" t="n">
        <v>2.4</v>
      </c>
      <c r="O120" s="3" t="n">
        <v>170</v>
      </c>
    </row>
    <row r="121" customFormat="false" ht="15" hidden="false" customHeight="false" outlineLevel="0" collapsed="false">
      <c r="A121" s="3" t="s">
        <v>3</v>
      </c>
      <c r="B121" s="3" t="s">
        <v>160</v>
      </c>
      <c r="C121" s="3" t="s">
        <v>449</v>
      </c>
      <c r="D121" s="3" t="s">
        <v>799</v>
      </c>
      <c r="E121" s="3" t="s">
        <v>800</v>
      </c>
      <c r="F121" s="3" t="s">
        <v>656</v>
      </c>
      <c r="G121" s="3" t="s">
        <v>647</v>
      </c>
      <c r="H121" s="3" t="n">
        <v>400</v>
      </c>
      <c r="I121" s="3" t="n">
        <v>1</v>
      </c>
      <c r="J121" s="9" t="b">
        <f aca="false">FALSE()</f>
        <v>0</v>
      </c>
      <c r="K121" s="3" t="n">
        <v>6</v>
      </c>
      <c r="L121" s="3" t="n">
        <v>6</v>
      </c>
      <c r="M121" s="3" t="n">
        <v>654</v>
      </c>
      <c r="N121" s="3" t="n">
        <v>3.3</v>
      </c>
      <c r="O121" s="3" t="n">
        <v>244</v>
      </c>
    </row>
    <row r="122" customFormat="false" ht="15" hidden="false" customHeight="false" outlineLevel="0" collapsed="false">
      <c r="A122" s="3" t="s">
        <v>3</v>
      </c>
      <c r="B122" s="3" t="s">
        <v>165</v>
      </c>
      <c r="C122" s="3" t="s">
        <v>450</v>
      </c>
      <c r="D122" s="3" t="s">
        <v>801</v>
      </c>
      <c r="E122" s="3" t="s">
        <v>764</v>
      </c>
      <c r="F122" s="3" t="s">
        <v>639</v>
      </c>
      <c r="G122" s="3" t="s">
        <v>647</v>
      </c>
      <c r="H122" s="3" t="n">
        <v>800</v>
      </c>
      <c r="I122" s="3" t="n">
        <v>1</v>
      </c>
      <c r="J122" s="9" t="b">
        <f aca="false">FALSE()</f>
        <v>0</v>
      </c>
      <c r="K122" s="3" t="n">
        <v>6</v>
      </c>
      <c r="L122" s="3" t="n">
        <v>6</v>
      </c>
      <c r="M122" s="3" t="n">
        <v>394</v>
      </c>
      <c r="N122" s="3" t="n">
        <v>3.2</v>
      </c>
      <c r="O122" s="3" t="n">
        <v>124</v>
      </c>
    </row>
    <row r="123" customFormat="false" ht="15" hidden="false" customHeight="false" outlineLevel="0" collapsed="false">
      <c r="A123" s="3" t="s">
        <v>3</v>
      </c>
      <c r="B123" s="3" t="s">
        <v>168</v>
      </c>
      <c r="C123" s="3" t="s">
        <v>451</v>
      </c>
      <c r="D123" s="3" t="s">
        <v>802</v>
      </c>
      <c r="E123" s="3" t="s">
        <v>803</v>
      </c>
      <c r="F123" s="3" t="s">
        <v>639</v>
      </c>
      <c r="G123" s="3" t="s">
        <v>647</v>
      </c>
      <c r="H123" s="3" t="n">
        <v>900</v>
      </c>
      <c r="I123" s="3" t="n">
        <v>1</v>
      </c>
      <c r="J123" s="9" t="b">
        <f aca="false">FALSE()</f>
        <v>0</v>
      </c>
      <c r="K123" s="3" t="n">
        <v>4</v>
      </c>
      <c r="L123" s="3" t="n">
        <v>4</v>
      </c>
      <c r="M123" s="3" t="n">
        <v>814</v>
      </c>
      <c r="N123" s="3" t="n">
        <v>2.4</v>
      </c>
      <c r="O123" s="3" t="n">
        <v>180</v>
      </c>
    </row>
    <row r="124" customFormat="false" ht="15" hidden="false" customHeight="false" outlineLevel="0" collapsed="false">
      <c r="A124" s="3" t="s">
        <v>3</v>
      </c>
      <c r="B124" s="3" t="s">
        <v>171</v>
      </c>
      <c r="C124" s="3" t="s">
        <v>452</v>
      </c>
      <c r="D124" s="3" t="s">
        <v>801</v>
      </c>
      <c r="E124" s="3" t="s">
        <v>771</v>
      </c>
      <c r="F124" s="3" t="s">
        <v>643</v>
      </c>
      <c r="G124" s="3" t="s">
        <v>647</v>
      </c>
      <c r="H124" s="3" t="n">
        <v>3120</v>
      </c>
      <c r="I124" s="3" t="n">
        <v>1</v>
      </c>
      <c r="J124" s="9" t="b">
        <f aca="false">FALSE()</f>
        <v>0</v>
      </c>
      <c r="K124" s="3" t="n">
        <v>8</v>
      </c>
      <c r="L124" s="3" t="n">
        <v>8</v>
      </c>
      <c r="M124" s="3" t="n">
        <v>394</v>
      </c>
      <c r="N124" s="3" t="n">
        <v>3.2</v>
      </c>
      <c r="O124" s="3" t="n">
        <v>152</v>
      </c>
    </row>
    <row r="125" customFormat="false" ht="15" hidden="false" customHeight="false" outlineLevel="0" collapsed="false">
      <c r="A125" s="3" t="s">
        <v>3</v>
      </c>
      <c r="B125" s="3" t="s">
        <v>174</v>
      </c>
      <c r="C125" s="3" t="s">
        <v>453</v>
      </c>
      <c r="D125" s="3" t="s">
        <v>804</v>
      </c>
      <c r="E125" s="3" t="s">
        <v>785</v>
      </c>
      <c r="F125" s="3" t="s">
        <v>656</v>
      </c>
      <c r="G125" s="3" t="s">
        <v>647</v>
      </c>
      <c r="H125" s="3" t="n">
        <v>8000</v>
      </c>
      <c r="I125" s="3" t="n">
        <v>2</v>
      </c>
      <c r="J125" s="9" t="b">
        <f aca="false">TRUE()</f>
        <v>1</v>
      </c>
      <c r="K125" s="3" t="n">
        <v>4</v>
      </c>
      <c r="L125" s="3" t="n">
        <v>11</v>
      </c>
      <c r="M125" s="3" t="n">
        <v>654</v>
      </c>
      <c r="N125" s="3" t="n">
        <v>3.3</v>
      </c>
      <c r="O125" s="3" t="n">
        <v>232</v>
      </c>
    </row>
    <row r="126" customFormat="false" ht="15" hidden="false" customHeight="false" outlineLevel="0" collapsed="false">
      <c r="A126" s="3" t="s">
        <v>3</v>
      </c>
      <c r="B126" s="3" t="s">
        <v>178</v>
      </c>
      <c r="C126" s="3" t="s">
        <v>454</v>
      </c>
      <c r="D126" s="3" t="s">
        <v>801</v>
      </c>
      <c r="E126" s="3" t="s">
        <v>764</v>
      </c>
      <c r="F126" s="3" t="s">
        <v>646</v>
      </c>
      <c r="G126" s="3" t="s">
        <v>647</v>
      </c>
      <c r="H126" s="3" t="n">
        <v>1800</v>
      </c>
      <c r="I126" s="3" t="n">
        <v>1</v>
      </c>
      <c r="J126" s="9" t="b">
        <f aca="false">FALSE()</f>
        <v>0</v>
      </c>
      <c r="K126" s="3" t="n">
        <v>3</v>
      </c>
      <c r="L126" s="3" t="n">
        <v>3</v>
      </c>
      <c r="M126" s="3" t="n">
        <v>814</v>
      </c>
      <c r="N126" s="3" t="n">
        <v>2.4</v>
      </c>
      <c r="O126" s="3" t="n">
        <v>158</v>
      </c>
    </row>
    <row r="127" customFormat="false" ht="15" hidden="false" customHeight="false" outlineLevel="0" collapsed="false">
      <c r="A127" s="3" t="s">
        <v>3</v>
      </c>
      <c r="B127" s="3" t="s">
        <v>181</v>
      </c>
      <c r="C127" s="3" t="s">
        <v>455</v>
      </c>
      <c r="D127" s="3" t="s">
        <v>697</v>
      </c>
      <c r="E127" s="3" t="s">
        <v>805</v>
      </c>
      <c r="F127" s="3" t="s">
        <v>639</v>
      </c>
      <c r="G127" s="3" t="s">
        <v>647</v>
      </c>
      <c r="H127" s="3" t="n">
        <v>300</v>
      </c>
      <c r="I127" s="3" t="n">
        <v>1</v>
      </c>
      <c r="J127" s="9" t="b">
        <f aca="false">FALSE()</f>
        <v>0</v>
      </c>
      <c r="K127" s="3" t="n">
        <v>4</v>
      </c>
      <c r="L127" s="3" t="n">
        <v>4</v>
      </c>
      <c r="M127" s="3" t="n">
        <v>690</v>
      </c>
      <c r="N127" s="3" t="n">
        <v>3.3</v>
      </c>
      <c r="O127" s="3" t="n">
        <v>216</v>
      </c>
    </row>
    <row r="128" customFormat="false" ht="15" hidden="false" customHeight="false" outlineLevel="0" collapsed="false">
      <c r="A128" s="3" t="s">
        <v>3</v>
      </c>
      <c r="B128" s="3" t="s">
        <v>185</v>
      </c>
      <c r="C128" s="3" t="s">
        <v>456</v>
      </c>
      <c r="D128" s="3" t="s">
        <v>806</v>
      </c>
      <c r="E128" s="3" t="s">
        <v>807</v>
      </c>
      <c r="F128" s="3" t="s">
        <v>656</v>
      </c>
      <c r="G128" s="3" t="s">
        <v>647</v>
      </c>
      <c r="H128" s="3" t="n">
        <v>15000</v>
      </c>
      <c r="I128" s="3" t="n">
        <v>4</v>
      </c>
      <c r="J128" s="9" t="b">
        <f aca="false">TRUE()</f>
        <v>1</v>
      </c>
      <c r="K128" s="3" t="n">
        <v>5</v>
      </c>
      <c r="L128" s="3" t="n">
        <v>26</v>
      </c>
      <c r="M128" s="3" t="n">
        <v>814</v>
      </c>
      <c r="N128" s="3" t="n">
        <v>2.4</v>
      </c>
      <c r="O128" s="3" t="n">
        <v>186</v>
      </c>
    </row>
    <row r="129" customFormat="false" ht="15" hidden="false" customHeight="false" outlineLevel="0" collapsed="false">
      <c r="A129" s="3" t="s">
        <v>3</v>
      </c>
      <c r="B129" s="3" t="s">
        <v>193</v>
      </c>
      <c r="C129" s="3" t="s">
        <v>457</v>
      </c>
      <c r="D129" s="3" t="s">
        <v>808</v>
      </c>
      <c r="E129" s="3" t="s">
        <v>809</v>
      </c>
      <c r="F129" s="3" t="s">
        <v>643</v>
      </c>
      <c r="G129" s="3" t="s">
        <v>647</v>
      </c>
      <c r="H129" s="3" t="n">
        <v>800</v>
      </c>
      <c r="I129" s="3" t="n">
        <v>1</v>
      </c>
      <c r="J129" s="9" t="b">
        <f aca="false">FALSE()</f>
        <v>0</v>
      </c>
      <c r="K129" s="3" t="n">
        <v>11</v>
      </c>
      <c r="L129" s="3" t="n">
        <v>11</v>
      </c>
      <c r="M129" s="3" t="n">
        <v>386</v>
      </c>
      <c r="N129" s="3" t="n">
        <v>4.7</v>
      </c>
      <c r="O129" s="3" t="n">
        <v>141</v>
      </c>
    </row>
    <row r="130" customFormat="false" ht="15" hidden="false" customHeight="false" outlineLevel="0" collapsed="false">
      <c r="A130" s="3" t="s">
        <v>3</v>
      </c>
      <c r="B130" s="3" t="s">
        <v>196</v>
      </c>
      <c r="C130" s="3" t="s">
        <v>458</v>
      </c>
      <c r="D130" s="3" t="s">
        <v>784</v>
      </c>
      <c r="E130" s="3" t="s">
        <v>810</v>
      </c>
      <c r="F130" s="3" t="s">
        <v>646</v>
      </c>
      <c r="G130" s="3" t="s">
        <v>647</v>
      </c>
      <c r="H130" s="3" t="n">
        <v>900</v>
      </c>
      <c r="I130" s="3" t="n">
        <v>1</v>
      </c>
      <c r="J130" s="9" t="b">
        <f aca="false">FALSE()</f>
        <v>0</v>
      </c>
      <c r="K130" s="3" t="n">
        <v>4</v>
      </c>
      <c r="L130" s="3" t="n">
        <v>4</v>
      </c>
      <c r="M130" s="3" t="n">
        <v>654</v>
      </c>
      <c r="N130" s="3" t="n">
        <v>3.3</v>
      </c>
      <c r="O130" s="3" t="n">
        <v>232</v>
      </c>
    </row>
    <row r="131" customFormat="false" ht="15" hidden="false" customHeight="false" outlineLevel="0" collapsed="false">
      <c r="A131" s="3" t="s">
        <v>3</v>
      </c>
      <c r="B131" s="3" t="s">
        <v>199</v>
      </c>
      <c r="C131" s="3" t="s">
        <v>459</v>
      </c>
      <c r="D131" s="3" t="s">
        <v>702</v>
      </c>
      <c r="E131" s="3" t="s">
        <v>811</v>
      </c>
      <c r="F131" s="3" t="s">
        <v>646</v>
      </c>
      <c r="G131" s="3" t="s">
        <v>647</v>
      </c>
      <c r="H131" s="3" t="n">
        <v>36000</v>
      </c>
      <c r="I131" s="3" t="n">
        <v>10</v>
      </c>
      <c r="J131" s="9" t="b">
        <f aca="false">TRUE()</f>
        <v>1</v>
      </c>
      <c r="K131" s="3" t="n">
        <v>3</v>
      </c>
      <c r="L131" s="3" t="n">
        <v>66</v>
      </c>
      <c r="M131" s="3" t="n">
        <v>850</v>
      </c>
      <c r="N131" s="3" t="n">
        <v>2.4</v>
      </c>
      <c r="O131" s="3" t="n">
        <v>174</v>
      </c>
    </row>
    <row r="132" customFormat="false" ht="15" hidden="false" customHeight="false" outlineLevel="0" collapsed="false">
      <c r="A132" s="3" t="s">
        <v>3</v>
      </c>
      <c r="B132" s="3" t="s">
        <v>205</v>
      </c>
      <c r="C132" s="3" t="s">
        <v>460</v>
      </c>
      <c r="D132" s="3" t="s">
        <v>812</v>
      </c>
      <c r="E132" s="3" t="s">
        <v>813</v>
      </c>
      <c r="F132" s="3" t="s">
        <v>639</v>
      </c>
      <c r="G132" s="3" t="s">
        <v>647</v>
      </c>
      <c r="H132" s="3" t="n">
        <v>45000</v>
      </c>
      <c r="I132" s="3" t="n">
        <v>7</v>
      </c>
      <c r="J132" s="9" t="b">
        <f aca="false">TRUE()</f>
        <v>1</v>
      </c>
      <c r="K132" s="3" t="n">
        <v>4</v>
      </c>
      <c r="L132" s="3" t="n">
        <v>46</v>
      </c>
      <c r="M132" s="3" t="n">
        <v>654</v>
      </c>
      <c r="N132" s="3" t="n">
        <v>3.3</v>
      </c>
      <c r="O132" s="3" t="n">
        <v>232</v>
      </c>
    </row>
    <row r="133" customFormat="false" ht="15" hidden="false" customHeight="false" outlineLevel="0" collapsed="false">
      <c r="A133" s="3" t="s">
        <v>3</v>
      </c>
      <c r="B133" s="3" t="s">
        <v>209</v>
      </c>
      <c r="C133" s="3" t="s">
        <v>461</v>
      </c>
      <c r="D133" s="3" t="s">
        <v>814</v>
      </c>
      <c r="E133" s="3" t="s">
        <v>815</v>
      </c>
      <c r="F133" s="3" t="s">
        <v>656</v>
      </c>
      <c r="G133" s="3" t="s">
        <v>647</v>
      </c>
      <c r="H133" s="3" t="n">
        <v>800</v>
      </c>
      <c r="I133" s="3" t="n">
        <v>1</v>
      </c>
      <c r="J133" s="9" t="b">
        <f aca="false">FALSE()</f>
        <v>0</v>
      </c>
      <c r="K133" s="3" t="n">
        <v>6</v>
      </c>
      <c r="L133" s="3" t="n">
        <v>6</v>
      </c>
      <c r="M133" s="3" t="n">
        <v>690</v>
      </c>
      <c r="N133" s="3" t="n">
        <v>3.3</v>
      </c>
      <c r="O133" s="3" t="n">
        <v>244</v>
      </c>
    </row>
    <row r="134" customFormat="false" ht="15" hidden="false" customHeight="false" outlineLevel="0" collapsed="false">
      <c r="A134" s="3" t="s">
        <v>3</v>
      </c>
      <c r="B134" s="3" t="s">
        <v>212</v>
      </c>
      <c r="C134" s="3" t="s">
        <v>462</v>
      </c>
      <c r="D134" s="3" t="s">
        <v>816</v>
      </c>
      <c r="E134" s="3" t="s">
        <v>817</v>
      </c>
      <c r="F134" s="3" t="s">
        <v>639</v>
      </c>
      <c r="G134" s="3" t="s">
        <v>647</v>
      </c>
      <c r="H134" s="3" t="n">
        <v>36000</v>
      </c>
      <c r="I134" s="3" t="n">
        <v>11</v>
      </c>
      <c r="J134" s="9" t="b">
        <f aca="false">TRUE()</f>
        <v>1</v>
      </c>
      <c r="K134" s="3" t="n">
        <v>6</v>
      </c>
      <c r="L134" s="3" t="n">
        <v>76</v>
      </c>
      <c r="M134" s="3" t="n">
        <v>430</v>
      </c>
      <c r="N134" s="3" t="n">
        <v>3.2</v>
      </c>
      <c r="O134" s="3" t="n">
        <v>124</v>
      </c>
    </row>
    <row r="135" customFormat="false" ht="15" hidden="false" customHeight="false" outlineLevel="0" collapsed="false">
      <c r="A135" s="3" t="s">
        <v>3</v>
      </c>
      <c r="B135" s="3" t="s">
        <v>216</v>
      </c>
      <c r="C135" s="3" t="s">
        <v>463</v>
      </c>
      <c r="D135" s="3" t="s">
        <v>818</v>
      </c>
      <c r="E135" s="3" t="s">
        <v>696</v>
      </c>
      <c r="F135" s="3" t="s">
        <v>656</v>
      </c>
      <c r="G135" s="3" t="s">
        <v>647</v>
      </c>
      <c r="H135" s="3" t="n">
        <v>4000</v>
      </c>
      <c r="I135" s="3" t="n">
        <v>2</v>
      </c>
      <c r="J135" s="9" t="b">
        <f aca="false">TRUE()</f>
        <v>1</v>
      </c>
      <c r="K135" s="3" t="n">
        <v>3</v>
      </c>
      <c r="L135" s="3" t="n">
        <v>10</v>
      </c>
      <c r="M135" s="3" t="n">
        <v>814</v>
      </c>
      <c r="N135" s="3" t="n">
        <v>2.4</v>
      </c>
      <c r="O135" s="3" t="n">
        <v>174</v>
      </c>
    </row>
    <row r="136" customFormat="false" ht="15" hidden="false" customHeight="false" outlineLevel="0" collapsed="false">
      <c r="A136" s="3" t="s">
        <v>3</v>
      </c>
      <c r="B136" s="3" t="s">
        <v>222</v>
      </c>
      <c r="C136" s="3" t="s">
        <v>464</v>
      </c>
      <c r="D136" s="3" t="s">
        <v>819</v>
      </c>
      <c r="E136" s="3" t="s">
        <v>820</v>
      </c>
      <c r="F136" s="3" t="s">
        <v>639</v>
      </c>
      <c r="G136" s="3" t="s">
        <v>647</v>
      </c>
      <c r="H136" s="3" t="n">
        <v>700</v>
      </c>
      <c r="I136" s="3" t="n">
        <v>1</v>
      </c>
      <c r="J136" s="9" t="b">
        <f aca="false">FALSE()</f>
        <v>0</v>
      </c>
      <c r="K136" s="3" t="n">
        <v>4</v>
      </c>
      <c r="L136" s="3" t="n">
        <v>4</v>
      </c>
      <c r="M136" s="3" t="n">
        <v>654</v>
      </c>
      <c r="N136" s="3" t="n">
        <v>3.3</v>
      </c>
      <c r="O136" s="3" t="n">
        <v>216</v>
      </c>
    </row>
    <row r="137" customFormat="false" ht="15" hidden="false" customHeight="false" outlineLevel="0" collapsed="false">
      <c r="A137" s="3" t="s">
        <v>3</v>
      </c>
      <c r="B137" s="3" t="s">
        <v>226</v>
      </c>
      <c r="C137" s="3" t="s">
        <v>465</v>
      </c>
      <c r="D137" s="3" t="s">
        <v>821</v>
      </c>
      <c r="E137" s="3" t="s">
        <v>817</v>
      </c>
      <c r="F137" s="3" t="s">
        <v>643</v>
      </c>
      <c r="G137" s="3" t="s">
        <v>647</v>
      </c>
      <c r="H137" s="3" t="n">
        <v>800</v>
      </c>
      <c r="I137" s="3" t="n">
        <v>1</v>
      </c>
      <c r="J137" s="9" t="b">
        <f aca="false">FALSE()</f>
        <v>0</v>
      </c>
      <c r="K137" s="3" t="n">
        <v>6</v>
      </c>
      <c r="L137" s="3" t="n">
        <v>6</v>
      </c>
      <c r="M137" s="3" t="n">
        <v>466</v>
      </c>
      <c r="N137" s="3" t="n">
        <v>3.2</v>
      </c>
      <c r="O137" s="3" t="n">
        <v>124</v>
      </c>
    </row>
    <row r="138" customFormat="false" ht="15" hidden="false" customHeight="false" outlineLevel="0" collapsed="false">
      <c r="A138" s="3" t="s">
        <v>3</v>
      </c>
      <c r="B138" s="3" t="s">
        <v>229</v>
      </c>
      <c r="C138" s="3" t="s">
        <v>466</v>
      </c>
      <c r="D138" s="3" t="s">
        <v>822</v>
      </c>
      <c r="E138" s="3" t="s">
        <v>823</v>
      </c>
      <c r="F138" s="3" t="s">
        <v>656</v>
      </c>
      <c r="G138" s="3" t="s">
        <v>647</v>
      </c>
      <c r="H138" s="3" t="n">
        <v>30000</v>
      </c>
      <c r="I138" s="3" t="n">
        <v>6</v>
      </c>
      <c r="J138" s="9" t="b">
        <f aca="false">TRUE()</f>
        <v>1</v>
      </c>
      <c r="K138" s="3" t="n">
        <v>6</v>
      </c>
      <c r="L138" s="3" t="n">
        <v>41</v>
      </c>
      <c r="M138" s="3" t="n">
        <v>690</v>
      </c>
      <c r="N138" s="3" t="n">
        <v>3.3</v>
      </c>
      <c r="O138" s="3" t="n">
        <v>228</v>
      </c>
    </row>
    <row r="139" customFormat="false" ht="15" hidden="false" customHeight="false" outlineLevel="0" collapsed="false">
      <c r="A139" s="3" t="s">
        <v>3</v>
      </c>
      <c r="B139" s="3" t="s">
        <v>233</v>
      </c>
      <c r="C139" s="3" t="s">
        <v>467</v>
      </c>
      <c r="D139" s="3" t="s">
        <v>824</v>
      </c>
      <c r="E139" s="3" t="s">
        <v>820</v>
      </c>
      <c r="F139" s="3" t="s">
        <v>643</v>
      </c>
      <c r="G139" s="3" t="s">
        <v>647</v>
      </c>
      <c r="H139" s="3" t="n">
        <v>36000</v>
      </c>
      <c r="I139" s="3" t="n">
        <v>10</v>
      </c>
      <c r="J139" s="9" t="b">
        <f aca="false">TRUE()</f>
        <v>1</v>
      </c>
      <c r="K139" s="3" t="n">
        <v>11</v>
      </c>
      <c r="L139" s="3" t="n">
        <v>74</v>
      </c>
      <c r="M139" s="3" t="n">
        <v>314</v>
      </c>
      <c r="N139" s="3" t="n">
        <v>4.7</v>
      </c>
      <c r="O139" s="3" t="n">
        <v>141</v>
      </c>
    </row>
    <row r="140" customFormat="false" ht="15" hidden="false" customHeight="false" outlineLevel="0" collapsed="false">
      <c r="A140" s="3" t="s">
        <v>3</v>
      </c>
      <c r="B140" s="3" t="s">
        <v>237</v>
      </c>
      <c r="C140" s="3" t="s">
        <v>468</v>
      </c>
      <c r="D140" s="3" t="s">
        <v>791</v>
      </c>
      <c r="E140" s="3" t="s">
        <v>644</v>
      </c>
      <c r="F140" s="3" t="s">
        <v>639</v>
      </c>
      <c r="G140" s="3" t="s">
        <v>647</v>
      </c>
      <c r="H140" s="3" t="n">
        <v>1400</v>
      </c>
      <c r="I140" s="3" t="n">
        <v>1</v>
      </c>
      <c r="J140" s="9" t="b">
        <f aca="false">FALSE()</f>
        <v>0</v>
      </c>
      <c r="K140" s="3" t="n">
        <v>6</v>
      </c>
      <c r="L140" s="3" t="n">
        <v>6</v>
      </c>
      <c r="M140" s="3" t="n">
        <v>394</v>
      </c>
      <c r="N140" s="3" t="n">
        <v>3.2</v>
      </c>
      <c r="O140" s="3" t="n">
        <v>140</v>
      </c>
    </row>
    <row r="141" customFormat="false" ht="15" hidden="false" customHeight="false" outlineLevel="0" collapsed="false">
      <c r="A141" s="3" t="s">
        <v>3</v>
      </c>
      <c r="B141" s="3" t="s">
        <v>240</v>
      </c>
      <c r="C141" s="3" t="s">
        <v>469</v>
      </c>
      <c r="D141" s="3" t="s">
        <v>802</v>
      </c>
      <c r="E141" s="3" t="s">
        <v>803</v>
      </c>
      <c r="F141" s="3" t="s">
        <v>639</v>
      </c>
      <c r="G141" s="3" t="s">
        <v>647</v>
      </c>
      <c r="H141" s="3" t="n">
        <v>1500</v>
      </c>
      <c r="I141" s="3" t="n">
        <v>1</v>
      </c>
      <c r="J141" s="9" t="b">
        <f aca="false">FALSE()</f>
        <v>0</v>
      </c>
      <c r="K141" s="3" t="n">
        <v>4</v>
      </c>
      <c r="L141" s="3" t="n">
        <v>4</v>
      </c>
      <c r="M141" s="3" t="n">
        <v>814</v>
      </c>
      <c r="N141" s="3" t="n">
        <v>2.4</v>
      </c>
      <c r="O141" s="3" t="n">
        <v>164</v>
      </c>
    </row>
    <row r="142" customFormat="false" ht="15" hidden="false" customHeight="false" outlineLevel="0" collapsed="false">
      <c r="A142" s="3" t="s">
        <v>3</v>
      </c>
      <c r="B142" s="3" t="s">
        <v>243</v>
      </c>
      <c r="C142" s="3" t="s">
        <v>470</v>
      </c>
      <c r="D142" s="3" t="s">
        <v>702</v>
      </c>
      <c r="E142" s="3" t="s">
        <v>781</v>
      </c>
      <c r="F142" s="3" t="s">
        <v>643</v>
      </c>
      <c r="G142" s="3" t="s">
        <v>647</v>
      </c>
      <c r="H142" s="3" t="n">
        <v>100</v>
      </c>
      <c r="I142" s="3" t="n">
        <v>1</v>
      </c>
      <c r="J142" s="9" t="b">
        <f aca="false">FALSE()</f>
        <v>0</v>
      </c>
      <c r="K142" s="3" t="n">
        <v>8</v>
      </c>
      <c r="L142" s="3" t="n">
        <v>8</v>
      </c>
      <c r="M142" s="3" t="n">
        <v>430</v>
      </c>
      <c r="N142" s="3" t="n">
        <v>3.2</v>
      </c>
      <c r="O142" s="3" t="n">
        <v>136</v>
      </c>
    </row>
    <row r="143" customFormat="false" ht="15" hidden="false" customHeight="false" outlineLevel="0" collapsed="false">
      <c r="A143" s="3" t="s">
        <v>3</v>
      </c>
      <c r="B143" s="3" t="s">
        <v>248</v>
      </c>
      <c r="C143" s="3" t="s">
        <v>471</v>
      </c>
      <c r="D143" s="3" t="s">
        <v>824</v>
      </c>
      <c r="E143" s="3" t="s">
        <v>820</v>
      </c>
      <c r="F143" s="3" t="s">
        <v>656</v>
      </c>
      <c r="G143" s="3" t="s">
        <v>647</v>
      </c>
      <c r="H143" s="3" t="n">
        <v>40000</v>
      </c>
      <c r="I143" s="3" t="n">
        <v>11</v>
      </c>
      <c r="J143" s="9" t="b">
        <f aca="false">TRUE()</f>
        <v>1</v>
      </c>
      <c r="K143" s="3" t="n">
        <v>4</v>
      </c>
      <c r="L143" s="3" t="n">
        <v>74</v>
      </c>
      <c r="M143" s="3" t="n">
        <v>654</v>
      </c>
      <c r="N143" s="3" t="n">
        <v>3.3</v>
      </c>
      <c r="O143" s="3" t="n">
        <v>216</v>
      </c>
    </row>
    <row r="144" customFormat="false" ht="15" hidden="false" customHeight="false" outlineLevel="0" collapsed="false">
      <c r="A144" s="3" t="s">
        <v>3</v>
      </c>
      <c r="B144" s="3" t="s">
        <v>251</v>
      </c>
      <c r="C144" s="3" t="s">
        <v>472</v>
      </c>
      <c r="D144" s="3" t="s">
        <v>825</v>
      </c>
      <c r="E144" s="3" t="s">
        <v>826</v>
      </c>
      <c r="F144" s="3" t="s">
        <v>646</v>
      </c>
      <c r="G144" s="3" t="s">
        <v>647</v>
      </c>
      <c r="H144" s="3" t="n">
        <v>600</v>
      </c>
      <c r="I144" s="3" t="n">
        <v>1</v>
      </c>
      <c r="J144" s="9" t="b">
        <f aca="false">FALSE()</f>
        <v>0</v>
      </c>
      <c r="K144" s="3" t="n">
        <v>3</v>
      </c>
      <c r="L144" s="3" t="n">
        <v>3</v>
      </c>
      <c r="M144" s="3" t="n">
        <v>814</v>
      </c>
      <c r="N144" s="3" t="n">
        <v>2.4</v>
      </c>
      <c r="O144" s="3" t="n">
        <v>174</v>
      </c>
    </row>
    <row r="145" customFormat="false" ht="15" hidden="false" customHeight="false" outlineLevel="0" collapsed="false">
      <c r="A145" s="3" t="s">
        <v>3</v>
      </c>
      <c r="B145" s="3" t="s">
        <v>264</v>
      </c>
      <c r="C145" s="3" t="s">
        <v>449</v>
      </c>
      <c r="D145" s="3" t="s">
        <v>799</v>
      </c>
      <c r="E145" s="3" t="s">
        <v>800</v>
      </c>
      <c r="F145" s="3" t="s">
        <v>656</v>
      </c>
      <c r="G145" s="3" t="s">
        <v>647</v>
      </c>
      <c r="H145" s="3" t="n">
        <v>1200</v>
      </c>
      <c r="I145" s="3" t="n">
        <v>1</v>
      </c>
      <c r="J145" s="9" t="b">
        <f aca="false">FALSE()</f>
        <v>0</v>
      </c>
      <c r="K145" s="3" t="n">
        <v>6</v>
      </c>
      <c r="L145" s="3" t="n">
        <v>6</v>
      </c>
      <c r="M145" s="3" t="n">
        <v>654</v>
      </c>
      <c r="N145" s="3" t="n">
        <v>3.3</v>
      </c>
      <c r="O145" s="3" t="n">
        <v>244</v>
      </c>
    </row>
    <row r="146" customFormat="false" ht="15" hidden="false" customHeight="false" outlineLevel="0" collapsed="false">
      <c r="A146" s="3" t="s">
        <v>3</v>
      </c>
      <c r="B146" s="3" t="s">
        <v>266</v>
      </c>
      <c r="C146" s="3" t="s">
        <v>473</v>
      </c>
      <c r="D146" s="3" t="s">
        <v>827</v>
      </c>
      <c r="E146" s="3" t="s">
        <v>740</v>
      </c>
      <c r="F146" s="3" t="s">
        <v>639</v>
      </c>
      <c r="G146" s="3" t="s">
        <v>647</v>
      </c>
      <c r="H146" s="3" t="n">
        <v>1300</v>
      </c>
      <c r="I146" s="3" t="n">
        <v>1</v>
      </c>
      <c r="J146" s="9" t="b">
        <f aca="false">FALSE()</f>
        <v>0</v>
      </c>
      <c r="K146" s="3" t="n">
        <v>6</v>
      </c>
      <c r="L146" s="3" t="n">
        <v>6</v>
      </c>
      <c r="M146" s="3" t="n">
        <v>394</v>
      </c>
      <c r="N146" s="3" t="n">
        <v>3.2</v>
      </c>
      <c r="O146" s="3" t="n">
        <v>124</v>
      </c>
    </row>
    <row r="147" customFormat="false" ht="15" hidden="false" customHeight="false" outlineLevel="0" collapsed="false">
      <c r="A147" s="3" t="s">
        <v>3</v>
      </c>
      <c r="B147" s="3" t="s">
        <v>270</v>
      </c>
      <c r="C147" s="3" t="s">
        <v>474</v>
      </c>
      <c r="D147" s="3" t="s">
        <v>828</v>
      </c>
      <c r="E147" s="3" t="s">
        <v>829</v>
      </c>
      <c r="F147" s="3" t="s">
        <v>646</v>
      </c>
      <c r="G147" s="3" t="s">
        <v>647</v>
      </c>
      <c r="H147" s="3" t="n">
        <v>1500</v>
      </c>
      <c r="I147" s="3" t="n">
        <v>1</v>
      </c>
      <c r="J147" s="9" t="b">
        <f aca="false">FALSE()</f>
        <v>0</v>
      </c>
      <c r="K147" s="3" t="n">
        <v>4</v>
      </c>
      <c r="L147" s="3" t="n">
        <v>4</v>
      </c>
      <c r="M147" s="3" t="n">
        <v>726</v>
      </c>
      <c r="N147" s="3" t="n">
        <v>3.3</v>
      </c>
      <c r="O147" s="3" t="n">
        <v>216</v>
      </c>
    </row>
    <row r="148" customFormat="false" ht="15" hidden="false" customHeight="false" outlineLevel="0" collapsed="false">
      <c r="A148" s="3" t="s">
        <v>3</v>
      </c>
      <c r="B148" s="3" t="s">
        <v>273</v>
      </c>
      <c r="C148" s="3" t="s">
        <v>475</v>
      </c>
      <c r="D148" s="3" t="s">
        <v>645</v>
      </c>
      <c r="E148" s="3" t="s">
        <v>830</v>
      </c>
      <c r="F148" s="3" t="s">
        <v>639</v>
      </c>
      <c r="G148" s="3" t="s">
        <v>647</v>
      </c>
      <c r="H148" s="3" t="n">
        <v>16000</v>
      </c>
      <c r="I148" s="3" t="n">
        <v>4</v>
      </c>
      <c r="J148" s="9" t="b">
        <f aca="false">TRUE()</f>
        <v>1</v>
      </c>
      <c r="K148" s="3" t="n">
        <v>6</v>
      </c>
      <c r="L148" s="3" t="n">
        <v>27</v>
      </c>
      <c r="M148" s="3" t="n">
        <v>430</v>
      </c>
      <c r="N148" s="3" t="n">
        <v>3.2</v>
      </c>
      <c r="O148" s="3" t="n">
        <v>124</v>
      </c>
    </row>
    <row r="149" customFormat="false" ht="15" hidden="false" customHeight="false" outlineLevel="0" collapsed="false">
      <c r="A149" s="3" t="s">
        <v>3</v>
      </c>
      <c r="B149" s="3" t="s">
        <v>276</v>
      </c>
      <c r="C149" s="3" t="s">
        <v>476</v>
      </c>
      <c r="D149" s="3" t="s">
        <v>831</v>
      </c>
      <c r="E149" s="3" t="s">
        <v>832</v>
      </c>
      <c r="F149" s="3" t="s">
        <v>639</v>
      </c>
      <c r="G149" s="3" t="s">
        <v>647</v>
      </c>
      <c r="H149" s="3" t="n">
        <v>1700</v>
      </c>
      <c r="I149" s="3" t="n">
        <v>1</v>
      </c>
      <c r="J149" s="9" t="b">
        <f aca="false">FALSE()</f>
        <v>0</v>
      </c>
      <c r="K149" s="3" t="n">
        <v>4</v>
      </c>
      <c r="L149" s="3" t="n">
        <v>4</v>
      </c>
      <c r="M149" s="3" t="n">
        <v>814</v>
      </c>
      <c r="N149" s="3" t="n">
        <v>2.4</v>
      </c>
      <c r="O149" s="3" t="n">
        <v>180</v>
      </c>
    </row>
    <row r="150" customFormat="false" ht="15" hidden="false" customHeight="false" outlineLevel="0" collapsed="false">
      <c r="A150" s="3" t="s">
        <v>3</v>
      </c>
      <c r="B150" s="3" t="s">
        <v>279</v>
      </c>
      <c r="C150" s="3" t="s">
        <v>477</v>
      </c>
      <c r="D150" s="3" t="s">
        <v>833</v>
      </c>
      <c r="E150" s="3" t="s">
        <v>780</v>
      </c>
      <c r="F150" s="3" t="s">
        <v>656</v>
      </c>
      <c r="G150" s="3" t="s">
        <v>647</v>
      </c>
      <c r="H150" s="3" t="n">
        <v>200</v>
      </c>
      <c r="I150" s="3" t="n">
        <v>1</v>
      </c>
      <c r="J150" s="9" t="b">
        <f aca="false">FALSE()</f>
        <v>0</v>
      </c>
      <c r="K150" s="3" t="n">
        <v>3</v>
      </c>
      <c r="L150" s="3" t="n">
        <v>3</v>
      </c>
      <c r="M150" s="3" t="n">
        <v>814</v>
      </c>
      <c r="N150" s="3" t="n">
        <v>2.4</v>
      </c>
      <c r="O150" s="3" t="n">
        <v>174</v>
      </c>
    </row>
    <row r="151" customFormat="false" ht="15" hidden="false" customHeight="false" outlineLevel="0" collapsed="false">
      <c r="A151" s="3" t="s">
        <v>3</v>
      </c>
      <c r="B151" s="3" t="s">
        <v>282</v>
      </c>
      <c r="C151" s="3" t="s">
        <v>478</v>
      </c>
      <c r="D151" s="3" t="s">
        <v>747</v>
      </c>
      <c r="E151" s="3" t="s">
        <v>834</v>
      </c>
      <c r="F151" s="3" t="s">
        <v>643</v>
      </c>
      <c r="G151" s="3" t="s">
        <v>647</v>
      </c>
      <c r="H151" s="3" t="n">
        <v>90000</v>
      </c>
      <c r="I151" s="3" t="n">
        <v>12</v>
      </c>
      <c r="J151" s="9" t="b">
        <f aca="false">TRUE()</f>
        <v>1</v>
      </c>
      <c r="K151" s="3" t="n">
        <v>8</v>
      </c>
      <c r="L151" s="3" t="n">
        <v>85</v>
      </c>
      <c r="M151" s="3" t="n">
        <v>466</v>
      </c>
      <c r="N151" s="3" t="n">
        <v>3.2</v>
      </c>
      <c r="O151" s="3" t="n">
        <v>152</v>
      </c>
    </row>
    <row r="152" customFormat="false" ht="15" hidden="false" customHeight="false" outlineLevel="0" collapsed="false">
      <c r="A152" s="3" t="s">
        <v>3</v>
      </c>
      <c r="B152" s="3" t="s">
        <v>285</v>
      </c>
      <c r="C152" s="3" t="s">
        <v>479</v>
      </c>
      <c r="D152" s="3" t="s">
        <v>835</v>
      </c>
      <c r="E152" s="3" t="s">
        <v>836</v>
      </c>
      <c r="F152" s="3" t="s">
        <v>643</v>
      </c>
      <c r="G152" s="3" t="s">
        <v>647</v>
      </c>
      <c r="H152" s="3" t="n">
        <v>400</v>
      </c>
      <c r="I152" s="3" t="n">
        <v>1</v>
      </c>
      <c r="J152" s="9" t="b">
        <f aca="false">FALSE()</f>
        <v>0</v>
      </c>
      <c r="K152" s="3" t="n">
        <v>12</v>
      </c>
      <c r="L152" s="3" t="n">
        <v>12</v>
      </c>
      <c r="M152" s="3" t="n">
        <v>350</v>
      </c>
      <c r="N152" s="3" t="n">
        <v>4.7</v>
      </c>
      <c r="O152" s="3" t="n">
        <v>147</v>
      </c>
    </row>
    <row r="153" customFormat="false" ht="15" hidden="false" customHeight="false" outlineLevel="0" collapsed="false">
      <c r="A153" s="3" t="s">
        <v>3</v>
      </c>
      <c r="B153" s="3" t="s">
        <v>288</v>
      </c>
      <c r="C153" s="3" t="s">
        <v>480</v>
      </c>
      <c r="D153" s="3" t="s">
        <v>837</v>
      </c>
      <c r="E153" s="3" t="s">
        <v>838</v>
      </c>
      <c r="F153" s="3" t="s">
        <v>639</v>
      </c>
      <c r="G153" s="3" t="s">
        <v>647</v>
      </c>
      <c r="H153" s="3" t="n">
        <v>1100</v>
      </c>
      <c r="I153" s="3" t="n">
        <v>1</v>
      </c>
      <c r="J153" s="9" t="b">
        <f aca="false">FALSE()</f>
        <v>0</v>
      </c>
      <c r="K153" s="3" t="n">
        <v>4</v>
      </c>
      <c r="L153" s="3" t="n">
        <v>4</v>
      </c>
      <c r="M153" s="3" t="n">
        <v>690</v>
      </c>
      <c r="N153" s="3" t="n">
        <v>3.3</v>
      </c>
      <c r="O153" s="3" t="n">
        <v>216</v>
      </c>
    </row>
    <row r="154" customFormat="false" ht="15" hidden="false" customHeight="false" outlineLevel="0" collapsed="false">
      <c r="A154" s="3" t="s">
        <v>3</v>
      </c>
      <c r="B154" s="3" t="s">
        <v>295</v>
      </c>
      <c r="C154" s="3" t="s">
        <v>481</v>
      </c>
      <c r="D154" s="3" t="s">
        <v>839</v>
      </c>
      <c r="E154" s="3" t="s">
        <v>786</v>
      </c>
      <c r="F154" s="3" t="s">
        <v>656</v>
      </c>
      <c r="G154" s="3" t="s">
        <v>647</v>
      </c>
      <c r="H154" s="3" t="n">
        <v>1400</v>
      </c>
      <c r="I154" s="3" t="n">
        <v>1</v>
      </c>
      <c r="J154" s="9" t="b">
        <f aca="false">FALSE()</f>
        <v>0</v>
      </c>
      <c r="K154" s="3" t="n">
        <v>6</v>
      </c>
      <c r="L154" s="3" t="n">
        <v>6</v>
      </c>
      <c r="M154" s="3" t="n">
        <v>654</v>
      </c>
      <c r="N154" s="3" t="n">
        <v>3.3</v>
      </c>
      <c r="O154" s="3" t="n">
        <v>228</v>
      </c>
    </row>
    <row r="155" customFormat="false" ht="15" hidden="false" customHeight="false" outlineLevel="0" collapsed="false">
      <c r="A155" s="3" t="s">
        <v>3</v>
      </c>
      <c r="B155" s="3" t="s">
        <v>298</v>
      </c>
      <c r="C155" s="3" t="s">
        <v>482</v>
      </c>
      <c r="D155" s="3" t="s">
        <v>840</v>
      </c>
      <c r="E155" s="3" t="s">
        <v>841</v>
      </c>
      <c r="F155" s="3" t="s">
        <v>639</v>
      </c>
      <c r="G155" s="3" t="s">
        <v>647</v>
      </c>
      <c r="H155" s="3" t="n">
        <v>1800</v>
      </c>
      <c r="I155" s="3" t="n">
        <v>1</v>
      </c>
      <c r="J155" s="9" t="b">
        <f aca="false">FALSE()</f>
        <v>0</v>
      </c>
      <c r="K155" s="3" t="n">
        <v>6</v>
      </c>
      <c r="L155" s="3" t="n">
        <v>6</v>
      </c>
      <c r="M155" s="3" t="n">
        <v>466</v>
      </c>
      <c r="N155" s="3" t="n">
        <v>3.2</v>
      </c>
      <c r="O155" s="3" t="n">
        <v>140</v>
      </c>
    </row>
    <row r="156" customFormat="false" ht="15" hidden="false" customHeight="false" outlineLevel="0" collapsed="false">
      <c r="A156" s="3" t="s">
        <v>3</v>
      </c>
      <c r="B156" s="3" t="s">
        <v>301</v>
      </c>
      <c r="C156" s="3" t="s">
        <v>483</v>
      </c>
      <c r="D156" s="3" t="s">
        <v>842</v>
      </c>
      <c r="E156" s="3" t="s">
        <v>843</v>
      </c>
      <c r="F156" s="3" t="s">
        <v>639</v>
      </c>
      <c r="G156" s="3" t="s">
        <v>647</v>
      </c>
      <c r="H156" s="3" t="n">
        <v>100</v>
      </c>
      <c r="I156" s="3" t="n">
        <v>1</v>
      </c>
      <c r="J156" s="9" t="b">
        <f aca="false">FALSE()</f>
        <v>0</v>
      </c>
      <c r="K156" s="3" t="n">
        <v>4</v>
      </c>
      <c r="L156" s="3" t="n">
        <v>4</v>
      </c>
      <c r="M156" s="3" t="n">
        <v>886</v>
      </c>
      <c r="N156" s="3" t="n">
        <v>2.4</v>
      </c>
      <c r="O156" s="3" t="n">
        <v>164</v>
      </c>
    </row>
    <row r="157" customFormat="false" ht="15" hidden="false" customHeight="false" outlineLevel="0" collapsed="false">
      <c r="A157" s="3" t="s">
        <v>3</v>
      </c>
      <c r="B157" s="3" t="s">
        <v>304</v>
      </c>
      <c r="C157" s="3" t="s">
        <v>484</v>
      </c>
      <c r="D157" s="3" t="s">
        <v>844</v>
      </c>
      <c r="E157" s="3" t="s">
        <v>702</v>
      </c>
      <c r="F157" s="3" t="s">
        <v>643</v>
      </c>
      <c r="G157" s="3" t="s">
        <v>647</v>
      </c>
      <c r="H157" s="3" t="n">
        <v>500</v>
      </c>
      <c r="I157" s="3" t="n">
        <v>1</v>
      </c>
      <c r="J157" s="9" t="b">
        <f aca="false">FALSE()</f>
        <v>0</v>
      </c>
      <c r="K157" s="3" t="n">
        <v>8</v>
      </c>
      <c r="L157" s="3" t="n">
        <v>8</v>
      </c>
      <c r="M157" s="3" t="n">
        <v>394</v>
      </c>
      <c r="N157" s="3" t="n">
        <v>3.2</v>
      </c>
      <c r="O157" s="3" t="n">
        <v>136</v>
      </c>
    </row>
    <row r="158" customFormat="false" ht="15" hidden="false" customHeight="false" outlineLevel="0" collapsed="false">
      <c r="A158" s="3" t="s">
        <v>3</v>
      </c>
      <c r="B158" s="3" t="s">
        <v>307</v>
      </c>
      <c r="C158" s="3" t="s">
        <v>485</v>
      </c>
      <c r="D158" s="3" t="s">
        <v>808</v>
      </c>
      <c r="E158" s="3" t="s">
        <v>809</v>
      </c>
      <c r="F158" s="3" t="s">
        <v>656</v>
      </c>
      <c r="G158" s="3" t="s">
        <v>647</v>
      </c>
      <c r="H158" s="3" t="n">
        <v>800</v>
      </c>
      <c r="I158" s="3" t="n">
        <v>1</v>
      </c>
      <c r="J158" s="9" t="b">
        <f aca="false">FALSE()</f>
        <v>0</v>
      </c>
      <c r="K158" s="3" t="n">
        <v>4</v>
      </c>
      <c r="L158" s="3" t="n">
        <v>4</v>
      </c>
      <c r="M158" s="3" t="n">
        <v>726</v>
      </c>
      <c r="N158" s="3" t="n">
        <v>3.3</v>
      </c>
      <c r="O158" s="3" t="n">
        <v>216</v>
      </c>
    </row>
    <row r="159" customFormat="false" ht="15" hidden="false" customHeight="false" outlineLevel="0" collapsed="false">
      <c r="A159" s="3" t="s">
        <v>3</v>
      </c>
      <c r="B159" s="3" t="s">
        <v>314</v>
      </c>
      <c r="C159" s="3" t="s">
        <v>446</v>
      </c>
      <c r="D159" s="3" t="s">
        <v>794</v>
      </c>
      <c r="E159" s="3" t="s">
        <v>666</v>
      </c>
      <c r="F159" s="3" t="s">
        <v>646</v>
      </c>
      <c r="G159" s="3" t="s">
        <v>647</v>
      </c>
      <c r="H159" s="3" t="n">
        <v>1000</v>
      </c>
      <c r="I159" s="3" t="n">
        <v>1</v>
      </c>
      <c r="J159" s="9" t="b">
        <f aca="false">FALSE()</f>
        <v>0</v>
      </c>
      <c r="K159" s="3" t="n">
        <v>3</v>
      </c>
      <c r="L159" s="3" t="n">
        <v>3</v>
      </c>
      <c r="M159" s="3" t="n">
        <v>814</v>
      </c>
      <c r="N159" s="3" t="n">
        <v>2.4</v>
      </c>
      <c r="O159" s="3" t="n">
        <v>174</v>
      </c>
    </row>
    <row r="160" customFormat="false" ht="15" hidden="false" customHeight="false" outlineLevel="0" collapsed="false">
      <c r="A160" s="3" t="s">
        <v>3</v>
      </c>
      <c r="B160" s="3" t="s">
        <v>316</v>
      </c>
      <c r="C160" s="3" t="s">
        <v>486</v>
      </c>
      <c r="D160" s="3" t="s">
        <v>845</v>
      </c>
      <c r="E160" s="3" t="s">
        <v>765</v>
      </c>
      <c r="F160" s="3" t="s">
        <v>643</v>
      </c>
      <c r="G160" s="3" t="s">
        <v>647</v>
      </c>
      <c r="H160" s="3" t="n">
        <v>1800</v>
      </c>
      <c r="I160" s="3" t="n">
        <v>1</v>
      </c>
      <c r="J160" s="9" t="b">
        <f aca="false">FALSE()</f>
        <v>0</v>
      </c>
      <c r="K160" s="3" t="n">
        <v>11</v>
      </c>
      <c r="L160" s="3" t="n">
        <v>11</v>
      </c>
      <c r="M160" s="3" t="n">
        <v>314</v>
      </c>
      <c r="N160" s="3" t="n">
        <v>4.7</v>
      </c>
      <c r="O160" s="3" t="n">
        <v>125</v>
      </c>
    </row>
    <row r="161" customFormat="false" ht="15" hidden="false" customHeight="false" outlineLevel="0" collapsed="false">
      <c r="A161" s="3" t="s">
        <v>3</v>
      </c>
      <c r="B161" s="3" t="s">
        <v>319</v>
      </c>
      <c r="C161" s="3" t="s">
        <v>476</v>
      </c>
      <c r="D161" s="3" t="s">
        <v>831</v>
      </c>
      <c r="E161" s="3" t="s">
        <v>832</v>
      </c>
      <c r="F161" s="3" t="s">
        <v>639</v>
      </c>
      <c r="G161" s="3" t="s">
        <v>647</v>
      </c>
      <c r="H161" s="3" t="n">
        <v>300</v>
      </c>
      <c r="I161" s="3" t="n">
        <v>1</v>
      </c>
      <c r="J161" s="9" t="b">
        <f aca="false">FALSE()</f>
        <v>0</v>
      </c>
      <c r="K161" s="3" t="n">
        <v>4</v>
      </c>
      <c r="L161" s="3" t="n">
        <v>4</v>
      </c>
      <c r="M161" s="3" t="n">
        <v>814</v>
      </c>
      <c r="N161" s="3" t="n">
        <v>2.4</v>
      </c>
      <c r="O161" s="3" t="n">
        <v>180</v>
      </c>
    </row>
    <row r="162" customFormat="false" ht="15" hidden="false" customHeight="false" outlineLevel="0" collapsed="false">
      <c r="A162" s="3" t="s">
        <v>3</v>
      </c>
      <c r="B162" s="3" t="s">
        <v>488</v>
      </c>
      <c r="C162" s="3" t="s">
        <v>489</v>
      </c>
      <c r="D162" s="3" t="s">
        <v>774</v>
      </c>
      <c r="E162" s="3" t="s">
        <v>846</v>
      </c>
      <c r="F162" s="3" t="s">
        <v>643</v>
      </c>
      <c r="G162" s="3" t="s">
        <v>647</v>
      </c>
      <c r="H162" s="3" t="n">
        <v>400</v>
      </c>
      <c r="I162" s="3" t="n">
        <v>1</v>
      </c>
      <c r="J162" s="9" t="b">
        <f aca="false">FALSE()</f>
        <v>0</v>
      </c>
      <c r="K162" s="3" t="n">
        <v>5</v>
      </c>
      <c r="L162" s="3" t="n">
        <v>5</v>
      </c>
      <c r="M162" s="3" t="n">
        <v>726</v>
      </c>
      <c r="N162" s="3" t="n">
        <v>3.3</v>
      </c>
      <c r="O162" s="3" t="n">
        <v>222</v>
      </c>
    </row>
    <row r="163" customFormat="false" ht="15" hidden="false" customHeight="false" outlineLevel="0" collapsed="false">
      <c r="A163" s="3" t="s">
        <v>3</v>
      </c>
      <c r="B163" s="3" t="s">
        <v>321</v>
      </c>
      <c r="C163" s="3" t="s">
        <v>490</v>
      </c>
      <c r="D163" s="3" t="s">
        <v>847</v>
      </c>
      <c r="E163" s="3" t="s">
        <v>826</v>
      </c>
      <c r="F163" s="3" t="s">
        <v>656</v>
      </c>
      <c r="G163" s="3" t="s">
        <v>647</v>
      </c>
      <c r="H163" s="3" t="n">
        <v>600</v>
      </c>
      <c r="I163" s="3" t="n">
        <v>1</v>
      </c>
      <c r="J163" s="9" t="b">
        <f aca="false">FALSE()</f>
        <v>0</v>
      </c>
      <c r="K163" s="3" t="n">
        <v>3</v>
      </c>
      <c r="L163" s="3" t="n">
        <v>3</v>
      </c>
      <c r="M163" s="3" t="n">
        <v>850</v>
      </c>
      <c r="N163" s="3" t="n">
        <v>2.4</v>
      </c>
      <c r="O163" s="3" t="n">
        <v>174</v>
      </c>
    </row>
    <row r="164" customFormat="false" ht="15" hidden="false" customHeight="false" outlineLevel="0" collapsed="false">
      <c r="A164" s="3" t="s">
        <v>3</v>
      </c>
      <c r="B164" s="3" t="s">
        <v>324</v>
      </c>
      <c r="C164" s="3" t="s">
        <v>491</v>
      </c>
      <c r="D164" s="3" t="s">
        <v>848</v>
      </c>
      <c r="E164" s="3" t="s">
        <v>849</v>
      </c>
      <c r="F164" s="3" t="s">
        <v>643</v>
      </c>
      <c r="G164" s="3" t="s">
        <v>647</v>
      </c>
      <c r="H164" s="3" t="n">
        <v>800</v>
      </c>
      <c r="I164" s="3" t="n">
        <v>1</v>
      </c>
      <c r="J164" s="9" t="b">
        <f aca="false">FALSE()</f>
        <v>0</v>
      </c>
      <c r="K164" s="3" t="n">
        <v>12</v>
      </c>
      <c r="L164" s="3" t="n">
        <v>12</v>
      </c>
      <c r="M164" s="3" t="n">
        <v>314</v>
      </c>
      <c r="N164" s="3" t="n">
        <v>4.7</v>
      </c>
      <c r="O164" s="3" t="n">
        <v>147</v>
      </c>
    </row>
    <row r="165" customFormat="false" ht="15" hidden="false" customHeight="false" outlineLevel="0" collapsed="false">
      <c r="A165" s="3" t="s">
        <v>3</v>
      </c>
      <c r="B165" s="3" t="s">
        <v>331</v>
      </c>
      <c r="C165" s="3" t="s">
        <v>492</v>
      </c>
      <c r="D165" s="3" t="s">
        <v>850</v>
      </c>
      <c r="E165" s="3" t="s">
        <v>847</v>
      </c>
      <c r="F165" s="3" t="s">
        <v>646</v>
      </c>
      <c r="G165" s="3" t="s">
        <v>647</v>
      </c>
      <c r="H165" s="3" t="n">
        <v>1200</v>
      </c>
      <c r="I165" s="3" t="n">
        <v>1</v>
      </c>
      <c r="J165" s="9" t="b">
        <f aca="false">FALSE()</f>
        <v>0</v>
      </c>
      <c r="K165" s="3" t="n">
        <v>3</v>
      </c>
      <c r="L165" s="3" t="n">
        <v>3</v>
      </c>
      <c r="M165" s="3" t="n">
        <v>886</v>
      </c>
      <c r="N165" s="3" t="n">
        <v>2.4</v>
      </c>
      <c r="O165" s="3" t="n">
        <v>158</v>
      </c>
    </row>
    <row r="166" customFormat="false" ht="15" hidden="false" customHeight="false" outlineLevel="0" collapsed="false">
      <c r="A166" s="3" t="s">
        <v>3</v>
      </c>
      <c r="B166" s="3" t="s">
        <v>335</v>
      </c>
      <c r="C166" s="3" t="s">
        <v>435</v>
      </c>
      <c r="D166" s="3" t="s">
        <v>778</v>
      </c>
      <c r="E166" s="3" t="s">
        <v>779</v>
      </c>
      <c r="F166" s="3" t="s">
        <v>656</v>
      </c>
      <c r="G166" s="3" t="s">
        <v>647</v>
      </c>
      <c r="H166" s="3" t="n">
        <v>1400</v>
      </c>
      <c r="I166" s="3" t="n">
        <v>1</v>
      </c>
      <c r="J166" s="9" t="b">
        <f aca="false">FALSE()</f>
        <v>0</v>
      </c>
      <c r="K166" s="3" t="n">
        <v>12</v>
      </c>
      <c r="L166" s="3" t="n">
        <v>12</v>
      </c>
      <c r="M166" s="3" t="n">
        <v>386</v>
      </c>
      <c r="N166" s="3" t="n">
        <v>4.7</v>
      </c>
      <c r="O166" s="3" t="n">
        <v>131</v>
      </c>
    </row>
    <row r="167" customFormat="false" ht="15" hidden="false" customHeight="false" outlineLevel="0" collapsed="false">
      <c r="A167" s="3" t="s">
        <v>3</v>
      </c>
      <c r="B167" s="3" t="s">
        <v>341</v>
      </c>
      <c r="C167" s="3" t="s">
        <v>493</v>
      </c>
      <c r="D167" s="3" t="s">
        <v>851</v>
      </c>
      <c r="E167" s="3" t="s">
        <v>852</v>
      </c>
      <c r="F167" s="3" t="s">
        <v>656</v>
      </c>
      <c r="G167" s="3" t="s">
        <v>647</v>
      </c>
      <c r="H167" s="3" t="n">
        <v>54000</v>
      </c>
      <c r="I167" s="3" t="n">
        <v>9</v>
      </c>
      <c r="J167" s="9" t="b">
        <f aca="false">TRUE()</f>
        <v>1</v>
      </c>
      <c r="K167" s="3" t="n">
        <v>6</v>
      </c>
      <c r="L167" s="3" t="n">
        <v>62</v>
      </c>
      <c r="M167" s="3" t="n">
        <v>690</v>
      </c>
      <c r="N167" s="3" t="n">
        <v>3.3</v>
      </c>
      <c r="O167" s="3" t="n">
        <v>228</v>
      </c>
    </row>
    <row r="168" customFormat="false" ht="15" hidden="false" customHeight="false" outlineLevel="0" collapsed="false">
      <c r="A168" s="3" t="s">
        <v>3</v>
      </c>
      <c r="B168" s="3" t="s">
        <v>344</v>
      </c>
      <c r="C168" s="3" t="s">
        <v>458</v>
      </c>
      <c r="D168" s="3" t="s">
        <v>784</v>
      </c>
      <c r="E168" s="3" t="s">
        <v>810</v>
      </c>
      <c r="F168" s="3" t="s">
        <v>646</v>
      </c>
      <c r="G168" s="3" t="s">
        <v>647</v>
      </c>
      <c r="H168" s="3" t="n">
        <v>1500</v>
      </c>
      <c r="I168" s="3" t="n">
        <v>1</v>
      </c>
      <c r="J168" s="9" t="b">
        <f aca="false">FALSE()</f>
        <v>0</v>
      </c>
      <c r="K168" s="3" t="n">
        <v>4</v>
      </c>
      <c r="L168" s="3" t="n">
        <v>4</v>
      </c>
      <c r="M168" s="3" t="n">
        <v>654</v>
      </c>
      <c r="N168" s="3" t="n">
        <v>3.3</v>
      </c>
      <c r="O168" s="3" t="n">
        <v>232</v>
      </c>
    </row>
    <row r="169" customFormat="false" ht="15" hidden="false" customHeight="false" outlineLevel="0" collapsed="false">
      <c r="A169" s="3" t="s">
        <v>3</v>
      </c>
      <c r="B169" s="3" t="s">
        <v>346</v>
      </c>
      <c r="C169" s="3" t="s">
        <v>468</v>
      </c>
      <c r="D169" s="3" t="s">
        <v>791</v>
      </c>
      <c r="E169" s="3" t="s">
        <v>644</v>
      </c>
      <c r="F169" s="3" t="s">
        <v>639</v>
      </c>
      <c r="G169" s="3" t="s">
        <v>647</v>
      </c>
      <c r="H169" s="3" t="n">
        <v>400</v>
      </c>
      <c r="I169" s="3" t="n">
        <v>1</v>
      </c>
      <c r="J169" s="9" t="b">
        <f aca="false">FALSE()</f>
        <v>0</v>
      </c>
      <c r="K169" s="3" t="n">
        <v>6</v>
      </c>
      <c r="L169" s="3" t="n">
        <v>6</v>
      </c>
      <c r="M169" s="3" t="n">
        <v>394</v>
      </c>
      <c r="N169" s="3" t="n">
        <v>3.2</v>
      </c>
      <c r="O169" s="3" t="n">
        <v>140</v>
      </c>
    </row>
    <row r="170" customFormat="false" ht="15" hidden="false" customHeight="false" outlineLevel="0" collapsed="false">
      <c r="A170" s="3" t="s">
        <v>3</v>
      </c>
      <c r="B170" s="3" t="s">
        <v>348</v>
      </c>
      <c r="C170" s="3" t="s">
        <v>494</v>
      </c>
      <c r="D170" s="3" t="s">
        <v>772</v>
      </c>
      <c r="E170" s="3" t="s">
        <v>773</v>
      </c>
      <c r="F170" s="3" t="s">
        <v>639</v>
      </c>
      <c r="G170" s="3" t="s">
        <v>647</v>
      </c>
      <c r="H170" s="3" t="n">
        <v>2500</v>
      </c>
      <c r="I170" s="3" t="n">
        <v>1</v>
      </c>
      <c r="J170" s="9" t="b">
        <f aca="false">FALSE()</f>
        <v>0</v>
      </c>
      <c r="K170" s="3" t="n">
        <v>4</v>
      </c>
      <c r="L170" s="3" t="n">
        <v>4</v>
      </c>
      <c r="M170" s="3" t="n">
        <v>850</v>
      </c>
      <c r="N170" s="3" t="n">
        <v>2.4</v>
      </c>
      <c r="O170" s="3" t="n">
        <v>164</v>
      </c>
    </row>
    <row r="171" customFormat="false" ht="15" hidden="false" customHeight="false" outlineLevel="0" collapsed="false">
      <c r="A171" s="3" t="s">
        <v>3</v>
      </c>
      <c r="B171" s="3" t="s">
        <v>351</v>
      </c>
      <c r="C171" s="3" t="s">
        <v>484</v>
      </c>
      <c r="D171" s="3" t="s">
        <v>844</v>
      </c>
      <c r="E171" s="3" t="s">
        <v>702</v>
      </c>
      <c r="F171" s="3" t="s">
        <v>643</v>
      </c>
      <c r="G171" s="3" t="s">
        <v>647</v>
      </c>
      <c r="H171" s="3" t="n">
        <v>900</v>
      </c>
      <c r="I171" s="3" t="n">
        <v>1</v>
      </c>
      <c r="J171" s="9" t="b">
        <f aca="false">FALSE()</f>
        <v>0</v>
      </c>
      <c r="K171" s="3" t="n">
        <v>8</v>
      </c>
      <c r="L171" s="3" t="n">
        <v>8</v>
      </c>
      <c r="M171" s="3" t="n">
        <v>394</v>
      </c>
      <c r="N171" s="3" t="n">
        <v>3.2</v>
      </c>
      <c r="O171" s="3" t="n">
        <v>136</v>
      </c>
    </row>
    <row r="172" customFormat="false" ht="15" hidden="false" customHeight="false" outlineLevel="0" collapsed="false">
      <c r="A172" s="3" t="s">
        <v>3</v>
      </c>
      <c r="B172" s="3" t="s">
        <v>354</v>
      </c>
      <c r="C172" s="3" t="s">
        <v>495</v>
      </c>
      <c r="D172" s="3" t="s">
        <v>853</v>
      </c>
      <c r="E172" s="3" t="s">
        <v>757</v>
      </c>
      <c r="F172" s="3" t="s">
        <v>656</v>
      </c>
      <c r="G172" s="3" t="s">
        <v>647</v>
      </c>
      <c r="H172" s="3" t="n">
        <v>1200</v>
      </c>
      <c r="I172" s="3" t="n">
        <v>1</v>
      </c>
      <c r="J172" s="9" t="b">
        <f aca="false">FALSE()</f>
        <v>0</v>
      </c>
      <c r="K172" s="3" t="n">
        <v>4</v>
      </c>
      <c r="L172" s="3" t="n">
        <v>4</v>
      </c>
      <c r="M172" s="3" t="n">
        <v>654</v>
      </c>
      <c r="N172" s="3" t="n">
        <v>3.3</v>
      </c>
      <c r="O172" s="3" t="n">
        <v>216</v>
      </c>
    </row>
    <row r="173" customFormat="false" ht="15" hidden="false" customHeight="false" outlineLevel="0" collapsed="false">
      <c r="A173" s="3" t="s">
        <v>3</v>
      </c>
      <c r="B173" s="3" t="s">
        <v>357</v>
      </c>
      <c r="C173" s="3" t="s">
        <v>496</v>
      </c>
      <c r="D173" s="3" t="s">
        <v>778</v>
      </c>
      <c r="E173" s="3" t="s">
        <v>779</v>
      </c>
      <c r="F173" s="3" t="s">
        <v>656</v>
      </c>
      <c r="G173" s="3" t="s">
        <v>647</v>
      </c>
      <c r="H173" s="3" t="n">
        <v>1600</v>
      </c>
      <c r="I173" s="3" t="n">
        <v>1</v>
      </c>
      <c r="J173" s="9" t="b">
        <f aca="false">FALSE()</f>
        <v>0</v>
      </c>
      <c r="K173" s="3" t="n">
        <v>12</v>
      </c>
      <c r="L173" s="3" t="n">
        <v>12</v>
      </c>
      <c r="M173" s="3" t="n">
        <v>386</v>
      </c>
      <c r="N173" s="3" t="n">
        <v>4.7</v>
      </c>
      <c r="O173" s="3" t="n">
        <v>147</v>
      </c>
    </row>
    <row r="174" customFormat="false" ht="15" hidden="false" customHeight="false" outlineLevel="0" collapsed="false">
      <c r="A174" s="3" t="s">
        <v>3</v>
      </c>
      <c r="B174" s="3" t="s">
        <v>360</v>
      </c>
      <c r="C174" s="3" t="s">
        <v>497</v>
      </c>
      <c r="D174" s="3" t="s">
        <v>854</v>
      </c>
      <c r="E174" s="3" t="s">
        <v>810</v>
      </c>
      <c r="F174" s="3" t="s">
        <v>656</v>
      </c>
      <c r="G174" s="3" t="s">
        <v>647</v>
      </c>
      <c r="H174" s="3" t="n">
        <v>200</v>
      </c>
      <c r="I174" s="3" t="n">
        <v>1</v>
      </c>
      <c r="J174" s="9" t="b">
        <f aca="false">FALSE()</f>
        <v>0</v>
      </c>
      <c r="K174" s="3" t="n">
        <v>6</v>
      </c>
      <c r="L174" s="3" t="n">
        <v>6</v>
      </c>
      <c r="M174" s="3" t="n">
        <v>654</v>
      </c>
      <c r="N174" s="3" t="n">
        <v>3.3</v>
      </c>
      <c r="O174" s="3" t="n">
        <v>244</v>
      </c>
    </row>
    <row r="175" customFormat="false" ht="15" hidden="false" customHeight="false" outlineLevel="0" collapsed="false">
      <c r="A175" s="3" t="s">
        <v>3</v>
      </c>
      <c r="B175" s="3" t="s">
        <v>373</v>
      </c>
      <c r="C175" s="3" t="s">
        <v>451</v>
      </c>
      <c r="D175" s="3" t="s">
        <v>802</v>
      </c>
      <c r="E175" s="3" t="s">
        <v>803</v>
      </c>
      <c r="F175" s="3" t="s">
        <v>639</v>
      </c>
      <c r="G175" s="3" t="s">
        <v>647</v>
      </c>
      <c r="H175" s="3" t="n">
        <v>700</v>
      </c>
      <c r="I175" s="3" t="n">
        <v>1</v>
      </c>
      <c r="J175" s="9" t="b">
        <f aca="false">FALSE()</f>
        <v>0</v>
      </c>
      <c r="K175" s="3" t="n">
        <v>4</v>
      </c>
      <c r="L175" s="3" t="n">
        <v>4</v>
      </c>
      <c r="M175" s="3" t="n">
        <v>814</v>
      </c>
      <c r="N175" s="3" t="n">
        <v>2.4</v>
      </c>
      <c r="O175" s="3" t="n">
        <v>180</v>
      </c>
    </row>
    <row r="176" customFormat="false" ht="15" hidden="false" customHeight="false" outlineLevel="0" collapsed="false">
      <c r="A176" s="3" t="s">
        <v>3</v>
      </c>
      <c r="B176" s="3" t="s">
        <v>376</v>
      </c>
      <c r="C176" s="3" t="s">
        <v>498</v>
      </c>
      <c r="D176" s="3" t="s">
        <v>855</v>
      </c>
      <c r="E176" s="3" t="s">
        <v>856</v>
      </c>
      <c r="F176" s="3" t="s">
        <v>643</v>
      </c>
      <c r="G176" s="3" t="s">
        <v>647</v>
      </c>
      <c r="H176" s="3" t="n">
        <v>33000</v>
      </c>
      <c r="I176" s="3" t="n">
        <v>8</v>
      </c>
      <c r="J176" s="9" t="b">
        <f aca="false">TRUE()</f>
        <v>1</v>
      </c>
      <c r="K176" s="3" t="n">
        <v>8</v>
      </c>
      <c r="L176" s="3" t="n">
        <v>57</v>
      </c>
      <c r="M176" s="3" t="n">
        <v>394</v>
      </c>
      <c r="N176" s="3" t="n">
        <v>3.2</v>
      </c>
      <c r="O176" s="3" t="n">
        <v>152</v>
      </c>
    </row>
    <row r="177" customFormat="false" ht="15" hidden="false" customHeight="false" outlineLevel="0" collapsed="false">
      <c r="A177" s="3" t="s">
        <v>3</v>
      </c>
      <c r="B177" s="3" t="s">
        <v>379</v>
      </c>
      <c r="C177" s="3" t="s">
        <v>499</v>
      </c>
      <c r="D177" s="3" t="s">
        <v>857</v>
      </c>
      <c r="E177" s="3" t="s">
        <v>796</v>
      </c>
      <c r="F177" s="3" t="s">
        <v>656</v>
      </c>
      <c r="G177" s="3" t="s">
        <v>647</v>
      </c>
      <c r="H177" s="3" t="n">
        <v>1400</v>
      </c>
      <c r="I177" s="3" t="n">
        <v>1</v>
      </c>
      <c r="J177" s="9" t="b">
        <f aca="false">FALSE()</f>
        <v>0</v>
      </c>
      <c r="K177" s="3" t="n">
        <v>4</v>
      </c>
      <c r="L177" s="3" t="n">
        <v>4</v>
      </c>
      <c r="M177" s="3" t="n">
        <v>654</v>
      </c>
      <c r="N177" s="3" t="n">
        <v>3.3</v>
      </c>
      <c r="O177" s="3" t="n">
        <v>232</v>
      </c>
    </row>
    <row r="178" customFormat="false" ht="15" hidden="false" customHeight="false" outlineLevel="0" collapsed="false">
      <c r="A178" s="3" t="s">
        <v>3</v>
      </c>
      <c r="B178" s="3" t="s">
        <v>382</v>
      </c>
      <c r="C178" s="3" t="s">
        <v>500</v>
      </c>
      <c r="D178" s="3" t="s">
        <v>795</v>
      </c>
      <c r="E178" s="3" t="s">
        <v>796</v>
      </c>
      <c r="F178" s="3" t="s">
        <v>639</v>
      </c>
      <c r="G178" s="3" t="s">
        <v>647</v>
      </c>
      <c r="H178" s="3" t="n">
        <v>100</v>
      </c>
      <c r="I178" s="3" t="n">
        <v>1</v>
      </c>
      <c r="J178" s="9" t="b">
        <f aca="false">FALSE()</f>
        <v>0</v>
      </c>
      <c r="K178" s="3" t="n">
        <v>4</v>
      </c>
      <c r="L178" s="3" t="n">
        <v>4</v>
      </c>
      <c r="M178" s="3" t="n">
        <v>654</v>
      </c>
      <c r="N178" s="3" t="n">
        <v>3.3</v>
      </c>
      <c r="O178" s="3" t="n">
        <v>216</v>
      </c>
    </row>
    <row r="179" customFormat="false" ht="15" hidden="false" customHeight="false" outlineLevel="0" collapsed="false">
      <c r="A179" s="3" t="s">
        <v>3</v>
      </c>
      <c r="B179" s="3" t="s">
        <v>385</v>
      </c>
      <c r="C179" s="3" t="s">
        <v>501</v>
      </c>
      <c r="D179" s="3" t="s">
        <v>858</v>
      </c>
      <c r="E179" s="3" t="s">
        <v>859</v>
      </c>
      <c r="F179" s="3" t="s">
        <v>643</v>
      </c>
      <c r="G179" s="3" t="s">
        <v>647</v>
      </c>
      <c r="H179" s="3" t="n">
        <v>200</v>
      </c>
      <c r="I179" s="3" t="n">
        <v>1</v>
      </c>
      <c r="J179" s="9" t="b">
        <f aca="false">FALSE()</f>
        <v>0</v>
      </c>
      <c r="K179" s="3" t="n">
        <v>6</v>
      </c>
      <c r="L179" s="3" t="n">
        <v>6</v>
      </c>
      <c r="M179" s="3" t="n">
        <v>394</v>
      </c>
      <c r="N179" s="3" t="n">
        <v>3.2</v>
      </c>
      <c r="O179" s="3" t="n">
        <v>124</v>
      </c>
    </row>
    <row r="180" customFormat="false" ht="15" hidden="false" customHeight="false" outlineLevel="0" collapsed="false">
      <c r="A180" s="3" t="s">
        <v>3</v>
      </c>
      <c r="B180" s="3" t="s">
        <v>388</v>
      </c>
      <c r="C180" s="3" t="s">
        <v>502</v>
      </c>
      <c r="D180" s="3" t="s">
        <v>834</v>
      </c>
      <c r="E180" s="3" t="s">
        <v>860</v>
      </c>
      <c r="F180" s="3" t="s">
        <v>656</v>
      </c>
      <c r="G180" s="3" t="s">
        <v>647</v>
      </c>
      <c r="H180" s="3" t="n">
        <v>30000</v>
      </c>
      <c r="I180" s="3" t="n">
        <v>7</v>
      </c>
      <c r="J180" s="9" t="b">
        <f aca="false">TRUE()</f>
        <v>1</v>
      </c>
      <c r="K180" s="3" t="n">
        <v>5</v>
      </c>
      <c r="L180" s="3" t="n">
        <v>47</v>
      </c>
      <c r="M180" s="3" t="n">
        <v>814</v>
      </c>
      <c r="N180" s="3" t="n">
        <v>2.4</v>
      </c>
      <c r="O180" s="3" t="n">
        <v>186</v>
      </c>
    </row>
    <row r="181" customFormat="false" ht="15" hidden="false" customHeight="false" outlineLevel="0" collapsed="false">
      <c r="A181" s="3" t="s">
        <v>3</v>
      </c>
      <c r="B181" s="3" t="s">
        <v>391</v>
      </c>
      <c r="C181" s="3" t="s">
        <v>503</v>
      </c>
      <c r="D181" s="3" t="s">
        <v>861</v>
      </c>
      <c r="E181" s="3" t="s">
        <v>862</v>
      </c>
      <c r="F181" s="3" t="s">
        <v>643</v>
      </c>
      <c r="G181" s="3" t="s">
        <v>647</v>
      </c>
      <c r="H181" s="3" t="n">
        <v>600</v>
      </c>
      <c r="I181" s="3" t="n">
        <v>1</v>
      </c>
      <c r="J181" s="9" t="b">
        <f aca="false">FALSE()</f>
        <v>0</v>
      </c>
      <c r="K181" s="3" t="n">
        <v>11</v>
      </c>
      <c r="L181" s="3" t="n">
        <v>11</v>
      </c>
      <c r="M181" s="3" t="n">
        <v>350</v>
      </c>
      <c r="N181" s="3" t="n">
        <v>4.7</v>
      </c>
      <c r="O181" s="3" t="n">
        <v>141</v>
      </c>
    </row>
    <row r="182" customFormat="false" ht="15" hidden="false" customHeight="false" outlineLevel="0" collapsed="false">
      <c r="A182" s="3" t="s">
        <v>3</v>
      </c>
      <c r="B182" s="3" t="s">
        <v>399</v>
      </c>
      <c r="C182" s="3" t="s">
        <v>504</v>
      </c>
      <c r="D182" s="3" t="s">
        <v>765</v>
      </c>
      <c r="E182" s="3" t="s">
        <v>770</v>
      </c>
      <c r="F182" s="3" t="s">
        <v>646</v>
      </c>
      <c r="G182" s="3" t="s">
        <v>647</v>
      </c>
      <c r="H182" s="3" t="n">
        <v>70000</v>
      </c>
      <c r="I182" s="3" t="n">
        <v>12</v>
      </c>
      <c r="J182" s="9" t="b">
        <f aca="false">TRUE()</f>
        <v>1</v>
      </c>
      <c r="K182" s="3" t="n">
        <v>4</v>
      </c>
      <c r="L182" s="3" t="n">
        <v>81</v>
      </c>
      <c r="M182" s="3" t="n">
        <v>654</v>
      </c>
      <c r="N182" s="3" t="n">
        <v>3.3</v>
      </c>
      <c r="O182" s="3" t="n">
        <v>232</v>
      </c>
    </row>
    <row r="183" customFormat="false" ht="15" hidden="false" customHeight="false" outlineLevel="0" collapsed="false">
      <c r="A183" s="3" t="s">
        <v>3</v>
      </c>
      <c r="B183" s="3" t="s">
        <v>402</v>
      </c>
      <c r="C183" s="3" t="s">
        <v>505</v>
      </c>
      <c r="D183" s="3" t="s">
        <v>839</v>
      </c>
      <c r="E183" s="3" t="s">
        <v>786</v>
      </c>
      <c r="F183" s="3" t="s">
        <v>643</v>
      </c>
      <c r="G183" s="3" t="s">
        <v>647</v>
      </c>
      <c r="H183" s="3" t="n">
        <v>1400</v>
      </c>
      <c r="I183" s="3" t="n">
        <v>1</v>
      </c>
      <c r="J183" s="9" t="b">
        <f aca="false">FALSE()</f>
        <v>0</v>
      </c>
      <c r="K183" s="3" t="n">
        <v>12</v>
      </c>
      <c r="L183" s="3" t="n">
        <v>12</v>
      </c>
      <c r="M183" s="3" t="n">
        <v>314</v>
      </c>
      <c r="N183" s="3" t="n">
        <v>4.7</v>
      </c>
      <c r="O183" s="3" t="n">
        <v>131</v>
      </c>
    </row>
    <row r="184" customFormat="false" ht="15" hidden="false" customHeight="false" outlineLevel="0" collapsed="false">
      <c r="A184" s="3" t="s">
        <v>3</v>
      </c>
      <c r="B184" s="3" t="s">
        <v>409</v>
      </c>
      <c r="C184" s="3" t="s">
        <v>506</v>
      </c>
      <c r="D184" s="3" t="s">
        <v>804</v>
      </c>
      <c r="E184" s="3" t="s">
        <v>785</v>
      </c>
      <c r="F184" s="3" t="s">
        <v>656</v>
      </c>
      <c r="G184" s="3" t="s">
        <v>647</v>
      </c>
      <c r="H184" s="3" t="n">
        <v>1600</v>
      </c>
      <c r="I184" s="3" t="n">
        <v>1</v>
      </c>
      <c r="J184" s="9" t="b">
        <f aca="false">FALSE()</f>
        <v>0</v>
      </c>
      <c r="K184" s="3" t="n">
        <v>4</v>
      </c>
      <c r="L184" s="3" t="n">
        <v>4</v>
      </c>
      <c r="M184" s="3" t="n">
        <v>654</v>
      </c>
      <c r="N184" s="3" t="n">
        <v>3.3</v>
      </c>
      <c r="O184" s="3" t="n">
        <v>216</v>
      </c>
    </row>
    <row r="185" customFormat="false" ht="15" hidden="false" customHeight="false" outlineLevel="0" collapsed="false">
      <c r="A185" s="3" t="s">
        <v>3</v>
      </c>
      <c r="B185" s="3" t="s">
        <v>415</v>
      </c>
      <c r="C185" s="3" t="s">
        <v>507</v>
      </c>
      <c r="D185" s="3" t="s">
        <v>785</v>
      </c>
      <c r="E185" s="3" t="s">
        <v>786</v>
      </c>
      <c r="F185" s="3" t="s">
        <v>639</v>
      </c>
      <c r="G185" s="3" t="s">
        <v>647</v>
      </c>
      <c r="H185" s="3" t="n">
        <v>1700</v>
      </c>
      <c r="I185" s="3" t="n">
        <v>1</v>
      </c>
      <c r="J185" s="9" t="b">
        <f aca="false">FALSE()</f>
        <v>0</v>
      </c>
      <c r="K185" s="3" t="n">
        <v>11</v>
      </c>
      <c r="L185" s="3" t="n">
        <v>11</v>
      </c>
      <c r="M185" s="3" t="n">
        <v>314</v>
      </c>
      <c r="N185" s="3" t="n">
        <v>4.7</v>
      </c>
      <c r="O185" s="3" t="n">
        <v>141</v>
      </c>
    </row>
    <row r="186" customFormat="false" ht="15" hidden="false" customHeight="false" outlineLevel="0" collapsed="false">
      <c r="A186" s="3" t="s">
        <v>3</v>
      </c>
      <c r="B186" s="3" t="s">
        <v>420</v>
      </c>
      <c r="C186" s="3" t="s">
        <v>508</v>
      </c>
      <c r="D186" s="3" t="s">
        <v>697</v>
      </c>
      <c r="E186" s="3" t="s">
        <v>805</v>
      </c>
      <c r="F186" s="3" t="s">
        <v>639</v>
      </c>
      <c r="G186" s="3" t="s">
        <v>647</v>
      </c>
      <c r="H186" s="3" t="n">
        <v>300</v>
      </c>
      <c r="I186" s="3" t="n">
        <v>1</v>
      </c>
      <c r="J186" s="9" t="b">
        <f aca="false">FALSE()</f>
        <v>0</v>
      </c>
      <c r="K186" s="3" t="n">
        <v>4</v>
      </c>
      <c r="L186" s="3" t="n">
        <v>4</v>
      </c>
      <c r="M186" s="3" t="n">
        <v>690</v>
      </c>
      <c r="N186" s="3" t="n">
        <v>3.3</v>
      </c>
      <c r="O186" s="3" t="n">
        <v>232</v>
      </c>
    </row>
    <row r="187" customFormat="false" ht="15" hidden="false" customHeight="false" outlineLevel="0" collapsed="false">
      <c r="A187" s="3" t="s">
        <v>3</v>
      </c>
      <c r="B187" s="3" t="s">
        <v>423</v>
      </c>
      <c r="C187" s="3" t="s">
        <v>509</v>
      </c>
      <c r="D187" s="3" t="s">
        <v>830</v>
      </c>
      <c r="E187" s="3" t="s">
        <v>756</v>
      </c>
      <c r="F187" s="3" t="s">
        <v>643</v>
      </c>
      <c r="G187" s="3" t="s">
        <v>647</v>
      </c>
      <c r="H187" s="3" t="n">
        <v>40000</v>
      </c>
      <c r="I187" s="3" t="n">
        <v>8</v>
      </c>
      <c r="J187" s="9" t="b">
        <f aca="false">TRUE()</f>
        <v>1</v>
      </c>
      <c r="K187" s="3" t="n">
        <v>6</v>
      </c>
      <c r="L187" s="3" t="n">
        <v>55</v>
      </c>
      <c r="M187" s="3" t="n">
        <v>394</v>
      </c>
      <c r="N187" s="3" t="n">
        <v>3.2</v>
      </c>
      <c r="O187" s="3" t="n">
        <v>140</v>
      </c>
    </row>
    <row r="188" customFormat="false" ht="15" hidden="false" customHeight="false" outlineLevel="0" collapsed="false">
      <c r="A188" s="3" t="s">
        <v>3</v>
      </c>
      <c r="B188" s="3" t="s">
        <v>426</v>
      </c>
      <c r="C188" s="3" t="s">
        <v>510</v>
      </c>
      <c r="D188" s="3" t="s">
        <v>863</v>
      </c>
      <c r="E188" s="3" t="s">
        <v>864</v>
      </c>
      <c r="F188" s="3" t="s">
        <v>656</v>
      </c>
      <c r="G188" s="3" t="s">
        <v>647</v>
      </c>
      <c r="H188" s="3" t="n">
        <v>600</v>
      </c>
      <c r="I188" s="3" t="n">
        <v>1</v>
      </c>
      <c r="J188" s="9" t="b">
        <f aca="false">FALSE()</f>
        <v>0</v>
      </c>
      <c r="K188" s="3" t="n">
        <v>6</v>
      </c>
      <c r="L188" s="3" t="n">
        <v>6</v>
      </c>
      <c r="M188" s="3" t="n">
        <v>654</v>
      </c>
      <c r="N188" s="3" t="n">
        <v>3.3</v>
      </c>
      <c r="O188" s="3" t="n">
        <v>244</v>
      </c>
    </row>
    <row r="189" customFormat="false" ht="15" hidden="false" customHeight="false" outlineLevel="0" collapsed="false">
      <c r="A189" s="3" t="s">
        <v>4</v>
      </c>
      <c r="B189" s="3" t="s">
        <v>73</v>
      </c>
      <c r="C189" s="3" t="s">
        <v>511</v>
      </c>
      <c r="D189" s="3" t="s">
        <v>865</v>
      </c>
      <c r="E189" s="3" t="s">
        <v>866</v>
      </c>
      <c r="F189" s="3" t="s">
        <v>639</v>
      </c>
      <c r="G189" s="3" t="s">
        <v>647</v>
      </c>
      <c r="H189" s="3" t="n">
        <v>850</v>
      </c>
      <c r="I189" s="3" t="n">
        <v>1</v>
      </c>
      <c r="J189" s="9" t="b">
        <f aca="false">FALSE()</f>
        <v>0</v>
      </c>
      <c r="K189" s="3" t="n">
        <v>11</v>
      </c>
      <c r="L189" s="3" t="n">
        <v>11</v>
      </c>
      <c r="M189" s="3" t="n">
        <v>306</v>
      </c>
      <c r="N189" s="3" t="n">
        <v>3.9</v>
      </c>
      <c r="O189" s="3" t="n">
        <v>133</v>
      </c>
    </row>
    <row r="190" customFormat="false" ht="15" hidden="false" customHeight="false" outlineLevel="0" collapsed="false">
      <c r="A190" s="3" t="s">
        <v>4</v>
      </c>
      <c r="B190" s="3" t="s">
        <v>77</v>
      </c>
      <c r="C190" s="3" t="s">
        <v>512</v>
      </c>
      <c r="D190" s="3" t="s">
        <v>703</v>
      </c>
      <c r="E190" s="3" t="s">
        <v>772</v>
      </c>
      <c r="F190" s="3" t="s">
        <v>643</v>
      </c>
      <c r="G190" s="3" t="s">
        <v>647</v>
      </c>
      <c r="H190" s="3" t="n">
        <v>200</v>
      </c>
      <c r="I190" s="3" t="n">
        <v>1</v>
      </c>
      <c r="J190" s="9" t="b">
        <f aca="false">FALSE()</f>
        <v>0</v>
      </c>
      <c r="K190" s="3" t="n">
        <v>3</v>
      </c>
      <c r="L190" s="3" t="n">
        <v>3</v>
      </c>
      <c r="M190" s="3" t="n">
        <v>770</v>
      </c>
      <c r="N190" s="3" t="n">
        <v>1.7</v>
      </c>
      <c r="O190" s="3" t="n">
        <v>166</v>
      </c>
    </row>
    <row r="191" customFormat="false" ht="15" hidden="false" customHeight="false" outlineLevel="0" collapsed="false">
      <c r="A191" s="3" t="s">
        <v>4</v>
      </c>
      <c r="B191" s="3" t="s">
        <v>81</v>
      </c>
      <c r="C191" s="3" t="s">
        <v>513</v>
      </c>
      <c r="D191" s="3" t="s">
        <v>764</v>
      </c>
      <c r="E191" s="3" t="s">
        <v>867</v>
      </c>
      <c r="F191" s="3" t="s">
        <v>646</v>
      </c>
      <c r="G191" s="3" t="s">
        <v>647</v>
      </c>
      <c r="H191" s="3" t="n">
        <v>300</v>
      </c>
      <c r="I191" s="3" t="n">
        <v>1</v>
      </c>
      <c r="J191" s="9" t="b">
        <f aca="false">FALSE()</f>
        <v>0</v>
      </c>
      <c r="K191" s="3" t="n">
        <v>5</v>
      </c>
      <c r="L191" s="3" t="n">
        <v>5</v>
      </c>
      <c r="M191" s="3" t="n">
        <v>350</v>
      </c>
      <c r="N191" s="3" t="n">
        <v>2.5</v>
      </c>
      <c r="O191" s="3" t="n">
        <v>126</v>
      </c>
    </row>
    <row r="192" customFormat="false" ht="15" hidden="false" customHeight="false" outlineLevel="0" collapsed="false">
      <c r="A192" s="3" t="s">
        <v>4</v>
      </c>
      <c r="B192" s="3" t="s">
        <v>85</v>
      </c>
      <c r="C192" s="3" t="s">
        <v>514</v>
      </c>
      <c r="D192" s="3" t="s">
        <v>868</v>
      </c>
      <c r="E192" s="3" t="s">
        <v>715</v>
      </c>
      <c r="F192" s="3" t="s">
        <v>639</v>
      </c>
      <c r="G192" s="3" t="s">
        <v>647</v>
      </c>
      <c r="H192" s="3" t="n">
        <v>3400</v>
      </c>
      <c r="I192" s="3" t="n">
        <v>1</v>
      </c>
      <c r="J192" s="9" t="b">
        <f aca="false">FALSE()</f>
        <v>0</v>
      </c>
      <c r="K192" s="3" t="n">
        <v>10</v>
      </c>
      <c r="L192" s="3" t="n">
        <v>10</v>
      </c>
      <c r="M192" s="3" t="n">
        <v>342</v>
      </c>
      <c r="N192" s="3" t="n">
        <v>3.9</v>
      </c>
      <c r="O192" s="3" t="n">
        <v>127</v>
      </c>
    </row>
    <row r="193" customFormat="false" ht="15" hidden="false" customHeight="false" outlineLevel="0" collapsed="false">
      <c r="A193" s="3" t="s">
        <v>4</v>
      </c>
      <c r="B193" s="3" t="s">
        <v>90</v>
      </c>
      <c r="C193" s="3" t="s">
        <v>515</v>
      </c>
      <c r="D193" s="3" t="s">
        <v>869</v>
      </c>
      <c r="E193" s="3" t="s">
        <v>799</v>
      </c>
      <c r="F193" s="3" t="s">
        <v>639</v>
      </c>
      <c r="G193" s="3" t="s">
        <v>647</v>
      </c>
      <c r="H193" s="3" t="n">
        <v>500</v>
      </c>
      <c r="I193" s="3" t="n">
        <v>1</v>
      </c>
      <c r="J193" s="9" t="b">
        <f aca="false">FALSE()</f>
        <v>0</v>
      </c>
      <c r="K193" s="3" t="n">
        <v>5</v>
      </c>
      <c r="L193" s="3" t="n">
        <v>5</v>
      </c>
      <c r="M193" s="3" t="n">
        <v>682</v>
      </c>
      <c r="N193" s="3" t="n">
        <v>2.6</v>
      </c>
      <c r="O193" s="3" t="n">
        <v>230</v>
      </c>
    </row>
    <row r="194" customFormat="false" ht="15" hidden="false" customHeight="false" outlineLevel="0" collapsed="false">
      <c r="A194" s="3" t="s">
        <v>4</v>
      </c>
      <c r="B194" s="3" t="s">
        <v>97</v>
      </c>
      <c r="C194" s="3" t="s">
        <v>516</v>
      </c>
      <c r="D194" s="3" t="s">
        <v>766</v>
      </c>
      <c r="E194" s="3" t="s">
        <v>794</v>
      </c>
      <c r="F194" s="3" t="s">
        <v>643</v>
      </c>
      <c r="G194" s="3" t="s">
        <v>647</v>
      </c>
      <c r="H194" s="3" t="n">
        <v>30000</v>
      </c>
      <c r="I194" s="3" t="n">
        <v>10</v>
      </c>
      <c r="J194" s="9" t="b">
        <f aca="false">TRUE()</f>
        <v>1</v>
      </c>
      <c r="K194" s="3" t="n">
        <v>2</v>
      </c>
      <c r="L194" s="3" t="n">
        <v>65</v>
      </c>
      <c r="M194" s="3" t="n">
        <v>770</v>
      </c>
      <c r="N194" s="3" t="n">
        <v>1.7</v>
      </c>
      <c r="O194" s="3" t="n">
        <v>176</v>
      </c>
    </row>
    <row r="195" customFormat="false" ht="15" hidden="false" customHeight="false" outlineLevel="0" collapsed="false">
      <c r="A195" s="3" t="s">
        <v>4</v>
      </c>
      <c r="B195" s="3" t="s">
        <v>100</v>
      </c>
      <c r="C195" s="3" t="s">
        <v>517</v>
      </c>
      <c r="D195" s="3" t="s">
        <v>870</v>
      </c>
      <c r="E195" s="3" t="s">
        <v>750</v>
      </c>
      <c r="F195" s="3" t="s">
        <v>656</v>
      </c>
      <c r="G195" s="3" t="s">
        <v>647</v>
      </c>
      <c r="H195" s="3" t="n">
        <v>36000</v>
      </c>
      <c r="I195" s="3" t="n">
        <v>9</v>
      </c>
      <c r="J195" s="9" t="b">
        <f aca="false">TRUE()</f>
        <v>1</v>
      </c>
      <c r="K195" s="3" t="n">
        <v>6</v>
      </c>
      <c r="L195" s="3" t="n">
        <v>62</v>
      </c>
      <c r="M195" s="3" t="n">
        <v>386</v>
      </c>
      <c r="N195" s="3" t="n">
        <v>2.5</v>
      </c>
      <c r="O195" s="3" t="n">
        <v>116</v>
      </c>
    </row>
    <row r="196" customFormat="false" ht="15" hidden="false" customHeight="false" outlineLevel="0" collapsed="false">
      <c r="A196" s="3" t="s">
        <v>4</v>
      </c>
      <c r="B196" s="3" t="s">
        <v>105</v>
      </c>
      <c r="C196" s="3" t="s">
        <v>518</v>
      </c>
      <c r="D196" s="3" t="s">
        <v>749</v>
      </c>
      <c r="E196" s="3" t="s">
        <v>871</v>
      </c>
      <c r="F196" s="3" t="s">
        <v>656</v>
      </c>
      <c r="G196" s="3" t="s">
        <v>647</v>
      </c>
      <c r="H196" s="3" t="n">
        <v>1600</v>
      </c>
      <c r="I196" s="3" t="n">
        <v>1</v>
      </c>
      <c r="J196" s="9" t="b">
        <f aca="false">FALSE()</f>
        <v>0</v>
      </c>
      <c r="K196" s="3" t="n">
        <v>4</v>
      </c>
      <c r="L196" s="3" t="n">
        <v>4</v>
      </c>
      <c r="M196" s="3" t="n">
        <v>806</v>
      </c>
      <c r="N196" s="3" t="n">
        <v>1.7</v>
      </c>
      <c r="O196" s="3" t="n">
        <v>172</v>
      </c>
    </row>
    <row r="197" customFormat="false" ht="15" hidden="false" customHeight="false" outlineLevel="0" collapsed="false">
      <c r="A197" s="3" t="s">
        <v>4</v>
      </c>
      <c r="B197" s="3" t="s">
        <v>108</v>
      </c>
      <c r="C197" s="3" t="s">
        <v>519</v>
      </c>
      <c r="D197" s="3" t="s">
        <v>872</v>
      </c>
      <c r="E197" s="3" t="s">
        <v>809</v>
      </c>
      <c r="F197" s="3" t="s">
        <v>643</v>
      </c>
      <c r="G197" s="3" t="s">
        <v>647</v>
      </c>
      <c r="H197" s="3" t="n">
        <v>9000</v>
      </c>
      <c r="I197" s="3" t="n">
        <v>2</v>
      </c>
      <c r="J197" s="9" t="b">
        <f aca="false">TRUE()</f>
        <v>1</v>
      </c>
      <c r="K197" s="3" t="n">
        <v>10</v>
      </c>
      <c r="L197" s="3" t="n">
        <v>17</v>
      </c>
      <c r="M197" s="3" t="n">
        <v>270</v>
      </c>
      <c r="N197" s="3" t="n">
        <v>3.9</v>
      </c>
      <c r="O197" s="3" t="n">
        <v>127</v>
      </c>
    </row>
    <row r="198" customFormat="false" ht="15" hidden="false" customHeight="false" outlineLevel="0" collapsed="false">
      <c r="A198" s="3" t="s">
        <v>4</v>
      </c>
      <c r="B198" s="3" t="s">
        <v>111</v>
      </c>
      <c r="C198" s="3" t="s">
        <v>520</v>
      </c>
      <c r="D198" s="3" t="s">
        <v>674</v>
      </c>
      <c r="E198" s="3" t="s">
        <v>829</v>
      </c>
      <c r="F198" s="3" t="s">
        <v>656</v>
      </c>
      <c r="G198" s="3" t="s">
        <v>647</v>
      </c>
      <c r="H198" s="3" t="n">
        <v>450</v>
      </c>
      <c r="I198" s="3" t="n">
        <v>1</v>
      </c>
      <c r="J198" s="9" t="b">
        <f aca="false">FALSE()</f>
        <v>0</v>
      </c>
      <c r="K198" s="3" t="n">
        <v>3</v>
      </c>
      <c r="L198" s="3" t="n">
        <v>3</v>
      </c>
      <c r="M198" s="3" t="n">
        <v>610</v>
      </c>
      <c r="N198" s="3" t="n">
        <v>2.6</v>
      </c>
      <c r="O198" s="3" t="n">
        <v>218</v>
      </c>
    </row>
    <row r="199" customFormat="false" ht="15" hidden="false" customHeight="false" outlineLevel="0" collapsed="false">
      <c r="A199" s="3" t="s">
        <v>4</v>
      </c>
      <c r="B199" s="3" t="s">
        <v>115</v>
      </c>
      <c r="C199" s="3" t="s">
        <v>521</v>
      </c>
      <c r="D199" s="3" t="s">
        <v>873</v>
      </c>
      <c r="E199" s="3" t="s">
        <v>861</v>
      </c>
      <c r="F199" s="3" t="s">
        <v>639</v>
      </c>
      <c r="G199" s="3" t="s">
        <v>647</v>
      </c>
      <c r="H199" s="3" t="n">
        <v>300</v>
      </c>
      <c r="I199" s="3" t="n">
        <v>1</v>
      </c>
      <c r="J199" s="9" t="b">
        <f aca="false">FALSE()</f>
        <v>0</v>
      </c>
      <c r="K199" s="3" t="n">
        <v>11</v>
      </c>
      <c r="L199" s="3" t="n">
        <v>11</v>
      </c>
      <c r="M199" s="3" t="n">
        <v>306</v>
      </c>
      <c r="N199" s="3" t="n">
        <v>3.9</v>
      </c>
      <c r="O199" s="3" t="n">
        <v>149</v>
      </c>
    </row>
    <row r="200" customFormat="false" ht="15" hidden="false" customHeight="false" outlineLevel="0" collapsed="false">
      <c r="A200" s="3" t="s">
        <v>4</v>
      </c>
      <c r="B200" s="3" t="s">
        <v>122</v>
      </c>
      <c r="C200" s="3" t="s">
        <v>522</v>
      </c>
      <c r="D200" s="3" t="s">
        <v>679</v>
      </c>
      <c r="E200" s="3" t="s">
        <v>874</v>
      </c>
      <c r="F200" s="3" t="s">
        <v>643</v>
      </c>
      <c r="G200" s="3" t="s">
        <v>647</v>
      </c>
      <c r="H200" s="3" t="n">
        <v>400</v>
      </c>
      <c r="I200" s="3" t="n">
        <v>1</v>
      </c>
      <c r="J200" s="9" t="b">
        <f aca="false">FALSE()</f>
        <v>0</v>
      </c>
      <c r="K200" s="3" t="n">
        <v>3</v>
      </c>
      <c r="L200" s="3" t="n">
        <v>3</v>
      </c>
      <c r="M200" s="3" t="n">
        <v>770</v>
      </c>
      <c r="N200" s="3" t="n">
        <v>1.7</v>
      </c>
      <c r="O200" s="3" t="n">
        <v>182</v>
      </c>
    </row>
    <row r="201" customFormat="false" ht="15" hidden="false" customHeight="false" outlineLevel="0" collapsed="false">
      <c r="A201" s="3" t="s">
        <v>4</v>
      </c>
      <c r="B201" s="3" t="s">
        <v>125</v>
      </c>
      <c r="C201" s="3" t="s">
        <v>523</v>
      </c>
      <c r="D201" s="3" t="s">
        <v>764</v>
      </c>
      <c r="E201" s="3" t="s">
        <v>867</v>
      </c>
      <c r="F201" s="3" t="s">
        <v>646</v>
      </c>
      <c r="G201" s="3" t="s">
        <v>647</v>
      </c>
      <c r="H201" s="3" t="n">
        <v>500</v>
      </c>
      <c r="I201" s="3" t="n">
        <v>1</v>
      </c>
      <c r="J201" s="9" t="b">
        <f aca="false">FALSE()</f>
        <v>0</v>
      </c>
      <c r="K201" s="3" t="n">
        <v>5</v>
      </c>
      <c r="L201" s="3" t="n">
        <v>5</v>
      </c>
      <c r="M201" s="3" t="n">
        <v>350</v>
      </c>
      <c r="N201" s="3" t="n">
        <v>2.5</v>
      </c>
      <c r="O201" s="3" t="n">
        <v>110</v>
      </c>
    </row>
    <row r="202" customFormat="false" ht="15" hidden="false" customHeight="false" outlineLevel="0" collapsed="false">
      <c r="A202" s="3" t="s">
        <v>4</v>
      </c>
      <c r="B202" s="3" t="s">
        <v>128</v>
      </c>
      <c r="C202" s="3" t="s">
        <v>524</v>
      </c>
      <c r="D202" s="3" t="s">
        <v>875</v>
      </c>
      <c r="E202" s="3" t="s">
        <v>876</v>
      </c>
      <c r="F202" s="3" t="s">
        <v>639</v>
      </c>
      <c r="G202" s="3" t="s">
        <v>647</v>
      </c>
      <c r="H202" s="3" t="n">
        <v>72000</v>
      </c>
      <c r="I202" s="3" t="n">
        <v>12</v>
      </c>
      <c r="J202" s="9" t="b">
        <f aca="false">TRUE()</f>
        <v>1</v>
      </c>
      <c r="K202" s="3" t="n">
        <v>10</v>
      </c>
      <c r="L202" s="3" t="n">
        <v>87</v>
      </c>
      <c r="M202" s="3" t="n">
        <v>342</v>
      </c>
      <c r="N202" s="3" t="n">
        <v>3.9</v>
      </c>
      <c r="O202" s="3" t="n">
        <v>143</v>
      </c>
    </row>
    <row r="203" customFormat="false" ht="15" hidden="false" customHeight="false" outlineLevel="0" collapsed="false">
      <c r="A203" s="3" t="s">
        <v>4</v>
      </c>
      <c r="B203" s="3" t="s">
        <v>131</v>
      </c>
      <c r="C203" s="3" t="s">
        <v>525</v>
      </c>
      <c r="D203" s="3" t="s">
        <v>715</v>
      </c>
      <c r="E203" s="3" t="s">
        <v>822</v>
      </c>
      <c r="F203" s="3" t="s">
        <v>639</v>
      </c>
      <c r="G203" s="3" t="s">
        <v>647</v>
      </c>
      <c r="H203" s="3" t="n">
        <v>700</v>
      </c>
      <c r="I203" s="3" t="n">
        <v>1</v>
      </c>
      <c r="J203" s="9" t="b">
        <f aca="false">FALSE()</f>
        <v>0</v>
      </c>
      <c r="K203" s="3" t="n">
        <v>5</v>
      </c>
      <c r="L203" s="3" t="n">
        <v>5</v>
      </c>
      <c r="M203" s="3" t="n">
        <v>610</v>
      </c>
      <c r="N203" s="3" t="n">
        <v>2.6</v>
      </c>
      <c r="O203" s="3" t="n">
        <v>214</v>
      </c>
    </row>
    <row r="204" customFormat="false" ht="15" hidden="false" customHeight="false" outlineLevel="0" collapsed="false">
      <c r="A204" s="3" t="s">
        <v>4</v>
      </c>
      <c r="B204" s="3" t="s">
        <v>135</v>
      </c>
      <c r="C204" s="3" t="s">
        <v>526</v>
      </c>
      <c r="D204" s="3" t="s">
        <v>877</v>
      </c>
      <c r="E204" s="3" t="s">
        <v>872</v>
      </c>
      <c r="F204" s="3" t="s">
        <v>656</v>
      </c>
      <c r="G204" s="3" t="s">
        <v>647</v>
      </c>
      <c r="H204" s="3" t="n">
        <v>5000</v>
      </c>
      <c r="I204" s="3" t="n">
        <v>2</v>
      </c>
      <c r="J204" s="9" t="b">
        <f aca="false">TRUE()</f>
        <v>1</v>
      </c>
      <c r="K204" s="3" t="n">
        <v>3</v>
      </c>
      <c r="L204" s="3" t="n">
        <v>10</v>
      </c>
      <c r="M204" s="3" t="n">
        <v>646</v>
      </c>
      <c r="N204" s="3" t="n">
        <v>2.6</v>
      </c>
      <c r="O204" s="3" t="n">
        <v>202</v>
      </c>
    </row>
    <row r="205" customFormat="false" ht="15" hidden="false" customHeight="false" outlineLevel="0" collapsed="false">
      <c r="A205" s="3" t="s">
        <v>4</v>
      </c>
      <c r="B205" s="3" t="s">
        <v>139</v>
      </c>
      <c r="C205" s="3" t="s">
        <v>527</v>
      </c>
      <c r="D205" s="3" t="s">
        <v>878</v>
      </c>
      <c r="E205" s="3" t="s">
        <v>770</v>
      </c>
      <c r="F205" s="3" t="s">
        <v>643</v>
      </c>
      <c r="G205" s="3" t="s">
        <v>647</v>
      </c>
      <c r="H205" s="3" t="n">
        <v>33000</v>
      </c>
      <c r="I205" s="3" t="n">
        <v>7</v>
      </c>
      <c r="J205" s="9" t="b">
        <f aca="false">TRUE()</f>
        <v>1</v>
      </c>
      <c r="K205" s="3" t="n">
        <v>10</v>
      </c>
      <c r="L205" s="3" t="n">
        <v>52</v>
      </c>
      <c r="M205" s="3" t="n">
        <v>306</v>
      </c>
      <c r="N205" s="3" t="n">
        <v>3.9</v>
      </c>
      <c r="O205" s="3" t="n">
        <v>127</v>
      </c>
    </row>
    <row r="206" customFormat="false" ht="15" hidden="false" customHeight="false" outlineLevel="0" collapsed="false">
      <c r="A206" s="3" t="s">
        <v>4</v>
      </c>
      <c r="B206" s="3" t="s">
        <v>144</v>
      </c>
      <c r="C206" s="3" t="s">
        <v>528</v>
      </c>
      <c r="D206" s="3" t="s">
        <v>740</v>
      </c>
      <c r="E206" s="3" t="s">
        <v>830</v>
      </c>
      <c r="F206" s="3" t="s">
        <v>656</v>
      </c>
      <c r="G206" s="3" t="s">
        <v>647</v>
      </c>
      <c r="H206" s="3" t="n">
        <v>1400</v>
      </c>
      <c r="I206" s="3" t="n">
        <v>1</v>
      </c>
      <c r="J206" s="9" t="b">
        <f aca="false">FALSE()</f>
        <v>0</v>
      </c>
      <c r="K206" s="3" t="n">
        <v>6</v>
      </c>
      <c r="L206" s="3" t="n">
        <v>6</v>
      </c>
      <c r="M206" s="3" t="n">
        <v>350</v>
      </c>
      <c r="N206" s="3" t="n">
        <v>2.5</v>
      </c>
      <c r="O206" s="3" t="n">
        <v>132</v>
      </c>
    </row>
    <row r="207" customFormat="false" ht="15" hidden="false" customHeight="false" outlineLevel="0" collapsed="false">
      <c r="A207" s="3" t="s">
        <v>4</v>
      </c>
      <c r="B207" s="3" t="s">
        <v>147</v>
      </c>
      <c r="C207" s="3" t="s">
        <v>529</v>
      </c>
      <c r="D207" s="3" t="s">
        <v>879</v>
      </c>
      <c r="E207" s="3" t="s">
        <v>880</v>
      </c>
      <c r="F207" s="3" t="s">
        <v>646</v>
      </c>
      <c r="G207" s="3" t="s">
        <v>647</v>
      </c>
      <c r="H207" s="3" t="n">
        <v>1600</v>
      </c>
      <c r="I207" s="3" t="n">
        <v>1</v>
      </c>
      <c r="J207" s="9" t="b">
        <f aca="false">FALSE()</f>
        <v>0</v>
      </c>
      <c r="K207" s="3" t="n">
        <v>3</v>
      </c>
      <c r="L207" s="3" t="n">
        <v>3</v>
      </c>
      <c r="M207" s="3" t="n">
        <v>610</v>
      </c>
      <c r="N207" s="3" t="n">
        <v>2.6</v>
      </c>
      <c r="O207" s="3" t="n">
        <v>218</v>
      </c>
    </row>
    <row r="208" customFormat="false" ht="15" hidden="false" customHeight="false" outlineLevel="0" collapsed="false">
      <c r="A208" s="3" t="s">
        <v>4</v>
      </c>
      <c r="B208" s="3" t="s">
        <v>150</v>
      </c>
      <c r="C208" s="3" t="s">
        <v>530</v>
      </c>
      <c r="D208" s="3" t="s">
        <v>743</v>
      </c>
      <c r="E208" s="3" t="s">
        <v>881</v>
      </c>
      <c r="F208" s="3" t="s">
        <v>656</v>
      </c>
      <c r="G208" s="3" t="s">
        <v>647</v>
      </c>
      <c r="H208" s="3" t="n">
        <v>4320</v>
      </c>
      <c r="I208" s="3" t="n">
        <v>2</v>
      </c>
      <c r="J208" s="9" t="b">
        <f aca="false">TRUE()</f>
        <v>1</v>
      </c>
      <c r="K208" s="3" t="n">
        <v>4</v>
      </c>
      <c r="L208" s="3" t="n">
        <v>11</v>
      </c>
      <c r="M208" s="3" t="n">
        <v>806</v>
      </c>
      <c r="N208" s="3" t="n">
        <v>1.7</v>
      </c>
      <c r="O208" s="3" t="n">
        <v>188</v>
      </c>
    </row>
    <row r="209" customFormat="false" ht="15" hidden="false" customHeight="false" outlineLevel="0" collapsed="false">
      <c r="A209" s="3" t="s">
        <v>4</v>
      </c>
      <c r="B209" s="3" t="s">
        <v>154</v>
      </c>
      <c r="C209" s="3" t="s">
        <v>531</v>
      </c>
      <c r="D209" s="3" t="s">
        <v>882</v>
      </c>
      <c r="E209" s="3" t="s">
        <v>883</v>
      </c>
      <c r="F209" s="3" t="s">
        <v>639</v>
      </c>
      <c r="G209" s="3" t="s">
        <v>647</v>
      </c>
      <c r="H209" s="3" t="n">
        <v>2000</v>
      </c>
      <c r="I209" s="3" t="n">
        <v>1</v>
      </c>
      <c r="J209" s="9" t="b">
        <f aca="false">FALSE()</f>
        <v>0</v>
      </c>
      <c r="K209" s="3" t="n">
        <v>5</v>
      </c>
      <c r="L209" s="3" t="n">
        <v>5</v>
      </c>
      <c r="M209" s="3" t="n">
        <v>386</v>
      </c>
      <c r="N209" s="3" t="n">
        <v>2.5</v>
      </c>
      <c r="O209" s="3" t="n">
        <v>110</v>
      </c>
    </row>
    <row r="210" customFormat="false" ht="15" hidden="false" customHeight="false" outlineLevel="0" collapsed="false">
      <c r="A210" s="3" t="s">
        <v>4</v>
      </c>
      <c r="B210" s="3" t="s">
        <v>157</v>
      </c>
      <c r="C210" s="3" t="s">
        <v>532</v>
      </c>
      <c r="D210" s="3" t="s">
        <v>884</v>
      </c>
      <c r="E210" s="3" t="s">
        <v>885</v>
      </c>
      <c r="F210" s="3" t="s">
        <v>656</v>
      </c>
      <c r="G210" s="3" t="s">
        <v>647</v>
      </c>
      <c r="H210" s="3" t="n">
        <v>45000</v>
      </c>
      <c r="I210" s="3" t="n">
        <v>7</v>
      </c>
      <c r="J210" s="9" t="b">
        <f aca="false">TRUE()</f>
        <v>1</v>
      </c>
      <c r="K210" s="3" t="n">
        <v>3</v>
      </c>
      <c r="L210" s="3" t="n">
        <v>45</v>
      </c>
      <c r="M210" s="3" t="n">
        <v>610</v>
      </c>
      <c r="N210" s="3" t="n">
        <v>2.6</v>
      </c>
      <c r="O210" s="3" t="n">
        <v>202</v>
      </c>
    </row>
    <row r="211" customFormat="false" ht="15" hidden="false" customHeight="false" outlineLevel="0" collapsed="false">
      <c r="A211" s="3" t="s">
        <v>4</v>
      </c>
      <c r="B211" s="3" t="s">
        <v>160</v>
      </c>
      <c r="C211" s="3" t="s">
        <v>533</v>
      </c>
      <c r="D211" s="3" t="s">
        <v>886</v>
      </c>
      <c r="E211" s="3" t="s">
        <v>887</v>
      </c>
      <c r="F211" s="3" t="s">
        <v>656</v>
      </c>
      <c r="G211" s="3" t="s">
        <v>647</v>
      </c>
      <c r="H211" s="3" t="n">
        <v>400</v>
      </c>
      <c r="I211" s="3" t="n">
        <v>1</v>
      </c>
      <c r="J211" s="9" t="b">
        <f aca="false">FALSE()</f>
        <v>0</v>
      </c>
      <c r="K211" s="3" t="n">
        <v>5</v>
      </c>
      <c r="L211" s="3" t="n">
        <v>5</v>
      </c>
      <c r="M211" s="3" t="n">
        <v>350</v>
      </c>
      <c r="N211" s="3" t="n">
        <v>2.5</v>
      </c>
      <c r="O211" s="3" t="n">
        <v>110</v>
      </c>
    </row>
    <row r="212" customFormat="false" ht="15" hidden="false" customHeight="false" outlineLevel="0" collapsed="false">
      <c r="A212" s="3" t="s">
        <v>4</v>
      </c>
      <c r="B212" s="3" t="s">
        <v>165</v>
      </c>
      <c r="C212" s="3" t="s">
        <v>534</v>
      </c>
      <c r="D212" s="3" t="s">
        <v>748</v>
      </c>
      <c r="E212" s="3" t="s">
        <v>888</v>
      </c>
      <c r="F212" s="3" t="s">
        <v>639</v>
      </c>
      <c r="G212" s="3" t="s">
        <v>647</v>
      </c>
      <c r="H212" s="3" t="n">
        <v>800</v>
      </c>
      <c r="I212" s="3" t="n">
        <v>1</v>
      </c>
      <c r="J212" s="9" t="b">
        <f aca="false">FALSE()</f>
        <v>0</v>
      </c>
      <c r="K212" s="3" t="n">
        <v>10</v>
      </c>
      <c r="L212" s="3" t="n">
        <v>10</v>
      </c>
      <c r="M212" s="3" t="n">
        <v>270</v>
      </c>
      <c r="N212" s="3" t="n">
        <v>3.9</v>
      </c>
      <c r="O212" s="3" t="n">
        <v>127</v>
      </c>
    </row>
    <row r="213" customFormat="false" ht="15" hidden="false" customHeight="false" outlineLevel="0" collapsed="false">
      <c r="A213" s="3" t="s">
        <v>4</v>
      </c>
      <c r="B213" s="3" t="s">
        <v>168</v>
      </c>
      <c r="C213" s="3" t="s">
        <v>535</v>
      </c>
      <c r="D213" s="3" t="s">
        <v>876</v>
      </c>
      <c r="E213" s="3" t="s">
        <v>889</v>
      </c>
      <c r="F213" s="3" t="s">
        <v>639</v>
      </c>
      <c r="G213" s="3" t="s">
        <v>647</v>
      </c>
      <c r="H213" s="3" t="n">
        <v>900</v>
      </c>
      <c r="I213" s="3" t="n">
        <v>1</v>
      </c>
      <c r="J213" s="9" t="b">
        <f aca="false">FALSE()</f>
        <v>0</v>
      </c>
      <c r="K213" s="3" t="n">
        <v>5</v>
      </c>
      <c r="L213" s="3" t="n">
        <v>5</v>
      </c>
      <c r="M213" s="3" t="n">
        <v>610</v>
      </c>
      <c r="N213" s="3" t="n">
        <v>2.6</v>
      </c>
      <c r="O213" s="3" t="n">
        <v>230</v>
      </c>
    </row>
    <row r="214" customFormat="false" ht="15" hidden="false" customHeight="false" outlineLevel="0" collapsed="false">
      <c r="A214" s="3" t="s">
        <v>4</v>
      </c>
      <c r="B214" s="3" t="s">
        <v>171</v>
      </c>
      <c r="C214" s="3" t="s">
        <v>536</v>
      </c>
      <c r="D214" s="3" t="s">
        <v>690</v>
      </c>
      <c r="E214" s="3" t="s">
        <v>868</v>
      </c>
      <c r="F214" s="3" t="s">
        <v>643</v>
      </c>
      <c r="G214" s="3" t="s">
        <v>647</v>
      </c>
      <c r="H214" s="3" t="n">
        <v>3120</v>
      </c>
      <c r="I214" s="3" t="n">
        <v>1</v>
      </c>
      <c r="J214" s="9" t="b">
        <f aca="false">FALSE()</f>
        <v>0</v>
      </c>
      <c r="K214" s="3" t="n">
        <v>10</v>
      </c>
      <c r="L214" s="3" t="n">
        <v>10</v>
      </c>
      <c r="M214" s="3" t="n">
        <v>270</v>
      </c>
      <c r="N214" s="3" t="n">
        <v>3.9</v>
      </c>
      <c r="O214" s="3" t="n">
        <v>143</v>
      </c>
    </row>
    <row r="215" customFormat="false" ht="15" hidden="false" customHeight="false" outlineLevel="0" collapsed="false">
      <c r="A215" s="3" t="s">
        <v>4</v>
      </c>
      <c r="B215" s="3" t="s">
        <v>174</v>
      </c>
      <c r="C215" s="3" t="s">
        <v>537</v>
      </c>
      <c r="D215" s="3" t="s">
        <v>789</v>
      </c>
      <c r="E215" s="3" t="s">
        <v>741</v>
      </c>
      <c r="F215" s="3" t="s">
        <v>656</v>
      </c>
      <c r="G215" s="3" t="s">
        <v>647</v>
      </c>
      <c r="H215" s="3" t="n">
        <v>8000</v>
      </c>
      <c r="I215" s="3" t="n">
        <v>2</v>
      </c>
      <c r="J215" s="9" t="b">
        <f aca="false">TRUE()</f>
        <v>1</v>
      </c>
      <c r="K215" s="3" t="n">
        <v>6</v>
      </c>
      <c r="L215" s="3" t="n">
        <v>13</v>
      </c>
      <c r="M215" s="3" t="n">
        <v>386</v>
      </c>
      <c r="N215" s="3" t="n">
        <v>2.5</v>
      </c>
      <c r="O215" s="3" t="n">
        <v>116</v>
      </c>
    </row>
    <row r="216" customFormat="false" ht="15" hidden="false" customHeight="false" outlineLevel="0" collapsed="false">
      <c r="A216" s="3" t="s">
        <v>4</v>
      </c>
      <c r="B216" s="3" t="s">
        <v>178</v>
      </c>
      <c r="C216" s="3" t="s">
        <v>538</v>
      </c>
      <c r="D216" s="3" t="s">
        <v>748</v>
      </c>
      <c r="E216" s="3" t="s">
        <v>888</v>
      </c>
      <c r="F216" s="3" t="s">
        <v>646</v>
      </c>
      <c r="G216" s="3" t="s">
        <v>647</v>
      </c>
      <c r="H216" s="3" t="n">
        <v>1800</v>
      </c>
      <c r="I216" s="3" t="n">
        <v>1</v>
      </c>
      <c r="J216" s="9" t="b">
        <f aca="false">FALSE()</f>
        <v>0</v>
      </c>
      <c r="K216" s="3" t="n">
        <v>3</v>
      </c>
      <c r="L216" s="3" t="n">
        <v>3</v>
      </c>
      <c r="M216" s="3" t="n">
        <v>610</v>
      </c>
      <c r="N216" s="3" t="n">
        <v>2.6</v>
      </c>
      <c r="O216" s="3" t="n">
        <v>202</v>
      </c>
    </row>
    <row r="217" customFormat="false" ht="15" hidden="false" customHeight="false" outlineLevel="0" collapsed="false">
      <c r="A217" s="3" t="s">
        <v>4</v>
      </c>
      <c r="B217" s="3" t="s">
        <v>181</v>
      </c>
      <c r="C217" s="3" t="s">
        <v>539</v>
      </c>
      <c r="D217" s="3" t="s">
        <v>763</v>
      </c>
      <c r="E217" s="3" t="s">
        <v>714</v>
      </c>
      <c r="F217" s="3" t="s">
        <v>639</v>
      </c>
      <c r="G217" s="3" t="s">
        <v>647</v>
      </c>
      <c r="H217" s="3" t="n">
        <v>300</v>
      </c>
      <c r="I217" s="3" t="n">
        <v>1</v>
      </c>
      <c r="J217" s="9" t="b">
        <f aca="false">FALSE()</f>
        <v>0</v>
      </c>
      <c r="K217" s="3" t="n">
        <v>5</v>
      </c>
      <c r="L217" s="3" t="n">
        <v>5</v>
      </c>
      <c r="M217" s="3" t="n">
        <v>386</v>
      </c>
      <c r="N217" s="3" t="n">
        <v>2.5</v>
      </c>
      <c r="O217" s="3" t="n">
        <v>126</v>
      </c>
    </row>
    <row r="218" customFormat="false" ht="15" hidden="false" customHeight="false" outlineLevel="0" collapsed="false">
      <c r="A218" s="3" t="s">
        <v>4</v>
      </c>
      <c r="B218" s="3" t="s">
        <v>185</v>
      </c>
      <c r="C218" s="3" t="s">
        <v>540</v>
      </c>
      <c r="D218" s="3" t="s">
        <v>849</v>
      </c>
      <c r="E218" s="3" t="s">
        <v>890</v>
      </c>
      <c r="F218" s="3" t="s">
        <v>656</v>
      </c>
      <c r="G218" s="3" t="s">
        <v>647</v>
      </c>
      <c r="H218" s="3" t="n">
        <v>15000</v>
      </c>
      <c r="I218" s="3" t="n">
        <v>4</v>
      </c>
      <c r="J218" s="9" t="b">
        <f aca="false">TRUE()</f>
        <v>1</v>
      </c>
      <c r="K218" s="3" t="n">
        <v>3</v>
      </c>
      <c r="L218" s="3" t="n">
        <v>24</v>
      </c>
      <c r="M218" s="3" t="n">
        <v>610</v>
      </c>
      <c r="N218" s="3" t="n">
        <v>2.6</v>
      </c>
      <c r="O218" s="3" t="n">
        <v>218</v>
      </c>
    </row>
    <row r="219" customFormat="false" ht="15" hidden="false" customHeight="false" outlineLevel="0" collapsed="false">
      <c r="A219" s="3" t="s">
        <v>4</v>
      </c>
      <c r="B219" s="3" t="s">
        <v>188</v>
      </c>
      <c r="C219" s="3" t="s">
        <v>541</v>
      </c>
      <c r="D219" s="3" t="s">
        <v>891</v>
      </c>
      <c r="E219" s="3" t="s">
        <v>892</v>
      </c>
      <c r="F219" s="3" t="s">
        <v>639</v>
      </c>
      <c r="G219" s="3" t="s">
        <v>647</v>
      </c>
      <c r="H219" s="3" t="n">
        <v>7000</v>
      </c>
      <c r="I219" s="3" t="n">
        <v>1</v>
      </c>
      <c r="J219" s="9" t="b">
        <f aca="false">FALSE()</f>
        <v>0</v>
      </c>
      <c r="K219" s="3" t="n">
        <v>11</v>
      </c>
      <c r="L219" s="3" t="n">
        <v>11</v>
      </c>
      <c r="M219" s="3" t="n">
        <v>306</v>
      </c>
      <c r="N219" s="3" t="n">
        <v>3.9</v>
      </c>
      <c r="O219" s="3" t="n">
        <v>149</v>
      </c>
    </row>
    <row r="220" customFormat="false" ht="15" hidden="false" customHeight="false" outlineLevel="0" collapsed="false">
      <c r="A220" s="3" t="s">
        <v>4</v>
      </c>
      <c r="B220" s="3" t="s">
        <v>193</v>
      </c>
      <c r="C220" s="3" t="s">
        <v>542</v>
      </c>
      <c r="D220" s="3" t="s">
        <v>893</v>
      </c>
      <c r="E220" s="3" t="s">
        <v>894</v>
      </c>
      <c r="F220" s="3" t="s">
        <v>643</v>
      </c>
      <c r="G220" s="3" t="s">
        <v>647</v>
      </c>
      <c r="H220" s="3" t="n">
        <v>800</v>
      </c>
      <c r="I220" s="3" t="n">
        <v>1</v>
      </c>
      <c r="J220" s="9" t="b">
        <f aca="false">FALSE()</f>
        <v>0</v>
      </c>
      <c r="K220" s="3" t="n">
        <v>3</v>
      </c>
      <c r="L220" s="3" t="n">
        <v>3</v>
      </c>
      <c r="M220" s="3" t="n">
        <v>770</v>
      </c>
      <c r="N220" s="3" t="n">
        <v>1.7</v>
      </c>
      <c r="O220" s="3" t="n">
        <v>182</v>
      </c>
    </row>
    <row r="221" customFormat="false" ht="15" hidden="false" customHeight="false" outlineLevel="0" collapsed="false">
      <c r="A221" s="3" t="s">
        <v>4</v>
      </c>
      <c r="B221" s="3" t="s">
        <v>196</v>
      </c>
      <c r="C221" s="3" t="s">
        <v>543</v>
      </c>
      <c r="D221" s="3" t="s">
        <v>895</v>
      </c>
      <c r="E221" s="3" t="s">
        <v>896</v>
      </c>
      <c r="F221" s="3" t="s">
        <v>646</v>
      </c>
      <c r="G221" s="3" t="s">
        <v>647</v>
      </c>
      <c r="H221" s="3" t="n">
        <v>900</v>
      </c>
      <c r="I221" s="3" t="n">
        <v>1</v>
      </c>
      <c r="J221" s="9" t="b">
        <f aca="false">FALSE()</f>
        <v>0</v>
      </c>
      <c r="K221" s="3" t="n">
        <v>5</v>
      </c>
      <c r="L221" s="3" t="n">
        <v>5</v>
      </c>
      <c r="M221" s="3" t="n">
        <v>350</v>
      </c>
      <c r="N221" s="3" t="n">
        <v>2.5</v>
      </c>
      <c r="O221" s="3" t="n">
        <v>110</v>
      </c>
    </row>
    <row r="222" customFormat="false" ht="15" hidden="false" customHeight="false" outlineLevel="0" collapsed="false">
      <c r="A222" s="3" t="s">
        <v>4</v>
      </c>
      <c r="B222" s="3" t="s">
        <v>545</v>
      </c>
      <c r="C222" s="3" t="s">
        <v>546</v>
      </c>
      <c r="D222" s="3" t="s">
        <v>679</v>
      </c>
      <c r="E222" s="3" t="s">
        <v>897</v>
      </c>
      <c r="F222" s="3" t="s">
        <v>643</v>
      </c>
      <c r="G222" s="3" t="s">
        <v>647</v>
      </c>
      <c r="H222" s="3" t="n">
        <v>1200</v>
      </c>
      <c r="I222" s="3" t="n">
        <v>1</v>
      </c>
      <c r="J222" s="9" t="b">
        <f aca="false">FALSE()</f>
        <v>0</v>
      </c>
      <c r="K222" s="3" t="n">
        <v>7</v>
      </c>
      <c r="L222" s="3" t="n">
        <v>7</v>
      </c>
      <c r="M222" s="3" t="n">
        <v>386</v>
      </c>
      <c r="N222" s="3" t="n">
        <v>2.5</v>
      </c>
      <c r="O222" s="3" t="n">
        <v>122</v>
      </c>
    </row>
    <row r="223" customFormat="false" ht="15" hidden="false" customHeight="false" outlineLevel="0" collapsed="false">
      <c r="A223" s="3" t="s">
        <v>4</v>
      </c>
      <c r="B223" s="3" t="s">
        <v>199</v>
      </c>
      <c r="C223" s="3" t="s">
        <v>547</v>
      </c>
      <c r="D223" s="3" t="s">
        <v>884</v>
      </c>
      <c r="E223" s="3" t="s">
        <v>898</v>
      </c>
      <c r="F223" s="3" t="s">
        <v>646</v>
      </c>
      <c r="G223" s="3" t="s">
        <v>647</v>
      </c>
      <c r="H223" s="3" t="n">
        <v>36000</v>
      </c>
      <c r="I223" s="3" t="n">
        <v>6</v>
      </c>
      <c r="J223" s="9" t="b">
        <f aca="false">TRUE()</f>
        <v>1</v>
      </c>
      <c r="K223" s="3" t="n">
        <v>3</v>
      </c>
      <c r="L223" s="3" t="n">
        <v>38</v>
      </c>
      <c r="M223" s="3" t="n">
        <v>610</v>
      </c>
      <c r="N223" s="3" t="n">
        <v>2.6</v>
      </c>
      <c r="O223" s="3" t="n">
        <v>218</v>
      </c>
    </row>
    <row r="224" customFormat="false" ht="15" hidden="false" customHeight="false" outlineLevel="0" collapsed="false">
      <c r="A224" s="3" t="s">
        <v>4</v>
      </c>
      <c r="B224" s="3" t="s">
        <v>202</v>
      </c>
      <c r="C224" s="3" t="s">
        <v>548</v>
      </c>
      <c r="D224" s="3" t="s">
        <v>893</v>
      </c>
      <c r="E224" s="3" t="s">
        <v>899</v>
      </c>
      <c r="F224" s="3" t="s">
        <v>656</v>
      </c>
      <c r="G224" s="3" t="s">
        <v>647</v>
      </c>
      <c r="H224" s="3" t="n">
        <v>400</v>
      </c>
      <c r="I224" s="3" t="n">
        <v>1</v>
      </c>
      <c r="J224" s="9" t="b">
        <f aca="false">FALSE()</f>
        <v>0</v>
      </c>
      <c r="K224" s="3" t="n">
        <v>4</v>
      </c>
      <c r="L224" s="3" t="n">
        <v>4</v>
      </c>
      <c r="M224" s="3" t="n">
        <v>806</v>
      </c>
      <c r="N224" s="3" t="n">
        <v>1.7</v>
      </c>
      <c r="O224" s="3" t="n">
        <v>188</v>
      </c>
    </row>
    <row r="225" customFormat="false" ht="15" hidden="false" customHeight="false" outlineLevel="0" collapsed="false">
      <c r="A225" s="3" t="s">
        <v>4</v>
      </c>
      <c r="B225" s="3" t="s">
        <v>205</v>
      </c>
      <c r="C225" s="3" t="s">
        <v>549</v>
      </c>
      <c r="D225" s="3" t="s">
        <v>900</v>
      </c>
      <c r="E225" s="3" t="s">
        <v>901</v>
      </c>
      <c r="F225" s="3" t="s">
        <v>639</v>
      </c>
      <c r="G225" s="3" t="s">
        <v>647</v>
      </c>
      <c r="H225" s="3" t="n">
        <v>45000</v>
      </c>
      <c r="I225" s="3" t="n">
        <v>9</v>
      </c>
      <c r="J225" s="9" t="b">
        <f aca="false">TRUE()</f>
        <v>1</v>
      </c>
      <c r="K225" s="3" t="n">
        <v>5</v>
      </c>
      <c r="L225" s="3" t="n">
        <v>61</v>
      </c>
      <c r="M225" s="3" t="n">
        <v>350</v>
      </c>
      <c r="N225" s="3" t="n">
        <v>2.5</v>
      </c>
      <c r="O225" s="3" t="n">
        <v>110</v>
      </c>
    </row>
    <row r="226" customFormat="false" ht="15" hidden="false" customHeight="false" outlineLevel="0" collapsed="false">
      <c r="A226" s="3" t="s">
        <v>4</v>
      </c>
      <c r="B226" s="3" t="s">
        <v>209</v>
      </c>
      <c r="C226" s="3" t="s">
        <v>550</v>
      </c>
      <c r="D226" s="3" t="s">
        <v>746</v>
      </c>
      <c r="E226" s="3" t="s">
        <v>860</v>
      </c>
      <c r="F226" s="3" t="s">
        <v>656</v>
      </c>
      <c r="G226" s="3" t="s">
        <v>647</v>
      </c>
      <c r="H226" s="3" t="n">
        <v>800</v>
      </c>
      <c r="I226" s="3" t="n">
        <v>1</v>
      </c>
      <c r="J226" s="9" t="b">
        <f aca="false">FALSE()</f>
        <v>0</v>
      </c>
      <c r="K226" s="3" t="n">
        <v>5</v>
      </c>
      <c r="L226" s="3" t="n">
        <v>5</v>
      </c>
      <c r="M226" s="3" t="n">
        <v>386</v>
      </c>
      <c r="N226" s="3" t="n">
        <v>2.5</v>
      </c>
      <c r="O226" s="3" t="n">
        <v>110</v>
      </c>
    </row>
    <row r="227" customFormat="false" ht="15" hidden="false" customHeight="false" outlineLevel="0" collapsed="false">
      <c r="A227" s="3" t="s">
        <v>4</v>
      </c>
      <c r="B227" s="3" t="s">
        <v>212</v>
      </c>
      <c r="C227" s="3" t="s">
        <v>551</v>
      </c>
      <c r="D227" s="3" t="s">
        <v>849</v>
      </c>
      <c r="E227" s="3" t="s">
        <v>813</v>
      </c>
      <c r="F227" s="3" t="s">
        <v>639</v>
      </c>
      <c r="G227" s="3" t="s">
        <v>647</v>
      </c>
      <c r="H227" s="3" t="n">
        <v>36000</v>
      </c>
      <c r="I227" s="3" t="n">
        <v>6</v>
      </c>
      <c r="J227" s="9" t="b">
        <f aca="false">TRUE()</f>
        <v>1</v>
      </c>
      <c r="K227" s="3" t="n">
        <v>10</v>
      </c>
      <c r="L227" s="3" t="n">
        <v>45</v>
      </c>
      <c r="M227" s="3" t="n">
        <v>270</v>
      </c>
      <c r="N227" s="3" t="n">
        <v>3.9</v>
      </c>
      <c r="O227" s="3" t="n">
        <v>127</v>
      </c>
    </row>
    <row r="228" customFormat="false" ht="15" hidden="false" customHeight="false" outlineLevel="0" collapsed="false">
      <c r="A228" s="3" t="s">
        <v>4</v>
      </c>
      <c r="B228" s="3" t="s">
        <v>216</v>
      </c>
      <c r="C228" s="3" t="s">
        <v>552</v>
      </c>
      <c r="D228" s="3" t="s">
        <v>777</v>
      </c>
      <c r="E228" s="3" t="s">
        <v>902</v>
      </c>
      <c r="F228" s="3" t="s">
        <v>656</v>
      </c>
      <c r="G228" s="3" t="s">
        <v>647</v>
      </c>
      <c r="H228" s="3" t="n">
        <v>4000</v>
      </c>
      <c r="I228" s="3" t="n">
        <v>1</v>
      </c>
      <c r="J228" s="9" t="b">
        <f aca="false">FALSE()</f>
        <v>0</v>
      </c>
      <c r="K228" s="3" t="n">
        <v>3</v>
      </c>
      <c r="L228" s="3" t="n">
        <v>3</v>
      </c>
      <c r="M228" s="3" t="n">
        <v>610</v>
      </c>
      <c r="N228" s="3" t="n">
        <v>2.6</v>
      </c>
      <c r="O228" s="3" t="n">
        <v>218</v>
      </c>
    </row>
    <row r="229" customFormat="false" ht="15" hidden="false" customHeight="false" outlineLevel="0" collapsed="false">
      <c r="A229" s="3" t="s">
        <v>4</v>
      </c>
      <c r="B229" s="3" t="s">
        <v>222</v>
      </c>
      <c r="C229" s="3" t="s">
        <v>553</v>
      </c>
      <c r="D229" s="3" t="s">
        <v>903</v>
      </c>
      <c r="E229" s="3" t="s">
        <v>741</v>
      </c>
      <c r="F229" s="3" t="s">
        <v>639</v>
      </c>
      <c r="G229" s="3" t="s">
        <v>647</v>
      </c>
      <c r="H229" s="3" t="n">
        <v>700</v>
      </c>
      <c r="I229" s="3" t="n">
        <v>1</v>
      </c>
      <c r="J229" s="9" t="b">
        <f aca="false">FALSE()</f>
        <v>0</v>
      </c>
      <c r="K229" s="3" t="n">
        <v>5</v>
      </c>
      <c r="L229" s="3" t="n">
        <v>5</v>
      </c>
      <c r="M229" s="3" t="n">
        <v>386</v>
      </c>
      <c r="N229" s="3" t="n">
        <v>2.5</v>
      </c>
      <c r="O229" s="3" t="n">
        <v>126</v>
      </c>
    </row>
    <row r="230" customFormat="false" ht="15" hidden="false" customHeight="false" outlineLevel="0" collapsed="false">
      <c r="A230" s="3" t="s">
        <v>4</v>
      </c>
      <c r="B230" s="3" t="s">
        <v>226</v>
      </c>
      <c r="C230" s="3" t="s">
        <v>554</v>
      </c>
      <c r="D230" s="3" t="s">
        <v>777</v>
      </c>
      <c r="E230" s="3" t="s">
        <v>902</v>
      </c>
      <c r="F230" s="3" t="s">
        <v>643</v>
      </c>
      <c r="G230" s="3" t="s">
        <v>647</v>
      </c>
      <c r="H230" s="3" t="n">
        <v>800</v>
      </c>
      <c r="I230" s="3" t="n">
        <v>1</v>
      </c>
      <c r="J230" s="9" t="b">
        <f aca="false">FALSE()</f>
        <v>0</v>
      </c>
      <c r="K230" s="3" t="n">
        <v>10</v>
      </c>
      <c r="L230" s="3" t="n">
        <v>10</v>
      </c>
      <c r="M230" s="3" t="n">
        <v>270</v>
      </c>
      <c r="N230" s="3" t="n">
        <v>3.9</v>
      </c>
      <c r="O230" s="3" t="n">
        <v>127</v>
      </c>
    </row>
    <row r="231" customFormat="false" ht="15" hidden="false" customHeight="false" outlineLevel="0" collapsed="false">
      <c r="A231" s="3" t="s">
        <v>4</v>
      </c>
      <c r="B231" s="3" t="s">
        <v>229</v>
      </c>
      <c r="C231" s="3" t="s">
        <v>555</v>
      </c>
      <c r="D231" s="3" t="s">
        <v>904</v>
      </c>
      <c r="E231" s="3" t="s">
        <v>844</v>
      </c>
      <c r="F231" s="3" t="s">
        <v>656</v>
      </c>
      <c r="G231" s="3" t="s">
        <v>647</v>
      </c>
      <c r="H231" s="3" t="n">
        <v>30000</v>
      </c>
      <c r="I231" s="3" t="n">
        <v>7</v>
      </c>
      <c r="J231" s="9" t="b">
        <f aca="false">TRUE()</f>
        <v>1</v>
      </c>
      <c r="K231" s="3" t="n">
        <v>5</v>
      </c>
      <c r="L231" s="3" t="n">
        <v>47</v>
      </c>
      <c r="M231" s="3" t="n">
        <v>350</v>
      </c>
      <c r="N231" s="3" t="n">
        <v>2.5</v>
      </c>
      <c r="O231" s="3" t="n">
        <v>126</v>
      </c>
    </row>
    <row r="232" customFormat="false" ht="15" hidden="false" customHeight="false" outlineLevel="0" collapsed="false">
      <c r="A232" s="3" t="s">
        <v>4</v>
      </c>
      <c r="B232" s="3" t="s">
        <v>233</v>
      </c>
      <c r="C232" s="3" t="s">
        <v>556</v>
      </c>
      <c r="D232" s="3" t="s">
        <v>789</v>
      </c>
      <c r="E232" s="3" t="s">
        <v>741</v>
      </c>
      <c r="F232" s="3" t="s">
        <v>643</v>
      </c>
      <c r="G232" s="3" t="s">
        <v>647</v>
      </c>
      <c r="H232" s="3" t="n">
        <v>36000</v>
      </c>
      <c r="I232" s="3" t="n">
        <v>12</v>
      </c>
      <c r="J232" s="9" t="b">
        <f aca="false">TRUE()</f>
        <v>1</v>
      </c>
      <c r="K232" s="3" t="n">
        <v>3</v>
      </c>
      <c r="L232" s="3" t="n">
        <v>80</v>
      </c>
      <c r="M232" s="3" t="n">
        <v>806</v>
      </c>
      <c r="N232" s="3" t="n">
        <v>1.7</v>
      </c>
      <c r="O232" s="3" t="n">
        <v>182</v>
      </c>
    </row>
    <row r="233" customFormat="false" ht="15" hidden="false" customHeight="false" outlineLevel="0" collapsed="false">
      <c r="A233" s="3" t="s">
        <v>4</v>
      </c>
      <c r="B233" s="3" t="s">
        <v>237</v>
      </c>
      <c r="C233" s="3" t="s">
        <v>557</v>
      </c>
      <c r="D233" s="3" t="s">
        <v>905</v>
      </c>
      <c r="E233" s="3" t="s">
        <v>777</v>
      </c>
      <c r="F233" s="3" t="s">
        <v>639</v>
      </c>
      <c r="G233" s="3" t="s">
        <v>647</v>
      </c>
      <c r="H233" s="3" t="n">
        <v>1400</v>
      </c>
      <c r="I233" s="3" t="n">
        <v>1</v>
      </c>
      <c r="J233" s="9" t="b">
        <f aca="false">FALSE()</f>
        <v>0</v>
      </c>
      <c r="K233" s="3" t="n">
        <v>10</v>
      </c>
      <c r="L233" s="3" t="n">
        <v>10</v>
      </c>
      <c r="M233" s="3" t="n">
        <v>270</v>
      </c>
      <c r="N233" s="3" t="n">
        <v>3.9</v>
      </c>
      <c r="O233" s="3" t="n">
        <v>143</v>
      </c>
    </row>
    <row r="234" customFormat="false" ht="15" hidden="false" customHeight="false" outlineLevel="0" collapsed="false">
      <c r="A234" s="3" t="s">
        <v>4</v>
      </c>
      <c r="B234" s="3" t="s">
        <v>240</v>
      </c>
      <c r="C234" s="3" t="s">
        <v>558</v>
      </c>
      <c r="D234" s="3" t="s">
        <v>898</v>
      </c>
      <c r="E234" s="3" t="s">
        <v>804</v>
      </c>
      <c r="F234" s="3" t="s">
        <v>639</v>
      </c>
      <c r="G234" s="3" t="s">
        <v>647</v>
      </c>
      <c r="H234" s="3" t="n">
        <v>1500</v>
      </c>
      <c r="I234" s="3" t="n">
        <v>1</v>
      </c>
      <c r="J234" s="9" t="b">
        <f aca="false">FALSE()</f>
        <v>0</v>
      </c>
      <c r="K234" s="3" t="n">
        <v>5</v>
      </c>
      <c r="L234" s="3" t="n">
        <v>5</v>
      </c>
      <c r="M234" s="3" t="n">
        <v>646</v>
      </c>
      <c r="N234" s="3" t="n">
        <v>2.6</v>
      </c>
      <c r="O234" s="3" t="n">
        <v>214</v>
      </c>
    </row>
    <row r="235" customFormat="false" ht="15" hidden="false" customHeight="false" outlineLevel="0" collapsed="false">
      <c r="A235" s="3" t="s">
        <v>4</v>
      </c>
      <c r="B235" s="3" t="s">
        <v>243</v>
      </c>
      <c r="C235" s="3" t="s">
        <v>559</v>
      </c>
      <c r="D235" s="3" t="s">
        <v>875</v>
      </c>
      <c r="E235" s="3" t="s">
        <v>745</v>
      </c>
      <c r="F235" s="3" t="s">
        <v>643</v>
      </c>
      <c r="G235" s="3" t="s">
        <v>647</v>
      </c>
      <c r="H235" s="3" t="n">
        <v>100</v>
      </c>
      <c r="I235" s="3" t="n">
        <v>1</v>
      </c>
      <c r="J235" s="9" t="b">
        <f aca="false">FALSE()</f>
        <v>0</v>
      </c>
      <c r="K235" s="3" t="n">
        <v>10</v>
      </c>
      <c r="L235" s="3" t="n">
        <v>10</v>
      </c>
      <c r="M235" s="3" t="n">
        <v>342</v>
      </c>
      <c r="N235" s="3" t="n">
        <v>3.9</v>
      </c>
      <c r="O235" s="3" t="n">
        <v>127</v>
      </c>
    </row>
    <row r="236" customFormat="false" ht="15" hidden="false" customHeight="false" outlineLevel="0" collapsed="false">
      <c r="A236" s="3" t="s">
        <v>4</v>
      </c>
      <c r="B236" s="3" t="s">
        <v>248</v>
      </c>
      <c r="C236" s="3" t="s">
        <v>560</v>
      </c>
      <c r="D236" s="3" t="s">
        <v>906</v>
      </c>
      <c r="E236" s="3" t="s">
        <v>907</v>
      </c>
      <c r="F236" s="3" t="s">
        <v>656</v>
      </c>
      <c r="G236" s="3" t="s">
        <v>647</v>
      </c>
      <c r="H236" s="3" t="n">
        <v>40000</v>
      </c>
      <c r="I236" s="3" t="n">
        <v>9</v>
      </c>
      <c r="J236" s="9" t="b">
        <f aca="false">TRUE()</f>
        <v>1</v>
      </c>
      <c r="K236" s="3" t="n">
        <v>6</v>
      </c>
      <c r="L236" s="3" t="n">
        <v>62</v>
      </c>
      <c r="M236" s="3" t="n">
        <v>350</v>
      </c>
      <c r="N236" s="3" t="n">
        <v>2.5</v>
      </c>
      <c r="O236" s="3" t="n">
        <v>132</v>
      </c>
    </row>
    <row r="237" customFormat="false" ht="15" hidden="false" customHeight="false" outlineLevel="0" collapsed="false">
      <c r="A237" s="3" t="s">
        <v>4</v>
      </c>
      <c r="B237" s="3" t="s">
        <v>251</v>
      </c>
      <c r="C237" s="3" t="s">
        <v>561</v>
      </c>
      <c r="D237" s="3" t="s">
        <v>810</v>
      </c>
      <c r="E237" s="3" t="s">
        <v>820</v>
      </c>
      <c r="F237" s="3" t="s">
        <v>646</v>
      </c>
      <c r="G237" s="3" t="s">
        <v>647</v>
      </c>
      <c r="H237" s="3" t="n">
        <v>600</v>
      </c>
      <c r="I237" s="3" t="n">
        <v>1</v>
      </c>
      <c r="J237" s="9" t="b">
        <f aca="false">FALSE()</f>
        <v>0</v>
      </c>
      <c r="K237" s="3" t="n">
        <v>3</v>
      </c>
      <c r="L237" s="3" t="n">
        <v>3</v>
      </c>
      <c r="M237" s="3" t="n">
        <v>610</v>
      </c>
      <c r="N237" s="3" t="n">
        <v>2.6</v>
      </c>
      <c r="O237" s="3" t="n">
        <v>218</v>
      </c>
    </row>
    <row r="238" customFormat="false" ht="15" hidden="false" customHeight="false" outlineLevel="0" collapsed="false">
      <c r="A238" s="3" t="s">
        <v>4</v>
      </c>
      <c r="B238" s="3" t="s">
        <v>264</v>
      </c>
      <c r="C238" s="3" t="s">
        <v>533</v>
      </c>
      <c r="D238" s="3" t="s">
        <v>886</v>
      </c>
      <c r="E238" s="3" t="s">
        <v>887</v>
      </c>
      <c r="F238" s="3" t="s">
        <v>656</v>
      </c>
      <c r="G238" s="3" t="s">
        <v>647</v>
      </c>
      <c r="H238" s="3" t="n">
        <v>1200</v>
      </c>
      <c r="I238" s="3" t="n">
        <v>1</v>
      </c>
      <c r="J238" s="9" t="b">
        <f aca="false">FALSE()</f>
        <v>0</v>
      </c>
      <c r="K238" s="3" t="n">
        <v>5</v>
      </c>
      <c r="L238" s="3" t="n">
        <v>5</v>
      </c>
      <c r="M238" s="3" t="n">
        <v>350</v>
      </c>
      <c r="N238" s="3" t="n">
        <v>2.5</v>
      </c>
      <c r="O238" s="3" t="n">
        <v>110</v>
      </c>
    </row>
    <row r="239" customFormat="false" ht="15" hidden="false" customHeight="false" outlineLevel="0" collapsed="false">
      <c r="A239" s="3" t="s">
        <v>4</v>
      </c>
      <c r="B239" s="3" t="s">
        <v>266</v>
      </c>
      <c r="C239" s="3" t="s">
        <v>562</v>
      </c>
      <c r="D239" s="3" t="s">
        <v>908</v>
      </c>
      <c r="E239" s="3" t="s">
        <v>839</v>
      </c>
      <c r="F239" s="3" t="s">
        <v>639</v>
      </c>
      <c r="G239" s="3" t="s">
        <v>647</v>
      </c>
      <c r="H239" s="3" t="n">
        <v>1300</v>
      </c>
      <c r="I239" s="3" t="n">
        <v>1</v>
      </c>
      <c r="J239" s="9" t="b">
        <f aca="false">FALSE()</f>
        <v>0</v>
      </c>
      <c r="K239" s="3" t="n">
        <v>11</v>
      </c>
      <c r="L239" s="3" t="n">
        <v>11</v>
      </c>
      <c r="M239" s="3" t="n">
        <v>306</v>
      </c>
      <c r="N239" s="3" t="n">
        <v>3.9</v>
      </c>
      <c r="O239" s="3" t="n">
        <v>133</v>
      </c>
    </row>
    <row r="240" customFormat="false" ht="15" hidden="false" customHeight="false" outlineLevel="0" collapsed="false">
      <c r="A240" s="3" t="s">
        <v>4</v>
      </c>
      <c r="B240" s="3" t="s">
        <v>270</v>
      </c>
      <c r="C240" s="3" t="s">
        <v>563</v>
      </c>
      <c r="D240" s="3" t="s">
        <v>644</v>
      </c>
      <c r="E240" s="3" t="s">
        <v>887</v>
      </c>
      <c r="F240" s="3" t="s">
        <v>646</v>
      </c>
      <c r="G240" s="3" t="s">
        <v>647</v>
      </c>
      <c r="H240" s="3" t="n">
        <v>1500</v>
      </c>
      <c r="I240" s="3" t="n">
        <v>1</v>
      </c>
      <c r="J240" s="9" t="b">
        <f aca="false">FALSE()</f>
        <v>0</v>
      </c>
      <c r="K240" s="3" t="n">
        <v>5</v>
      </c>
      <c r="L240" s="3" t="n">
        <v>5</v>
      </c>
      <c r="M240" s="3" t="n">
        <v>350</v>
      </c>
      <c r="N240" s="3" t="n">
        <v>2.5</v>
      </c>
      <c r="O240" s="3" t="n">
        <v>126</v>
      </c>
    </row>
    <row r="241" customFormat="false" ht="15" hidden="false" customHeight="false" outlineLevel="0" collapsed="false">
      <c r="A241" s="3" t="s">
        <v>4</v>
      </c>
      <c r="B241" s="3" t="s">
        <v>273</v>
      </c>
      <c r="C241" s="3" t="s">
        <v>564</v>
      </c>
      <c r="D241" s="3" t="s">
        <v>690</v>
      </c>
      <c r="E241" s="3" t="s">
        <v>793</v>
      </c>
      <c r="F241" s="3" t="s">
        <v>639</v>
      </c>
      <c r="G241" s="3" t="s">
        <v>647</v>
      </c>
      <c r="H241" s="3" t="n">
        <v>16000</v>
      </c>
      <c r="I241" s="3" t="n">
        <v>4</v>
      </c>
      <c r="J241" s="9" t="b">
        <f aca="false">TRUE()</f>
        <v>1</v>
      </c>
      <c r="K241" s="3" t="n">
        <v>10</v>
      </c>
      <c r="L241" s="3" t="n">
        <v>31</v>
      </c>
      <c r="M241" s="3" t="n">
        <v>270</v>
      </c>
      <c r="N241" s="3" t="n">
        <v>3.9</v>
      </c>
      <c r="O241" s="3" t="n">
        <v>127</v>
      </c>
    </row>
    <row r="242" customFormat="false" ht="15" hidden="false" customHeight="false" outlineLevel="0" collapsed="false">
      <c r="A242" s="3" t="s">
        <v>4</v>
      </c>
      <c r="B242" s="3" t="s">
        <v>276</v>
      </c>
      <c r="C242" s="3" t="s">
        <v>565</v>
      </c>
      <c r="D242" s="3" t="s">
        <v>880</v>
      </c>
      <c r="E242" s="3" t="s">
        <v>909</v>
      </c>
      <c r="F242" s="3" t="s">
        <v>639</v>
      </c>
      <c r="G242" s="3" t="s">
        <v>647</v>
      </c>
      <c r="H242" s="3" t="n">
        <v>1700</v>
      </c>
      <c r="I242" s="3" t="n">
        <v>1</v>
      </c>
      <c r="J242" s="9" t="b">
        <f aca="false">FALSE()</f>
        <v>0</v>
      </c>
      <c r="K242" s="3" t="n">
        <v>5</v>
      </c>
      <c r="L242" s="3" t="n">
        <v>5</v>
      </c>
      <c r="M242" s="3" t="n">
        <v>646</v>
      </c>
      <c r="N242" s="3" t="n">
        <v>2.6</v>
      </c>
      <c r="O242" s="3" t="n">
        <v>230</v>
      </c>
    </row>
    <row r="243" customFormat="false" ht="15" hidden="false" customHeight="false" outlineLevel="0" collapsed="false">
      <c r="A243" s="3" t="s">
        <v>4</v>
      </c>
      <c r="B243" s="3" t="s">
        <v>567</v>
      </c>
      <c r="C243" s="3" t="s">
        <v>568</v>
      </c>
      <c r="D243" s="3" t="s">
        <v>743</v>
      </c>
      <c r="E243" s="3" t="s">
        <v>881</v>
      </c>
      <c r="F243" s="3" t="s">
        <v>643</v>
      </c>
      <c r="G243" s="3" t="s">
        <v>647</v>
      </c>
      <c r="H243" s="3" t="n">
        <v>1800</v>
      </c>
      <c r="I243" s="3" t="n">
        <v>1</v>
      </c>
      <c r="J243" s="9" t="b">
        <f aca="false">FALSE()</f>
        <v>0</v>
      </c>
      <c r="K243" s="3" t="n">
        <v>7</v>
      </c>
      <c r="L243" s="3" t="n">
        <v>7</v>
      </c>
      <c r="M243" s="3" t="n">
        <v>386</v>
      </c>
      <c r="N243" s="3" t="n">
        <v>2.5</v>
      </c>
      <c r="O243" s="3" t="n">
        <v>138</v>
      </c>
    </row>
    <row r="244" customFormat="false" ht="15" hidden="false" customHeight="false" outlineLevel="0" collapsed="false">
      <c r="A244" s="3" t="s">
        <v>4</v>
      </c>
      <c r="B244" s="3" t="s">
        <v>279</v>
      </c>
      <c r="C244" s="3" t="s">
        <v>569</v>
      </c>
      <c r="D244" s="3" t="s">
        <v>796</v>
      </c>
      <c r="E244" s="3" t="s">
        <v>910</v>
      </c>
      <c r="F244" s="3" t="s">
        <v>656</v>
      </c>
      <c r="G244" s="3" t="s">
        <v>647</v>
      </c>
      <c r="H244" s="3" t="n">
        <v>200</v>
      </c>
      <c r="I244" s="3" t="n">
        <v>1</v>
      </c>
      <c r="J244" s="9" t="b">
        <f aca="false">FALSE()</f>
        <v>0</v>
      </c>
      <c r="K244" s="3" t="n">
        <v>3</v>
      </c>
      <c r="L244" s="3" t="n">
        <v>3</v>
      </c>
      <c r="M244" s="3" t="n">
        <v>610</v>
      </c>
      <c r="N244" s="3" t="n">
        <v>2.6</v>
      </c>
      <c r="O244" s="3" t="n">
        <v>218</v>
      </c>
    </row>
    <row r="245" customFormat="false" ht="15" hidden="false" customHeight="false" outlineLevel="0" collapsed="false">
      <c r="A245" s="3" t="s">
        <v>4</v>
      </c>
      <c r="B245" s="3" t="s">
        <v>285</v>
      </c>
      <c r="C245" s="3" t="s">
        <v>570</v>
      </c>
      <c r="D245" s="3" t="s">
        <v>911</v>
      </c>
      <c r="E245" s="3" t="s">
        <v>912</v>
      </c>
      <c r="F245" s="3" t="s">
        <v>643</v>
      </c>
      <c r="G245" s="3" t="s">
        <v>647</v>
      </c>
      <c r="H245" s="3" t="n">
        <v>400</v>
      </c>
      <c r="I245" s="3" t="n">
        <v>1</v>
      </c>
      <c r="J245" s="9" t="b">
        <f aca="false">FALSE()</f>
        <v>0</v>
      </c>
      <c r="K245" s="3" t="n">
        <v>2</v>
      </c>
      <c r="L245" s="3" t="n">
        <v>2</v>
      </c>
      <c r="M245" s="3" t="n">
        <v>842</v>
      </c>
      <c r="N245" s="3" t="n">
        <v>1.7</v>
      </c>
      <c r="O245" s="3" t="n">
        <v>176</v>
      </c>
    </row>
    <row r="246" customFormat="false" ht="15" hidden="false" customHeight="false" outlineLevel="0" collapsed="false">
      <c r="A246" s="3" t="s">
        <v>4</v>
      </c>
      <c r="B246" s="3" t="s">
        <v>288</v>
      </c>
      <c r="C246" s="3" t="s">
        <v>571</v>
      </c>
      <c r="D246" s="3" t="s">
        <v>913</v>
      </c>
      <c r="E246" s="3" t="s">
        <v>914</v>
      </c>
      <c r="F246" s="3" t="s">
        <v>639</v>
      </c>
      <c r="G246" s="3" t="s">
        <v>647</v>
      </c>
      <c r="H246" s="3" t="n">
        <v>1100</v>
      </c>
      <c r="I246" s="3" t="n">
        <v>1</v>
      </c>
      <c r="J246" s="9" t="b">
        <f aca="false">FALSE()</f>
        <v>0</v>
      </c>
      <c r="K246" s="3" t="n">
        <v>5</v>
      </c>
      <c r="L246" s="3" t="n">
        <v>5</v>
      </c>
      <c r="M246" s="3" t="n">
        <v>350</v>
      </c>
      <c r="N246" s="3" t="n">
        <v>2.5</v>
      </c>
      <c r="O246" s="3" t="n">
        <v>126</v>
      </c>
    </row>
    <row r="247" customFormat="false" ht="15" hidden="false" customHeight="false" outlineLevel="0" collapsed="false">
      <c r="A247" s="3" t="s">
        <v>4</v>
      </c>
      <c r="B247" s="3" t="s">
        <v>295</v>
      </c>
      <c r="C247" s="3" t="s">
        <v>572</v>
      </c>
      <c r="D247" s="3" t="s">
        <v>915</v>
      </c>
      <c r="E247" s="3" t="s">
        <v>916</v>
      </c>
      <c r="F247" s="3" t="s">
        <v>656</v>
      </c>
      <c r="G247" s="3" t="s">
        <v>647</v>
      </c>
      <c r="H247" s="3" t="n">
        <v>1400</v>
      </c>
      <c r="I247" s="3" t="n">
        <v>1</v>
      </c>
      <c r="J247" s="9" t="b">
        <f aca="false">FALSE()</f>
        <v>0</v>
      </c>
      <c r="K247" s="3" t="n">
        <v>5</v>
      </c>
      <c r="L247" s="3" t="n">
        <v>5</v>
      </c>
      <c r="M247" s="3" t="n">
        <v>386</v>
      </c>
      <c r="N247" s="3" t="n">
        <v>2.5</v>
      </c>
      <c r="O247" s="3" t="n">
        <v>126</v>
      </c>
    </row>
    <row r="248" customFormat="false" ht="15" hidden="false" customHeight="false" outlineLevel="0" collapsed="false">
      <c r="A248" s="3" t="s">
        <v>4</v>
      </c>
      <c r="B248" s="3" t="s">
        <v>298</v>
      </c>
      <c r="C248" s="3" t="s">
        <v>573</v>
      </c>
      <c r="D248" s="3" t="s">
        <v>786</v>
      </c>
      <c r="E248" s="3" t="s">
        <v>872</v>
      </c>
      <c r="F248" s="3" t="s">
        <v>639</v>
      </c>
      <c r="G248" s="3" t="s">
        <v>647</v>
      </c>
      <c r="H248" s="3" t="n">
        <v>1800</v>
      </c>
      <c r="I248" s="3" t="n">
        <v>1</v>
      </c>
      <c r="J248" s="9" t="b">
        <f aca="false">FALSE()</f>
        <v>0</v>
      </c>
      <c r="K248" s="3" t="n">
        <v>10</v>
      </c>
      <c r="L248" s="3" t="n">
        <v>10</v>
      </c>
      <c r="M248" s="3" t="n">
        <v>270</v>
      </c>
      <c r="N248" s="3" t="n">
        <v>3.9</v>
      </c>
      <c r="O248" s="3" t="n">
        <v>143</v>
      </c>
    </row>
    <row r="249" customFormat="false" ht="15" hidden="false" customHeight="false" outlineLevel="0" collapsed="false">
      <c r="A249" s="3" t="s">
        <v>4</v>
      </c>
      <c r="B249" s="3" t="s">
        <v>301</v>
      </c>
      <c r="C249" s="3" t="s">
        <v>574</v>
      </c>
      <c r="D249" s="3" t="s">
        <v>917</v>
      </c>
      <c r="E249" s="3" t="s">
        <v>808</v>
      </c>
      <c r="F249" s="3" t="s">
        <v>639</v>
      </c>
      <c r="G249" s="3" t="s">
        <v>647</v>
      </c>
      <c r="H249" s="3" t="n">
        <v>100</v>
      </c>
      <c r="I249" s="3" t="n">
        <v>1</v>
      </c>
      <c r="J249" s="9" t="b">
        <f aca="false">FALSE()</f>
        <v>0</v>
      </c>
      <c r="K249" s="3" t="n">
        <v>5</v>
      </c>
      <c r="L249" s="3" t="n">
        <v>5</v>
      </c>
      <c r="M249" s="3" t="n">
        <v>610</v>
      </c>
      <c r="N249" s="3" t="n">
        <v>2.6</v>
      </c>
      <c r="O249" s="3" t="n">
        <v>214</v>
      </c>
    </row>
    <row r="250" customFormat="false" ht="15" hidden="false" customHeight="false" outlineLevel="0" collapsed="false">
      <c r="A250" s="3" t="s">
        <v>4</v>
      </c>
      <c r="B250" s="3" t="s">
        <v>304</v>
      </c>
      <c r="C250" s="3" t="s">
        <v>575</v>
      </c>
      <c r="D250" s="3" t="s">
        <v>800</v>
      </c>
      <c r="E250" s="3" t="s">
        <v>918</v>
      </c>
      <c r="F250" s="3" t="s">
        <v>643</v>
      </c>
      <c r="G250" s="3" t="s">
        <v>647</v>
      </c>
      <c r="H250" s="3" t="n">
        <v>500</v>
      </c>
      <c r="I250" s="3" t="n">
        <v>1</v>
      </c>
      <c r="J250" s="9" t="b">
        <f aca="false">FALSE()</f>
        <v>0</v>
      </c>
      <c r="K250" s="3" t="n">
        <v>10</v>
      </c>
      <c r="L250" s="3" t="n">
        <v>10</v>
      </c>
      <c r="M250" s="3" t="n">
        <v>270</v>
      </c>
      <c r="N250" s="3" t="n">
        <v>3.9</v>
      </c>
      <c r="O250" s="3" t="n">
        <v>127</v>
      </c>
    </row>
    <row r="251" customFormat="false" ht="15" hidden="false" customHeight="false" outlineLevel="0" collapsed="false">
      <c r="A251" s="3" t="s">
        <v>4</v>
      </c>
      <c r="B251" s="3" t="s">
        <v>307</v>
      </c>
      <c r="C251" s="3" t="s">
        <v>576</v>
      </c>
      <c r="D251" s="3" t="s">
        <v>893</v>
      </c>
      <c r="E251" s="3" t="s">
        <v>894</v>
      </c>
      <c r="F251" s="3" t="s">
        <v>656</v>
      </c>
      <c r="G251" s="3" t="s">
        <v>647</v>
      </c>
      <c r="H251" s="3" t="n">
        <v>800</v>
      </c>
      <c r="I251" s="3" t="n">
        <v>1</v>
      </c>
      <c r="J251" s="9" t="b">
        <f aca="false">FALSE()</f>
        <v>0</v>
      </c>
      <c r="K251" s="3" t="n">
        <v>6</v>
      </c>
      <c r="L251" s="3" t="n">
        <v>6</v>
      </c>
      <c r="M251" s="3" t="n">
        <v>350</v>
      </c>
      <c r="N251" s="3" t="n">
        <v>2.5</v>
      </c>
      <c r="O251" s="3" t="n">
        <v>132</v>
      </c>
    </row>
    <row r="252" customFormat="false" ht="15" hidden="false" customHeight="false" outlineLevel="0" collapsed="false">
      <c r="A252" s="3" t="s">
        <v>4</v>
      </c>
      <c r="B252" s="3" t="s">
        <v>314</v>
      </c>
      <c r="C252" s="3" t="s">
        <v>529</v>
      </c>
      <c r="D252" s="3" t="s">
        <v>879</v>
      </c>
      <c r="E252" s="3" t="s">
        <v>880</v>
      </c>
      <c r="F252" s="3" t="s">
        <v>646</v>
      </c>
      <c r="G252" s="3" t="s">
        <v>647</v>
      </c>
      <c r="H252" s="3" t="n">
        <v>1000</v>
      </c>
      <c r="I252" s="3" t="n">
        <v>1</v>
      </c>
      <c r="J252" s="9" t="b">
        <f aca="false">FALSE()</f>
        <v>0</v>
      </c>
      <c r="K252" s="3" t="n">
        <v>3</v>
      </c>
      <c r="L252" s="3" t="n">
        <v>3</v>
      </c>
      <c r="M252" s="3" t="n">
        <v>610</v>
      </c>
      <c r="N252" s="3" t="n">
        <v>2.6</v>
      </c>
      <c r="O252" s="3" t="n">
        <v>218</v>
      </c>
    </row>
    <row r="253" customFormat="false" ht="15" hidden="false" customHeight="false" outlineLevel="0" collapsed="false">
      <c r="A253" s="3" t="s">
        <v>4</v>
      </c>
      <c r="B253" s="3" t="s">
        <v>316</v>
      </c>
      <c r="C253" s="3" t="s">
        <v>577</v>
      </c>
      <c r="D253" s="3" t="s">
        <v>919</v>
      </c>
      <c r="E253" s="3" t="s">
        <v>914</v>
      </c>
      <c r="F253" s="3" t="s">
        <v>643</v>
      </c>
      <c r="G253" s="3" t="s">
        <v>647</v>
      </c>
      <c r="H253" s="3" t="n">
        <v>1800</v>
      </c>
      <c r="I253" s="3" t="n">
        <v>1</v>
      </c>
      <c r="J253" s="9" t="b">
        <f aca="false">FALSE()</f>
        <v>0</v>
      </c>
      <c r="K253" s="3" t="n">
        <v>3</v>
      </c>
      <c r="L253" s="3" t="n">
        <v>3</v>
      </c>
      <c r="M253" s="3" t="n">
        <v>770</v>
      </c>
      <c r="N253" s="3" t="n">
        <v>1.7</v>
      </c>
      <c r="O253" s="3" t="n">
        <v>166</v>
      </c>
    </row>
    <row r="254" customFormat="false" ht="15" hidden="false" customHeight="false" outlineLevel="0" collapsed="false">
      <c r="A254" s="3" t="s">
        <v>4</v>
      </c>
      <c r="B254" s="3" t="s">
        <v>319</v>
      </c>
      <c r="C254" s="3" t="s">
        <v>565</v>
      </c>
      <c r="D254" s="3" t="s">
        <v>880</v>
      </c>
      <c r="E254" s="3" t="s">
        <v>909</v>
      </c>
      <c r="F254" s="3" t="s">
        <v>639</v>
      </c>
      <c r="G254" s="3" t="s">
        <v>647</v>
      </c>
      <c r="H254" s="3" t="n">
        <v>300</v>
      </c>
      <c r="I254" s="3" t="n">
        <v>1</v>
      </c>
      <c r="J254" s="9" t="b">
        <f aca="false">FALSE()</f>
        <v>0</v>
      </c>
      <c r="K254" s="3" t="n">
        <v>5</v>
      </c>
      <c r="L254" s="3" t="n">
        <v>5</v>
      </c>
      <c r="M254" s="3" t="n">
        <v>646</v>
      </c>
      <c r="N254" s="3" t="n">
        <v>2.6</v>
      </c>
      <c r="O254" s="3" t="n">
        <v>230</v>
      </c>
    </row>
    <row r="255" customFormat="false" ht="15" hidden="false" customHeight="false" outlineLevel="0" collapsed="false">
      <c r="A255" s="3" t="s">
        <v>4</v>
      </c>
      <c r="B255" s="3" t="s">
        <v>488</v>
      </c>
      <c r="C255" s="3" t="s">
        <v>578</v>
      </c>
      <c r="D255" s="3" t="s">
        <v>920</v>
      </c>
      <c r="E255" s="3" t="s">
        <v>921</v>
      </c>
      <c r="F255" s="3" t="s">
        <v>643</v>
      </c>
      <c r="G255" s="3" t="s">
        <v>647</v>
      </c>
      <c r="H255" s="3" t="n">
        <v>400</v>
      </c>
      <c r="I255" s="3" t="n">
        <v>1</v>
      </c>
      <c r="J255" s="9" t="b">
        <f aca="false">FALSE()</f>
        <v>0</v>
      </c>
      <c r="K255" s="3" t="n">
        <v>7</v>
      </c>
      <c r="L255" s="3" t="n">
        <v>7</v>
      </c>
      <c r="M255" s="3" t="n">
        <v>386</v>
      </c>
      <c r="N255" s="3" t="n">
        <v>2.5</v>
      </c>
      <c r="O255" s="3" t="n">
        <v>138</v>
      </c>
    </row>
    <row r="256" customFormat="false" ht="15" hidden="false" customHeight="false" outlineLevel="0" collapsed="false">
      <c r="A256" s="3" t="s">
        <v>4</v>
      </c>
      <c r="B256" s="3" t="s">
        <v>321</v>
      </c>
      <c r="C256" s="3" t="s">
        <v>579</v>
      </c>
      <c r="D256" s="3" t="s">
        <v>922</v>
      </c>
      <c r="E256" s="3" t="s">
        <v>923</v>
      </c>
      <c r="F256" s="3" t="s">
        <v>656</v>
      </c>
      <c r="G256" s="3" t="s">
        <v>647</v>
      </c>
      <c r="H256" s="3" t="n">
        <v>600</v>
      </c>
      <c r="I256" s="3" t="n">
        <v>1</v>
      </c>
      <c r="J256" s="9" t="b">
        <f aca="false">FALSE()</f>
        <v>0</v>
      </c>
      <c r="K256" s="3" t="n">
        <v>3</v>
      </c>
      <c r="L256" s="3" t="n">
        <v>3</v>
      </c>
      <c r="M256" s="3" t="n">
        <v>682</v>
      </c>
      <c r="N256" s="3" t="n">
        <v>2.6</v>
      </c>
      <c r="O256" s="3" t="n">
        <v>218</v>
      </c>
    </row>
    <row r="257" customFormat="false" ht="15" hidden="false" customHeight="false" outlineLevel="0" collapsed="false">
      <c r="A257" s="3" t="s">
        <v>4</v>
      </c>
      <c r="B257" s="3" t="s">
        <v>324</v>
      </c>
      <c r="C257" s="3" t="s">
        <v>580</v>
      </c>
      <c r="D257" s="3" t="s">
        <v>789</v>
      </c>
      <c r="E257" s="3" t="s">
        <v>791</v>
      </c>
      <c r="F257" s="3" t="s">
        <v>643</v>
      </c>
      <c r="G257" s="3" t="s">
        <v>647</v>
      </c>
      <c r="H257" s="3" t="n">
        <v>800</v>
      </c>
      <c r="I257" s="3" t="n">
        <v>1</v>
      </c>
      <c r="J257" s="9" t="b">
        <f aca="false">FALSE()</f>
        <v>0</v>
      </c>
      <c r="K257" s="3" t="n">
        <v>2</v>
      </c>
      <c r="L257" s="3" t="n">
        <v>2</v>
      </c>
      <c r="M257" s="3" t="n">
        <v>770</v>
      </c>
      <c r="N257" s="3" t="n">
        <v>1.7</v>
      </c>
      <c r="O257" s="3" t="n">
        <v>176</v>
      </c>
    </row>
    <row r="258" customFormat="false" ht="15" hidden="false" customHeight="false" outlineLevel="0" collapsed="false">
      <c r="A258" s="3" t="s">
        <v>4</v>
      </c>
      <c r="B258" s="3" t="s">
        <v>328</v>
      </c>
      <c r="C258" s="3" t="s">
        <v>581</v>
      </c>
      <c r="D258" s="3" t="s">
        <v>901</v>
      </c>
      <c r="E258" s="3" t="s">
        <v>860</v>
      </c>
      <c r="F258" s="3" t="s">
        <v>639</v>
      </c>
      <c r="G258" s="3" t="s">
        <v>647</v>
      </c>
      <c r="H258" s="3" t="n">
        <v>1100</v>
      </c>
      <c r="I258" s="3" t="n">
        <v>1</v>
      </c>
      <c r="J258" s="9" t="b">
        <f aca="false">FALSE()</f>
        <v>0</v>
      </c>
      <c r="K258" s="3" t="n">
        <v>2</v>
      </c>
      <c r="L258" s="3" t="n">
        <v>2</v>
      </c>
      <c r="M258" s="3" t="n">
        <v>806</v>
      </c>
      <c r="N258" s="3" t="n">
        <v>1.7</v>
      </c>
      <c r="O258" s="3" t="n">
        <v>160</v>
      </c>
    </row>
    <row r="259" customFormat="false" ht="15" hidden="false" customHeight="false" outlineLevel="0" collapsed="false">
      <c r="A259" s="3" t="s">
        <v>4</v>
      </c>
      <c r="B259" s="3" t="s">
        <v>331</v>
      </c>
      <c r="C259" s="3" t="s">
        <v>582</v>
      </c>
      <c r="D259" s="3" t="s">
        <v>849</v>
      </c>
      <c r="E259" s="3" t="s">
        <v>813</v>
      </c>
      <c r="F259" s="3" t="s">
        <v>646</v>
      </c>
      <c r="G259" s="3" t="s">
        <v>647</v>
      </c>
      <c r="H259" s="3" t="n">
        <v>1200</v>
      </c>
      <c r="I259" s="3" t="n">
        <v>1</v>
      </c>
      <c r="J259" s="9" t="b">
        <f aca="false">FALSE()</f>
        <v>0</v>
      </c>
      <c r="K259" s="3" t="n">
        <v>3</v>
      </c>
      <c r="L259" s="3" t="n">
        <v>3</v>
      </c>
      <c r="M259" s="3" t="n">
        <v>610</v>
      </c>
      <c r="N259" s="3" t="n">
        <v>2.6</v>
      </c>
      <c r="O259" s="3" t="n">
        <v>202</v>
      </c>
    </row>
    <row r="260" customFormat="false" ht="15" hidden="false" customHeight="false" outlineLevel="0" collapsed="false">
      <c r="A260" s="3" t="s">
        <v>4</v>
      </c>
      <c r="B260" s="3" t="s">
        <v>335</v>
      </c>
      <c r="C260" s="3" t="s">
        <v>518</v>
      </c>
      <c r="D260" s="3" t="s">
        <v>749</v>
      </c>
      <c r="E260" s="3" t="s">
        <v>871</v>
      </c>
      <c r="F260" s="3" t="s">
        <v>656</v>
      </c>
      <c r="G260" s="3" t="s">
        <v>647</v>
      </c>
      <c r="H260" s="3" t="n">
        <v>1400</v>
      </c>
      <c r="I260" s="3" t="n">
        <v>1</v>
      </c>
      <c r="J260" s="9" t="b">
        <f aca="false">FALSE()</f>
        <v>0</v>
      </c>
      <c r="K260" s="3" t="n">
        <v>4</v>
      </c>
      <c r="L260" s="3" t="n">
        <v>4</v>
      </c>
      <c r="M260" s="3" t="n">
        <v>806</v>
      </c>
      <c r="N260" s="3" t="n">
        <v>1.7</v>
      </c>
      <c r="O260" s="3" t="n">
        <v>172</v>
      </c>
    </row>
    <row r="261" customFormat="false" ht="15" hidden="false" customHeight="false" outlineLevel="0" collapsed="false">
      <c r="A261" s="3" t="s">
        <v>4</v>
      </c>
      <c r="B261" s="3" t="s">
        <v>341</v>
      </c>
      <c r="C261" s="3" t="s">
        <v>583</v>
      </c>
      <c r="D261" s="3" t="s">
        <v>924</v>
      </c>
      <c r="E261" s="3" t="s">
        <v>867</v>
      </c>
      <c r="F261" s="3" t="s">
        <v>656</v>
      </c>
      <c r="G261" s="3" t="s">
        <v>647</v>
      </c>
      <c r="H261" s="3" t="n">
        <v>54000</v>
      </c>
      <c r="I261" s="3" t="n">
        <v>8</v>
      </c>
      <c r="J261" s="9" t="b">
        <f aca="false">TRUE()</f>
        <v>1</v>
      </c>
      <c r="K261" s="3" t="n">
        <v>5</v>
      </c>
      <c r="L261" s="3" t="n">
        <v>54</v>
      </c>
      <c r="M261" s="3" t="n">
        <v>350</v>
      </c>
      <c r="N261" s="3" t="n">
        <v>2.5</v>
      </c>
      <c r="O261" s="3" t="n">
        <v>126</v>
      </c>
    </row>
    <row r="262" customFormat="false" ht="15" hidden="false" customHeight="false" outlineLevel="0" collapsed="false">
      <c r="A262" s="3" t="s">
        <v>4</v>
      </c>
      <c r="B262" s="3" t="s">
        <v>344</v>
      </c>
      <c r="C262" s="3" t="s">
        <v>543</v>
      </c>
      <c r="D262" s="3" t="s">
        <v>895</v>
      </c>
      <c r="E262" s="3" t="s">
        <v>896</v>
      </c>
      <c r="F262" s="3" t="s">
        <v>646</v>
      </c>
      <c r="G262" s="3" t="s">
        <v>647</v>
      </c>
      <c r="H262" s="3" t="n">
        <v>1500</v>
      </c>
      <c r="I262" s="3" t="n">
        <v>1</v>
      </c>
      <c r="J262" s="9" t="b">
        <f aca="false">FALSE()</f>
        <v>0</v>
      </c>
      <c r="K262" s="3" t="n">
        <v>5</v>
      </c>
      <c r="L262" s="3" t="n">
        <v>5</v>
      </c>
      <c r="M262" s="3" t="n">
        <v>350</v>
      </c>
      <c r="N262" s="3" t="n">
        <v>2.5</v>
      </c>
      <c r="O262" s="3" t="n">
        <v>110</v>
      </c>
    </row>
    <row r="263" customFormat="false" ht="15" hidden="false" customHeight="false" outlineLevel="0" collapsed="false">
      <c r="A263" s="3" t="s">
        <v>4</v>
      </c>
      <c r="B263" s="3" t="s">
        <v>346</v>
      </c>
      <c r="C263" s="3" t="s">
        <v>584</v>
      </c>
      <c r="D263" s="3" t="s">
        <v>879</v>
      </c>
      <c r="E263" s="3" t="s">
        <v>880</v>
      </c>
      <c r="F263" s="3" t="s">
        <v>639</v>
      </c>
      <c r="G263" s="3" t="s">
        <v>647</v>
      </c>
      <c r="H263" s="3" t="n">
        <v>400</v>
      </c>
      <c r="I263" s="3" t="n">
        <v>1</v>
      </c>
      <c r="J263" s="9" t="b">
        <f aca="false">FALSE()</f>
        <v>0</v>
      </c>
      <c r="K263" s="3" t="n">
        <v>10</v>
      </c>
      <c r="L263" s="3" t="n">
        <v>10</v>
      </c>
      <c r="M263" s="3" t="n">
        <v>270</v>
      </c>
      <c r="N263" s="3" t="n">
        <v>3.9</v>
      </c>
      <c r="O263" s="3" t="n">
        <v>143</v>
      </c>
    </row>
    <row r="264" customFormat="false" ht="15" hidden="false" customHeight="false" outlineLevel="0" collapsed="false">
      <c r="A264" s="3" t="s">
        <v>4</v>
      </c>
      <c r="B264" s="3" t="s">
        <v>348</v>
      </c>
      <c r="C264" s="3" t="s">
        <v>585</v>
      </c>
      <c r="D264" s="3" t="s">
        <v>869</v>
      </c>
      <c r="E264" s="3" t="s">
        <v>799</v>
      </c>
      <c r="F264" s="3" t="s">
        <v>639</v>
      </c>
      <c r="G264" s="3" t="s">
        <v>647</v>
      </c>
      <c r="H264" s="3" t="n">
        <v>2500</v>
      </c>
      <c r="I264" s="3" t="n">
        <v>1</v>
      </c>
      <c r="J264" s="9" t="b">
        <f aca="false">FALSE()</f>
        <v>0</v>
      </c>
      <c r="K264" s="3" t="n">
        <v>5</v>
      </c>
      <c r="L264" s="3" t="n">
        <v>5</v>
      </c>
      <c r="M264" s="3" t="n">
        <v>682</v>
      </c>
      <c r="N264" s="3" t="n">
        <v>2.6</v>
      </c>
      <c r="O264" s="3" t="n">
        <v>214</v>
      </c>
    </row>
    <row r="265" customFormat="false" ht="15" hidden="false" customHeight="false" outlineLevel="0" collapsed="false">
      <c r="A265" s="3" t="s">
        <v>4</v>
      </c>
      <c r="B265" s="3" t="s">
        <v>351</v>
      </c>
      <c r="C265" s="3" t="s">
        <v>575</v>
      </c>
      <c r="D265" s="3" t="s">
        <v>800</v>
      </c>
      <c r="E265" s="3" t="s">
        <v>918</v>
      </c>
      <c r="F265" s="3" t="s">
        <v>643</v>
      </c>
      <c r="G265" s="3" t="s">
        <v>647</v>
      </c>
      <c r="H265" s="3" t="n">
        <v>900</v>
      </c>
      <c r="I265" s="3" t="n">
        <v>1</v>
      </c>
      <c r="J265" s="9" t="b">
        <f aca="false">FALSE()</f>
        <v>0</v>
      </c>
      <c r="K265" s="3" t="n">
        <v>10</v>
      </c>
      <c r="L265" s="3" t="n">
        <v>10</v>
      </c>
      <c r="M265" s="3" t="n">
        <v>270</v>
      </c>
      <c r="N265" s="3" t="n">
        <v>3.9</v>
      </c>
      <c r="O265" s="3" t="n">
        <v>127</v>
      </c>
    </row>
    <row r="266" customFormat="false" ht="15" hidden="false" customHeight="false" outlineLevel="0" collapsed="false">
      <c r="A266" s="3" t="s">
        <v>4</v>
      </c>
      <c r="B266" s="3" t="s">
        <v>354</v>
      </c>
      <c r="C266" s="3" t="s">
        <v>586</v>
      </c>
      <c r="D266" s="3" t="s">
        <v>743</v>
      </c>
      <c r="E266" s="3" t="s">
        <v>925</v>
      </c>
      <c r="F266" s="3" t="s">
        <v>656</v>
      </c>
      <c r="G266" s="3" t="s">
        <v>647</v>
      </c>
      <c r="H266" s="3" t="n">
        <v>1200</v>
      </c>
      <c r="I266" s="3" t="n">
        <v>1</v>
      </c>
      <c r="J266" s="9" t="b">
        <f aca="false">FALSE()</f>
        <v>0</v>
      </c>
      <c r="K266" s="3" t="n">
        <v>6</v>
      </c>
      <c r="L266" s="3" t="n">
        <v>6</v>
      </c>
      <c r="M266" s="3" t="n">
        <v>350</v>
      </c>
      <c r="N266" s="3" t="n">
        <v>2.5</v>
      </c>
      <c r="O266" s="3" t="n">
        <v>132</v>
      </c>
    </row>
    <row r="267" customFormat="false" ht="15" hidden="false" customHeight="false" outlineLevel="0" collapsed="false">
      <c r="A267" s="3" t="s">
        <v>4</v>
      </c>
      <c r="B267" s="3" t="s">
        <v>357</v>
      </c>
      <c r="C267" s="3" t="s">
        <v>587</v>
      </c>
      <c r="D267" s="3" t="s">
        <v>920</v>
      </c>
      <c r="E267" s="3" t="s">
        <v>921</v>
      </c>
      <c r="F267" s="3" t="s">
        <v>656</v>
      </c>
      <c r="G267" s="3" t="s">
        <v>647</v>
      </c>
      <c r="H267" s="3" t="n">
        <v>1600</v>
      </c>
      <c r="I267" s="3" t="n">
        <v>1</v>
      </c>
      <c r="J267" s="9" t="b">
        <f aca="false">FALSE()</f>
        <v>0</v>
      </c>
      <c r="K267" s="3" t="n">
        <v>4</v>
      </c>
      <c r="L267" s="3" t="n">
        <v>4</v>
      </c>
      <c r="M267" s="3" t="n">
        <v>806</v>
      </c>
      <c r="N267" s="3" t="n">
        <v>1.7</v>
      </c>
      <c r="O267" s="3" t="n">
        <v>188</v>
      </c>
    </row>
    <row r="268" customFormat="false" ht="15" hidden="false" customHeight="false" outlineLevel="0" collapsed="false">
      <c r="A268" s="3" t="s">
        <v>4</v>
      </c>
      <c r="B268" s="3" t="s">
        <v>360</v>
      </c>
      <c r="C268" s="3" t="s">
        <v>588</v>
      </c>
      <c r="D268" s="3" t="s">
        <v>926</v>
      </c>
      <c r="E268" s="3" t="s">
        <v>807</v>
      </c>
      <c r="F268" s="3" t="s">
        <v>656</v>
      </c>
      <c r="G268" s="3" t="s">
        <v>647</v>
      </c>
      <c r="H268" s="3" t="n">
        <v>200</v>
      </c>
      <c r="I268" s="3" t="n">
        <v>1</v>
      </c>
      <c r="J268" s="9" t="b">
        <f aca="false">FALSE()</f>
        <v>0</v>
      </c>
      <c r="K268" s="3" t="n">
        <v>5</v>
      </c>
      <c r="L268" s="3" t="n">
        <v>5</v>
      </c>
      <c r="M268" s="3" t="n">
        <v>386</v>
      </c>
      <c r="N268" s="3" t="n">
        <v>2.5</v>
      </c>
      <c r="O268" s="3" t="n">
        <v>110</v>
      </c>
    </row>
    <row r="269" customFormat="false" ht="15" hidden="false" customHeight="false" outlineLevel="0" collapsed="false">
      <c r="A269" s="3" t="s">
        <v>4</v>
      </c>
      <c r="B269" s="3" t="s">
        <v>373</v>
      </c>
      <c r="C269" s="3" t="s">
        <v>535</v>
      </c>
      <c r="D269" s="3" t="s">
        <v>876</v>
      </c>
      <c r="E269" s="3" t="s">
        <v>889</v>
      </c>
      <c r="F269" s="3" t="s">
        <v>639</v>
      </c>
      <c r="G269" s="3" t="s">
        <v>647</v>
      </c>
      <c r="H269" s="3" t="n">
        <v>700</v>
      </c>
      <c r="I269" s="3" t="n">
        <v>1</v>
      </c>
      <c r="J269" s="9" t="b">
        <f aca="false">FALSE()</f>
        <v>0</v>
      </c>
      <c r="K269" s="3" t="n">
        <v>5</v>
      </c>
      <c r="L269" s="3" t="n">
        <v>5</v>
      </c>
      <c r="M269" s="3" t="n">
        <v>610</v>
      </c>
      <c r="N269" s="3" t="n">
        <v>2.6</v>
      </c>
      <c r="O269" s="3" t="n">
        <v>230</v>
      </c>
    </row>
    <row r="270" customFormat="false" ht="15" hidden="false" customHeight="false" outlineLevel="0" collapsed="false">
      <c r="A270" s="3" t="s">
        <v>4</v>
      </c>
      <c r="B270" s="3" t="s">
        <v>376</v>
      </c>
      <c r="C270" s="3" t="s">
        <v>589</v>
      </c>
      <c r="D270" s="3" t="s">
        <v>800</v>
      </c>
      <c r="E270" s="3" t="s">
        <v>918</v>
      </c>
      <c r="F270" s="3" t="s">
        <v>643</v>
      </c>
      <c r="G270" s="3" t="s">
        <v>647</v>
      </c>
      <c r="H270" s="3" t="n">
        <v>33000</v>
      </c>
      <c r="I270" s="3" t="n">
        <v>6</v>
      </c>
      <c r="J270" s="9" t="b">
        <f aca="false">TRUE()</f>
        <v>1</v>
      </c>
      <c r="K270" s="3" t="n">
        <v>10</v>
      </c>
      <c r="L270" s="3" t="n">
        <v>45</v>
      </c>
      <c r="M270" s="3" t="n">
        <v>270</v>
      </c>
      <c r="N270" s="3" t="n">
        <v>3.9</v>
      </c>
      <c r="O270" s="3" t="n">
        <v>143</v>
      </c>
    </row>
    <row r="271" customFormat="false" ht="15" hidden="false" customHeight="false" outlineLevel="0" collapsed="false">
      <c r="A271" s="3" t="s">
        <v>4</v>
      </c>
      <c r="B271" s="3" t="s">
        <v>379</v>
      </c>
      <c r="C271" s="3" t="s">
        <v>590</v>
      </c>
      <c r="D271" s="3" t="s">
        <v>906</v>
      </c>
      <c r="E271" s="3" t="s">
        <v>907</v>
      </c>
      <c r="F271" s="3" t="s">
        <v>656</v>
      </c>
      <c r="G271" s="3" t="s">
        <v>647</v>
      </c>
      <c r="H271" s="3" t="n">
        <v>1400</v>
      </c>
      <c r="I271" s="3" t="n">
        <v>1</v>
      </c>
      <c r="J271" s="9" t="b">
        <f aca="false">FALSE()</f>
        <v>0</v>
      </c>
      <c r="K271" s="3" t="n">
        <v>6</v>
      </c>
      <c r="L271" s="3" t="n">
        <v>6</v>
      </c>
      <c r="M271" s="3" t="n">
        <v>350</v>
      </c>
      <c r="N271" s="3" t="n">
        <v>2.5</v>
      </c>
      <c r="O271" s="3" t="n">
        <v>116</v>
      </c>
    </row>
    <row r="272" customFormat="false" ht="15" hidden="false" customHeight="false" outlineLevel="0" collapsed="false">
      <c r="A272" s="3" t="s">
        <v>4</v>
      </c>
      <c r="B272" s="3" t="s">
        <v>382</v>
      </c>
      <c r="C272" s="3" t="s">
        <v>591</v>
      </c>
      <c r="D272" s="3" t="s">
        <v>882</v>
      </c>
      <c r="E272" s="3" t="s">
        <v>883</v>
      </c>
      <c r="F272" s="3" t="s">
        <v>639</v>
      </c>
      <c r="G272" s="3" t="s">
        <v>647</v>
      </c>
      <c r="H272" s="3" t="n">
        <v>100</v>
      </c>
      <c r="I272" s="3" t="n">
        <v>1</v>
      </c>
      <c r="J272" s="9" t="b">
        <f aca="false">FALSE()</f>
        <v>0</v>
      </c>
      <c r="K272" s="3" t="n">
        <v>5</v>
      </c>
      <c r="L272" s="3" t="n">
        <v>5</v>
      </c>
      <c r="M272" s="3" t="n">
        <v>386</v>
      </c>
      <c r="N272" s="3" t="n">
        <v>2.5</v>
      </c>
      <c r="O272" s="3" t="n">
        <v>126</v>
      </c>
    </row>
    <row r="273" customFormat="false" ht="15" hidden="false" customHeight="false" outlineLevel="0" collapsed="false">
      <c r="A273" s="3" t="s">
        <v>4</v>
      </c>
      <c r="B273" s="3" t="s">
        <v>385</v>
      </c>
      <c r="C273" s="3" t="s">
        <v>592</v>
      </c>
      <c r="D273" s="3" t="s">
        <v>796</v>
      </c>
      <c r="E273" s="3" t="s">
        <v>910</v>
      </c>
      <c r="F273" s="3" t="s">
        <v>643</v>
      </c>
      <c r="G273" s="3" t="s">
        <v>647</v>
      </c>
      <c r="H273" s="3" t="n">
        <v>200</v>
      </c>
      <c r="I273" s="3" t="n">
        <v>1</v>
      </c>
      <c r="J273" s="9" t="b">
        <f aca="false">FALSE()</f>
        <v>0</v>
      </c>
      <c r="K273" s="3" t="n">
        <v>10</v>
      </c>
      <c r="L273" s="3" t="n">
        <v>10</v>
      </c>
      <c r="M273" s="3" t="n">
        <v>270</v>
      </c>
      <c r="N273" s="3" t="n">
        <v>3.9</v>
      </c>
      <c r="O273" s="3" t="n">
        <v>127</v>
      </c>
    </row>
    <row r="274" customFormat="false" ht="15" hidden="false" customHeight="false" outlineLevel="0" collapsed="false">
      <c r="A274" s="3" t="s">
        <v>4</v>
      </c>
      <c r="B274" s="3" t="s">
        <v>388</v>
      </c>
      <c r="C274" s="3" t="s">
        <v>593</v>
      </c>
      <c r="D274" s="3" t="s">
        <v>884</v>
      </c>
      <c r="E274" s="3" t="s">
        <v>885</v>
      </c>
      <c r="F274" s="3" t="s">
        <v>656</v>
      </c>
      <c r="G274" s="3" t="s">
        <v>647</v>
      </c>
      <c r="H274" s="3" t="n">
        <v>30000</v>
      </c>
      <c r="I274" s="3" t="n">
        <v>6</v>
      </c>
      <c r="J274" s="9" t="b">
        <f aca="false">TRUE()</f>
        <v>1</v>
      </c>
      <c r="K274" s="3" t="n">
        <v>3</v>
      </c>
      <c r="L274" s="3" t="n">
        <v>38</v>
      </c>
      <c r="M274" s="3" t="n">
        <v>610</v>
      </c>
      <c r="N274" s="3" t="n">
        <v>2.6</v>
      </c>
      <c r="O274" s="3" t="n">
        <v>218</v>
      </c>
    </row>
    <row r="275" customFormat="false" ht="15" hidden="false" customHeight="false" outlineLevel="0" collapsed="false">
      <c r="A275" s="3" t="s">
        <v>4</v>
      </c>
      <c r="B275" s="3" t="s">
        <v>391</v>
      </c>
      <c r="C275" s="3" t="s">
        <v>594</v>
      </c>
      <c r="D275" s="3" t="s">
        <v>919</v>
      </c>
      <c r="E275" s="3" t="s">
        <v>914</v>
      </c>
      <c r="F275" s="3" t="s">
        <v>643</v>
      </c>
      <c r="G275" s="3" t="s">
        <v>647</v>
      </c>
      <c r="H275" s="3" t="n">
        <v>600</v>
      </c>
      <c r="I275" s="3" t="n">
        <v>1</v>
      </c>
      <c r="J275" s="9" t="b">
        <f aca="false">FALSE()</f>
        <v>0</v>
      </c>
      <c r="K275" s="3" t="n">
        <v>3</v>
      </c>
      <c r="L275" s="3" t="n">
        <v>3</v>
      </c>
      <c r="M275" s="3" t="n">
        <v>770</v>
      </c>
      <c r="N275" s="3" t="n">
        <v>1.7</v>
      </c>
      <c r="O275" s="3" t="n">
        <v>182</v>
      </c>
    </row>
    <row r="276" customFormat="false" ht="15" hidden="false" customHeight="false" outlineLevel="0" collapsed="false">
      <c r="A276" s="3" t="s">
        <v>4</v>
      </c>
      <c r="B276" s="3" t="s">
        <v>402</v>
      </c>
      <c r="C276" s="3" t="s">
        <v>595</v>
      </c>
      <c r="D276" s="3" t="s">
        <v>766</v>
      </c>
      <c r="E276" s="3" t="s">
        <v>794</v>
      </c>
      <c r="F276" s="3" t="s">
        <v>643</v>
      </c>
      <c r="G276" s="3" t="s">
        <v>647</v>
      </c>
      <c r="H276" s="3" t="n">
        <v>1400</v>
      </c>
      <c r="I276" s="3" t="n">
        <v>1</v>
      </c>
      <c r="J276" s="9" t="b">
        <f aca="false">FALSE()</f>
        <v>0</v>
      </c>
      <c r="K276" s="3" t="n">
        <v>2</v>
      </c>
      <c r="L276" s="3" t="n">
        <v>2</v>
      </c>
      <c r="M276" s="3" t="n">
        <v>770</v>
      </c>
      <c r="N276" s="3" t="n">
        <v>1.7</v>
      </c>
      <c r="O276" s="3" t="n">
        <v>160</v>
      </c>
    </row>
    <row r="277" customFormat="false" ht="15" hidden="false" customHeight="false" outlineLevel="0" collapsed="false">
      <c r="A277" s="3" t="s">
        <v>4</v>
      </c>
      <c r="B277" s="3" t="s">
        <v>409</v>
      </c>
      <c r="C277" s="3" t="s">
        <v>596</v>
      </c>
      <c r="D277" s="3" t="s">
        <v>733</v>
      </c>
      <c r="E277" s="3" t="s">
        <v>841</v>
      </c>
      <c r="F277" s="3" t="s">
        <v>656</v>
      </c>
      <c r="G277" s="3" t="s">
        <v>647</v>
      </c>
      <c r="H277" s="3" t="n">
        <v>1600</v>
      </c>
      <c r="I277" s="3" t="n">
        <v>1</v>
      </c>
      <c r="J277" s="9" t="b">
        <f aca="false">FALSE()</f>
        <v>0</v>
      </c>
      <c r="K277" s="3" t="n">
        <v>6</v>
      </c>
      <c r="L277" s="3" t="n">
        <v>6</v>
      </c>
      <c r="M277" s="3" t="n">
        <v>386</v>
      </c>
      <c r="N277" s="3" t="n">
        <v>2.5</v>
      </c>
      <c r="O277" s="3" t="n">
        <v>132</v>
      </c>
    </row>
    <row r="278" customFormat="false" ht="15" hidden="false" customHeight="false" outlineLevel="0" collapsed="false">
      <c r="A278" s="3" t="s">
        <v>4</v>
      </c>
      <c r="B278" s="3" t="s">
        <v>415</v>
      </c>
      <c r="C278" s="3" t="s">
        <v>597</v>
      </c>
      <c r="D278" s="3" t="s">
        <v>802</v>
      </c>
      <c r="E278" s="3" t="s">
        <v>794</v>
      </c>
      <c r="F278" s="3" t="s">
        <v>639</v>
      </c>
      <c r="G278" s="3" t="s">
        <v>647</v>
      </c>
      <c r="H278" s="3" t="n">
        <v>1700</v>
      </c>
      <c r="I278" s="3" t="n">
        <v>1</v>
      </c>
      <c r="J278" s="9" t="b">
        <f aca="false">FALSE()</f>
        <v>0</v>
      </c>
      <c r="K278" s="3" t="n">
        <v>2</v>
      </c>
      <c r="L278" s="3" t="n">
        <v>2</v>
      </c>
      <c r="M278" s="3" t="n">
        <v>770</v>
      </c>
      <c r="N278" s="3" t="n">
        <v>1.7</v>
      </c>
      <c r="O278" s="3" t="n">
        <v>176</v>
      </c>
    </row>
    <row r="279" customFormat="false" ht="15" hidden="false" customHeight="false" outlineLevel="0" collapsed="false">
      <c r="A279" s="3" t="s">
        <v>4</v>
      </c>
      <c r="B279" s="3" t="s">
        <v>420</v>
      </c>
      <c r="C279" s="3" t="s">
        <v>598</v>
      </c>
      <c r="D279" s="3" t="s">
        <v>927</v>
      </c>
      <c r="E279" s="3" t="s">
        <v>858</v>
      </c>
      <c r="F279" s="3" t="s">
        <v>639</v>
      </c>
      <c r="G279" s="3" t="s">
        <v>647</v>
      </c>
      <c r="H279" s="3" t="n">
        <v>300</v>
      </c>
      <c r="I279" s="3" t="n">
        <v>1</v>
      </c>
      <c r="J279" s="9" t="b">
        <f aca="false">FALSE()</f>
        <v>0</v>
      </c>
      <c r="K279" s="3" t="n">
        <v>5</v>
      </c>
      <c r="L279" s="3" t="n">
        <v>5</v>
      </c>
      <c r="M279" s="3" t="n">
        <v>350</v>
      </c>
      <c r="N279" s="3" t="n">
        <v>2.5</v>
      </c>
      <c r="O279" s="3" t="n">
        <v>110</v>
      </c>
    </row>
    <row r="280" customFormat="false" ht="15" hidden="false" customHeight="false" outlineLevel="0" collapsed="false">
      <c r="A280" s="3" t="s">
        <v>4</v>
      </c>
      <c r="B280" s="3" t="s">
        <v>423</v>
      </c>
      <c r="C280" s="3" t="s">
        <v>599</v>
      </c>
      <c r="D280" s="3" t="s">
        <v>805</v>
      </c>
      <c r="E280" s="3" t="s">
        <v>888</v>
      </c>
      <c r="F280" s="3" t="s">
        <v>643</v>
      </c>
      <c r="G280" s="3" t="s">
        <v>647</v>
      </c>
      <c r="H280" s="3" t="n">
        <v>40000</v>
      </c>
      <c r="I280" s="3" t="n">
        <v>10</v>
      </c>
      <c r="J280" s="9" t="b">
        <f aca="false">TRUE()</f>
        <v>1</v>
      </c>
      <c r="K280" s="3" t="n">
        <v>10</v>
      </c>
      <c r="L280" s="3" t="n">
        <v>73</v>
      </c>
      <c r="M280" s="3" t="n">
        <v>306</v>
      </c>
      <c r="N280" s="3" t="n">
        <v>3.9</v>
      </c>
      <c r="O280" s="3" t="n">
        <v>143</v>
      </c>
    </row>
    <row r="281" customFormat="false" ht="15" hidden="false" customHeight="false" outlineLevel="0" collapsed="false">
      <c r="A281" s="3" t="s">
        <v>4</v>
      </c>
      <c r="B281" s="3" t="s">
        <v>426</v>
      </c>
      <c r="C281" s="3" t="s">
        <v>600</v>
      </c>
      <c r="D281" s="3" t="s">
        <v>928</v>
      </c>
      <c r="E281" s="3" t="s">
        <v>798</v>
      </c>
      <c r="F281" s="3" t="s">
        <v>656</v>
      </c>
      <c r="G281" s="3" t="s">
        <v>647</v>
      </c>
      <c r="H281" s="3" t="n">
        <v>600</v>
      </c>
      <c r="I281" s="3" t="n">
        <v>1</v>
      </c>
      <c r="J281" s="9" t="b">
        <f aca="false">FALSE()</f>
        <v>0</v>
      </c>
      <c r="K281" s="3" t="n">
        <v>5</v>
      </c>
      <c r="L281" s="3" t="n">
        <v>5</v>
      </c>
      <c r="M281" s="3" t="n">
        <v>350</v>
      </c>
      <c r="N281" s="3" t="n">
        <v>2.5</v>
      </c>
      <c r="O281" s="3" t="n">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5" hidden="false" customHeight="false" outlineLevel="0" collapsed="false">
      <c r="A1" s="2" t="s">
        <v>59</v>
      </c>
      <c r="B1" s="2" t="s">
        <v>61</v>
      </c>
      <c r="C1" s="2" t="s">
        <v>929</v>
      </c>
      <c r="D1" s="2" t="s">
        <v>930</v>
      </c>
      <c r="E1" s="2" t="s">
        <v>931</v>
      </c>
      <c r="F1" s="2" t="s">
        <v>932</v>
      </c>
      <c r="G1" s="2" t="s">
        <v>933</v>
      </c>
    </row>
    <row r="2" customFormat="false" ht="15" hidden="false" customHeight="false" outlineLevel="0" collapsed="false">
      <c r="A2" s="3" t="s">
        <v>2</v>
      </c>
      <c r="B2" s="3" t="s">
        <v>934</v>
      </c>
      <c r="C2" s="3" t="s">
        <v>935</v>
      </c>
      <c r="D2" s="3" t="n">
        <v>7</v>
      </c>
      <c r="E2" s="3"/>
      <c r="F2" s="3"/>
      <c r="G2" s="3" t="s">
        <v>936</v>
      </c>
    </row>
    <row r="3" customFormat="false" ht="15" hidden="false" customHeight="false" outlineLevel="0" collapsed="false">
      <c r="A3" s="3" t="s">
        <v>2</v>
      </c>
      <c r="B3" s="3" t="s">
        <v>937</v>
      </c>
      <c r="C3" s="3" t="s">
        <v>938</v>
      </c>
      <c r="D3" s="3" t="n">
        <v>1</v>
      </c>
      <c r="E3" s="3" t="n">
        <v>14</v>
      </c>
      <c r="F3" s="3" t="s">
        <v>616</v>
      </c>
      <c r="G3" s="3" t="s">
        <v>939</v>
      </c>
    </row>
    <row r="4" customFormat="false" ht="15" hidden="false" customHeight="false" outlineLevel="0" collapsed="false">
      <c r="A4" s="3" t="s">
        <v>2</v>
      </c>
      <c r="B4" s="3" t="s">
        <v>940</v>
      </c>
      <c r="C4" s="3" t="s">
        <v>938</v>
      </c>
      <c r="D4" s="3" t="n">
        <v>1</v>
      </c>
      <c r="E4" s="3" t="n">
        <v>16</v>
      </c>
      <c r="F4" s="3" t="s">
        <v>941</v>
      </c>
      <c r="G4" s="3" t="s">
        <v>939</v>
      </c>
    </row>
    <row r="5" customFormat="false" ht="15" hidden="false" customHeight="false" outlineLevel="0" collapsed="false">
      <c r="A5" s="3" t="s">
        <v>2</v>
      </c>
      <c r="B5" s="3" t="s">
        <v>942</v>
      </c>
      <c r="C5" s="3" t="s">
        <v>938</v>
      </c>
      <c r="D5" s="3" t="n">
        <v>2</v>
      </c>
      <c r="E5" s="3" t="n">
        <v>32</v>
      </c>
      <c r="F5" s="3" t="s">
        <v>220</v>
      </c>
      <c r="G5" s="3" t="s">
        <v>939</v>
      </c>
    </row>
    <row r="6" customFormat="false" ht="15" hidden="false" customHeight="false" outlineLevel="0" collapsed="false">
      <c r="A6" s="3" t="s">
        <v>2</v>
      </c>
      <c r="B6" s="3" t="s">
        <v>943</v>
      </c>
      <c r="C6" s="3" t="s">
        <v>935</v>
      </c>
      <c r="D6" s="3" t="n">
        <v>5</v>
      </c>
      <c r="E6" s="3"/>
      <c r="F6" s="3"/>
      <c r="G6" s="3" t="s">
        <v>936</v>
      </c>
    </row>
    <row r="7" customFormat="false" ht="15" hidden="false" customHeight="false" outlineLevel="0" collapsed="false">
      <c r="A7" s="3" t="s">
        <v>2</v>
      </c>
      <c r="B7" s="3" t="s">
        <v>944</v>
      </c>
      <c r="C7" s="3" t="s">
        <v>935</v>
      </c>
      <c r="D7" s="3" t="n">
        <v>1</v>
      </c>
      <c r="E7" s="3"/>
      <c r="F7" s="3"/>
      <c r="G7" s="3" t="s">
        <v>936</v>
      </c>
    </row>
    <row r="8" customFormat="false" ht="15" hidden="false" customHeight="false" outlineLevel="0" collapsed="false">
      <c r="A8" s="3" t="s">
        <v>2</v>
      </c>
      <c r="B8" s="3" t="s">
        <v>945</v>
      </c>
      <c r="C8" s="3" t="s">
        <v>938</v>
      </c>
      <c r="D8" s="3" t="n">
        <v>1</v>
      </c>
      <c r="E8" s="3" t="n">
        <v>13</v>
      </c>
      <c r="F8" s="3" t="s">
        <v>368</v>
      </c>
      <c r="G8" s="3" t="s">
        <v>939</v>
      </c>
    </row>
    <row r="9" customFormat="false" ht="15" hidden="false" customHeight="false" outlineLevel="0" collapsed="false">
      <c r="A9" s="3" t="s">
        <v>2</v>
      </c>
      <c r="B9" s="3" t="s">
        <v>946</v>
      </c>
      <c r="C9" s="3" t="s">
        <v>935</v>
      </c>
      <c r="D9" s="3" t="n">
        <v>1</v>
      </c>
      <c r="E9" s="3"/>
      <c r="F9" s="3"/>
      <c r="G9" s="3" t="s">
        <v>936</v>
      </c>
    </row>
    <row r="10" customFormat="false" ht="15" hidden="false" customHeight="false" outlineLevel="0" collapsed="false">
      <c r="A10" s="3" t="s">
        <v>2</v>
      </c>
      <c r="B10" s="3" t="s">
        <v>545</v>
      </c>
      <c r="C10" s="3" t="s">
        <v>935</v>
      </c>
      <c r="D10" s="3" t="n">
        <v>1</v>
      </c>
      <c r="E10" s="3"/>
      <c r="F10" s="3"/>
      <c r="G10" s="3" t="s">
        <v>936</v>
      </c>
    </row>
    <row r="11" customFormat="false" ht="15" hidden="false" customHeight="false" outlineLevel="0" collapsed="false">
      <c r="A11" s="3" t="s">
        <v>2</v>
      </c>
      <c r="B11" s="3" t="s">
        <v>947</v>
      </c>
      <c r="C11" s="3" t="s">
        <v>935</v>
      </c>
      <c r="D11" s="3" t="n">
        <v>1</v>
      </c>
      <c r="E11" s="3"/>
      <c r="F11" s="3"/>
      <c r="G11" s="3" t="s">
        <v>936</v>
      </c>
    </row>
    <row r="12" customFormat="false" ht="15" hidden="false" customHeight="false" outlineLevel="0" collapsed="false">
      <c r="A12" s="3" t="s">
        <v>2</v>
      </c>
      <c r="B12" s="3" t="s">
        <v>948</v>
      </c>
      <c r="C12" s="3" t="s">
        <v>938</v>
      </c>
      <c r="D12" s="3" t="n">
        <v>2</v>
      </c>
      <c r="E12" s="3" t="n">
        <v>18</v>
      </c>
      <c r="F12" s="3" t="s">
        <v>949</v>
      </c>
      <c r="G12" s="3" t="s">
        <v>939</v>
      </c>
    </row>
    <row r="13" customFormat="false" ht="15" hidden="false" customHeight="false" outlineLevel="0" collapsed="false">
      <c r="A13" s="3" t="s">
        <v>2</v>
      </c>
      <c r="B13" s="3" t="s">
        <v>950</v>
      </c>
      <c r="C13" s="3" t="s">
        <v>938</v>
      </c>
      <c r="D13" s="3" t="n">
        <v>1</v>
      </c>
      <c r="E13" s="3" t="n">
        <v>73</v>
      </c>
      <c r="F13" s="3" t="s">
        <v>951</v>
      </c>
      <c r="G13" s="3" t="s">
        <v>939</v>
      </c>
    </row>
    <row r="14" customFormat="false" ht="15" hidden="false" customHeight="false" outlineLevel="0" collapsed="false">
      <c r="A14" s="3" t="s">
        <v>2</v>
      </c>
      <c r="B14" s="3" t="s">
        <v>952</v>
      </c>
      <c r="C14" s="3" t="s">
        <v>935</v>
      </c>
      <c r="D14" s="3" t="n">
        <v>1</v>
      </c>
      <c r="E14" s="3"/>
      <c r="F14" s="3"/>
      <c r="G14" s="3" t="s">
        <v>936</v>
      </c>
    </row>
    <row r="15" customFormat="false" ht="15" hidden="false" customHeight="false" outlineLevel="0" collapsed="false">
      <c r="A15" s="3" t="s">
        <v>2</v>
      </c>
      <c r="B15" s="3" t="s">
        <v>953</v>
      </c>
      <c r="C15" s="3" t="s">
        <v>935</v>
      </c>
      <c r="D15" s="3" t="n">
        <v>3</v>
      </c>
      <c r="E15" s="3"/>
      <c r="F15" s="3"/>
      <c r="G15" s="3" t="s">
        <v>936</v>
      </c>
    </row>
    <row r="16" customFormat="false" ht="15" hidden="false" customHeight="false" outlineLevel="0" collapsed="false">
      <c r="A16" s="3" t="s">
        <v>2</v>
      </c>
      <c r="B16" s="3" t="s">
        <v>567</v>
      </c>
      <c r="C16" s="3" t="s">
        <v>935</v>
      </c>
      <c r="D16" s="3" t="n">
        <v>1</v>
      </c>
      <c r="E16" s="3"/>
      <c r="F16" s="3"/>
      <c r="G16" s="3" t="s">
        <v>936</v>
      </c>
    </row>
    <row r="17" customFormat="false" ht="15" hidden="false" customHeight="false" outlineLevel="0" collapsed="false">
      <c r="A17" s="3" t="s">
        <v>2</v>
      </c>
      <c r="B17" s="3" t="s">
        <v>954</v>
      </c>
      <c r="C17" s="3" t="s">
        <v>935</v>
      </c>
      <c r="D17" s="3" t="n">
        <v>1</v>
      </c>
      <c r="E17" s="3"/>
      <c r="F17" s="3"/>
      <c r="G17" s="3" t="s">
        <v>936</v>
      </c>
    </row>
    <row r="18" customFormat="false" ht="15" hidden="false" customHeight="false" outlineLevel="0" collapsed="false">
      <c r="A18" s="3" t="s">
        <v>2</v>
      </c>
      <c r="B18" s="3" t="s">
        <v>955</v>
      </c>
      <c r="C18" s="3" t="s">
        <v>938</v>
      </c>
      <c r="D18" s="3" t="n">
        <v>2</v>
      </c>
      <c r="E18" s="3" t="n">
        <v>25</v>
      </c>
      <c r="F18" s="3" t="s">
        <v>941</v>
      </c>
      <c r="G18" s="3" t="s">
        <v>939</v>
      </c>
    </row>
    <row r="19" customFormat="false" ht="15" hidden="false" customHeight="false" outlineLevel="0" collapsed="false">
      <c r="A19" s="3" t="s">
        <v>2</v>
      </c>
      <c r="B19" s="3" t="s">
        <v>956</v>
      </c>
      <c r="C19" s="3" t="s">
        <v>935</v>
      </c>
      <c r="D19" s="3" t="n">
        <v>1</v>
      </c>
      <c r="E19" s="3"/>
      <c r="F19" s="3"/>
      <c r="G19" s="3" t="s">
        <v>936</v>
      </c>
    </row>
    <row r="20" customFormat="false" ht="15" hidden="false" customHeight="false" outlineLevel="0" collapsed="false">
      <c r="A20" s="3" t="s">
        <v>2</v>
      </c>
      <c r="B20" s="3" t="s">
        <v>957</v>
      </c>
      <c r="C20" s="3" t="s">
        <v>938</v>
      </c>
      <c r="D20" s="3" t="n">
        <v>2</v>
      </c>
      <c r="E20" s="3" t="n">
        <v>41</v>
      </c>
      <c r="F20" s="3" t="s">
        <v>958</v>
      </c>
      <c r="G20" s="3" t="s">
        <v>939</v>
      </c>
    </row>
    <row r="21" customFormat="false" ht="15" hidden="false" customHeight="false" outlineLevel="0" collapsed="false">
      <c r="A21" s="3" t="s">
        <v>2</v>
      </c>
      <c r="B21" s="3" t="s">
        <v>959</v>
      </c>
      <c r="C21" s="3" t="s">
        <v>935</v>
      </c>
      <c r="D21" s="3" t="n">
        <v>1</v>
      </c>
      <c r="E21" s="3"/>
      <c r="F21" s="3"/>
      <c r="G21" s="3" t="s">
        <v>936</v>
      </c>
    </row>
    <row r="22" customFormat="false" ht="15" hidden="false" customHeight="false" outlineLevel="0" collapsed="false">
      <c r="A22" s="3" t="s">
        <v>2</v>
      </c>
      <c r="B22" s="3" t="s">
        <v>960</v>
      </c>
      <c r="C22" s="3" t="s">
        <v>935</v>
      </c>
      <c r="D22" s="3" t="n">
        <v>1</v>
      </c>
      <c r="E22" s="3"/>
      <c r="F22" s="3"/>
      <c r="G22" s="3" t="s">
        <v>936</v>
      </c>
    </row>
    <row r="23" customFormat="false" ht="15" hidden="false" customHeight="false" outlineLevel="0" collapsed="false">
      <c r="A23" s="3" t="s">
        <v>2</v>
      </c>
      <c r="B23" s="3" t="s">
        <v>961</v>
      </c>
      <c r="C23" s="3" t="s">
        <v>938</v>
      </c>
      <c r="D23" s="3" t="n">
        <v>1</v>
      </c>
      <c r="E23" s="3" t="n">
        <v>89</v>
      </c>
      <c r="F23" s="3" t="s">
        <v>962</v>
      </c>
      <c r="G23" s="3" t="s">
        <v>939</v>
      </c>
    </row>
    <row r="24" customFormat="false" ht="15" hidden="false" customHeight="false" outlineLevel="0" collapsed="false">
      <c r="A24" s="3" t="s">
        <v>2</v>
      </c>
      <c r="B24" s="3" t="s">
        <v>963</v>
      </c>
      <c r="C24" s="3" t="s">
        <v>938</v>
      </c>
      <c r="D24" s="3" t="n">
        <v>1</v>
      </c>
      <c r="E24" s="3" t="n">
        <v>20</v>
      </c>
      <c r="F24" s="3" t="s">
        <v>964</v>
      </c>
      <c r="G24" s="3" t="s">
        <v>939</v>
      </c>
    </row>
    <row r="25" customFormat="false" ht="15" hidden="false" customHeight="false" outlineLevel="0" collapsed="false">
      <c r="A25" s="3" t="s">
        <v>2</v>
      </c>
      <c r="B25" s="3" t="s">
        <v>488</v>
      </c>
      <c r="C25" s="3" t="s">
        <v>935</v>
      </c>
      <c r="D25" s="3" t="n">
        <v>1</v>
      </c>
      <c r="E25" s="3"/>
      <c r="F25" s="3"/>
      <c r="G25" s="3" t="s">
        <v>936</v>
      </c>
    </row>
    <row r="26" customFormat="false" ht="15" hidden="false" customHeight="false" outlineLevel="0" collapsed="false">
      <c r="A26" s="3" t="s">
        <v>2</v>
      </c>
      <c r="B26" s="3" t="s">
        <v>965</v>
      </c>
      <c r="C26" s="3" t="s">
        <v>935</v>
      </c>
      <c r="D26" s="3" t="n">
        <v>1</v>
      </c>
      <c r="E26" s="3"/>
      <c r="F26" s="3"/>
      <c r="G26" s="3" t="s">
        <v>936</v>
      </c>
    </row>
    <row r="27" customFormat="false" ht="15" hidden="false" customHeight="false" outlineLevel="0" collapsed="false">
      <c r="A27" s="3" t="s">
        <v>2</v>
      </c>
      <c r="B27" s="3" t="s">
        <v>966</v>
      </c>
      <c r="C27" s="3" t="s">
        <v>938</v>
      </c>
      <c r="D27" s="3" t="n">
        <v>2</v>
      </c>
      <c r="E27" s="3" t="n">
        <v>28</v>
      </c>
      <c r="F27" s="3" t="s">
        <v>967</v>
      </c>
      <c r="G27" s="3" t="s">
        <v>939</v>
      </c>
    </row>
    <row r="28" customFormat="false" ht="15" hidden="false" customHeight="false" outlineLevel="0" collapsed="false">
      <c r="A28" s="3" t="s">
        <v>2</v>
      </c>
      <c r="B28" s="3" t="s">
        <v>968</v>
      </c>
      <c r="C28" s="3" t="s">
        <v>935</v>
      </c>
      <c r="D28" s="3" t="n">
        <v>1</v>
      </c>
      <c r="E28" s="3"/>
      <c r="F28" s="3"/>
      <c r="G28" s="3" t="s">
        <v>936</v>
      </c>
    </row>
    <row r="29" customFormat="false" ht="15" hidden="false" customHeight="false" outlineLevel="0" collapsed="false">
      <c r="A29" s="3" t="s">
        <v>2</v>
      </c>
      <c r="B29" s="3" t="s">
        <v>969</v>
      </c>
      <c r="C29" s="3" t="s">
        <v>938</v>
      </c>
      <c r="D29" s="3" t="n">
        <v>2</v>
      </c>
      <c r="E29" s="3" t="n">
        <v>24</v>
      </c>
      <c r="F29" s="3" t="s">
        <v>970</v>
      </c>
      <c r="G29" s="3" t="s">
        <v>939</v>
      </c>
    </row>
    <row r="30" customFormat="false" ht="15" hidden="false" customHeight="false" outlineLevel="0" collapsed="false">
      <c r="A30" s="3" t="s">
        <v>2</v>
      </c>
      <c r="B30" s="3" t="s">
        <v>971</v>
      </c>
      <c r="C30" s="3" t="s">
        <v>935</v>
      </c>
      <c r="D30" s="3" t="n">
        <v>1</v>
      </c>
      <c r="E30" s="3"/>
      <c r="F30" s="3"/>
      <c r="G30" s="3" t="s">
        <v>936</v>
      </c>
    </row>
    <row r="31" customFormat="false" ht="15" hidden="false" customHeight="false" outlineLevel="0" collapsed="false">
      <c r="A31" s="3" t="s">
        <v>2</v>
      </c>
      <c r="B31" s="3" t="s">
        <v>972</v>
      </c>
      <c r="C31" s="3" t="s">
        <v>938</v>
      </c>
      <c r="D31" s="3" t="n">
        <v>1</v>
      </c>
      <c r="E31" s="3" t="n">
        <v>15</v>
      </c>
      <c r="F31" s="3" t="s">
        <v>973</v>
      </c>
      <c r="G31" s="3" t="s">
        <v>939</v>
      </c>
    </row>
    <row r="32" customFormat="false" ht="15" hidden="false" customHeight="false" outlineLevel="0" collapsed="false">
      <c r="A32" s="3" t="s">
        <v>2</v>
      </c>
      <c r="B32" s="3" t="s">
        <v>974</v>
      </c>
      <c r="C32" s="3" t="s">
        <v>938</v>
      </c>
      <c r="D32" s="3" t="n">
        <v>4</v>
      </c>
      <c r="E32" s="3" t="n">
        <v>17</v>
      </c>
      <c r="F32" s="3" t="s">
        <v>975</v>
      </c>
      <c r="G32" s="3" t="s">
        <v>939</v>
      </c>
    </row>
    <row r="33" customFormat="false" ht="15" hidden="false" customHeight="false" outlineLevel="0" collapsed="false">
      <c r="A33" s="3" t="s">
        <v>2</v>
      </c>
      <c r="B33" s="3" t="s">
        <v>976</v>
      </c>
      <c r="C33" s="3" t="s">
        <v>938</v>
      </c>
      <c r="D33" s="3" t="n">
        <v>1</v>
      </c>
      <c r="E33" s="3" t="n">
        <v>24</v>
      </c>
      <c r="F33" s="3" t="s">
        <v>977</v>
      </c>
      <c r="G33" s="3" t="s">
        <v>939</v>
      </c>
    </row>
    <row r="34" customFormat="false" ht="15" hidden="false" customHeight="false" outlineLevel="0" collapsed="false">
      <c r="A34" s="3" t="s">
        <v>2</v>
      </c>
      <c r="B34" s="3" t="s">
        <v>978</v>
      </c>
      <c r="C34" s="3" t="s">
        <v>935</v>
      </c>
      <c r="D34" s="3" t="n">
        <v>5</v>
      </c>
      <c r="E34" s="3"/>
      <c r="F34" s="3"/>
      <c r="G34" s="3" t="s">
        <v>936</v>
      </c>
    </row>
    <row r="35" customFormat="false" ht="15" hidden="false" customHeight="false" outlineLevel="0" collapsed="false">
      <c r="A35" s="3" t="s">
        <v>2</v>
      </c>
      <c r="B35" s="3" t="s">
        <v>979</v>
      </c>
      <c r="C35" s="3" t="s">
        <v>935</v>
      </c>
      <c r="D35" s="3" t="n">
        <v>1</v>
      </c>
      <c r="E35" s="3"/>
      <c r="F35" s="3"/>
      <c r="G35" s="3" t="s">
        <v>936</v>
      </c>
    </row>
    <row r="36" customFormat="false" ht="15" hidden="false" customHeight="false" outlineLevel="0" collapsed="false">
      <c r="A36" s="3" t="s">
        <v>3</v>
      </c>
      <c r="B36" s="3" t="s">
        <v>934</v>
      </c>
      <c r="C36" s="3" t="s">
        <v>935</v>
      </c>
      <c r="D36" s="3" t="n">
        <v>7</v>
      </c>
      <c r="E36" s="3"/>
      <c r="F36" s="3"/>
      <c r="G36" s="3" t="s">
        <v>936</v>
      </c>
    </row>
    <row r="37" customFormat="false" ht="15" hidden="false" customHeight="false" outlineLevel="0" collapsed="false">
      <c r="A37" s="3" t="s">
        <v>3</v>
      </c>
      <c r="B37" s="3" t="s">
        <v>937</v>
      </c>
      <c r="C37" s="3" t="s">
        <v>938</v>
      </c>
      <c r="D37" s="3" t="n">
        <v>1</v>
      </c>
      <c r="E37" s="3" t="n">
        <v>18</v>
      </c>
      <c r="F37" s="3" t="s">
        <v>478</v>
      </c>
      <c r="G37" s="3" t="s">
        <v>939</v>
      </c>
    </row>
    <row r="38" customFormat="false" ht="15" hidden="false" customHeight="false" outlineLevel="0" collapsed="false">
      <c r="A38" s="3" t="s">
        <v>3</v>
      </c>
      <c r="B38" s="3" t="s">
        <v>940</v>
      </c>
      <c r="C38" s="3" t="s">
        <v>938</v>
      </c>
      <c r="D38" s="3" t="n">
        <v>1</v>
      </c>
      <c r="E38" s="3" t="n">
        <v>21</v>
      </c>
      <c r="F38" s="3" t="s">
        <v>980</v>
      </c>
      <c r="G38" s="3" t="s">
        <v>939</v>
      </c>
    </row>
    <row r="39" customFormat="false" ht="15" hidden="false" customHeight="false" outlineLevel="0" collapsed="false">
      <c r="A39" s="3" t="s">
        <v>3</v>
      </c>
      <c r="B39" s="3" t="s">
        <v>942</v>
      </c>
      <c r="C39" s="3" t="s">
        <v>938</v>
      </c>
      <c r="D39" s="3" t="n">
        <v>2</v>
      </c>
      <c r="E39" s="3" t="n">
        <v>81</v>
      </c>
      <c r="F39" s="3" t="s">
        <v>981</v>
      </c>
      <c r="G39" s="3" t="s">
        <v>939</v>
      </c>
    </row>
    <row r="40" customFormat="false" ht="15" hidden="false" customHeight="false" outlineLevel="0" collapsed="false">
      <c r="A40" s="3" t="s">
        <v>3</v>
      </c>
      <c r="B40" s="3" t="s">
        <v>943</v>
      </c>
      <c r="C40" s="3" t="s">
        <v>935</v>
      </c>
      <c r="D40" s="3" t="n">
        <v>5</v>
      </c>
      <c r="E40" s="3"/>
      <c r="F40" s="3"/>
      <c r="G40" s="3" t="s">
        <v>936</v>
      </c>
    </row>
    <row r="41" customFormat="false" ht="15" hidden="false" customHeight="false" outlineLevel="0" collapsed="false">
      <c r="A41" s="3" t="s">
        <v>3</v>
      </c>
      <c r="B41" s="3" t="s">
        <v>944</v>
      </c>
      <c r="C41" s="3" t="s">
        <v>935</v>
      </c>
      <c r="D41" s="3" t="n">
        <v>1</v>
      </c>
      <c r="E41" s="3"/>
      <c r="F41" s="3"/>
      <c r="G41" s="3" t="s">
        <v>936</v>
      </c>
    </row>
    <row r="42" customFormat="false" ht="15" hidden="false" customHeight="false" outlineLevel="0" collapsed="false">
      <c r="A42" s="3" t="s">
        <v>3</v>
      </c>
      <c r="B42" s="3" t="s">
        <v>150</v>
      </c>
      <c r="C42" s="3" t="s">
        <v>935</v>
      </c>
      <c r="D42" s="3" t="n">
        <v>2</v>
      </c>
      <c r="E42" s="3"/>
      <c r="F42" s="3"/>
      <c r="G42" s="3" t="s">
        <v>936</v>
      </c>
    </row>
    <row r="43" customFormat="false" ht="15" hidden="false" customHeight="false" outlineLevel="0" collapsed="false">
      <c r="A43" s="3" t="s">
        <v>3</v>
      </c>
      <c r="B43" s="3" t="s">
        <v>945</v>
      </c>
      <c r="C43" s="3" t="s">
        <v>938</v>
      </c>
      <c r="D43" s="3" t="n">
        <v>1</v>
      </c>
      <c r="E43" s="3" t="n">
        <v>27</v>
      </c>
      <c r="F43" s="3" t="s">
        <v>982</v>
      </c>
      <c r="G43" s="3" t="s">
        <v>939</v>
      </c>
    </row>
    <row r="44" customFormat="false" ht="15" hidden="false" customHeight="false" outlineLevel="0" collapsed="false">
      <c r="A44" s="3" t="s">
        <v>3</v>
      </c>
      <c r="B44" s="3" t="s">
        <v>946</v>
      </c>
      <c r="C44" s="3" t="s">
        <v>935</v>
      </c>
      <c r="D44" s="3" t="n">
        <v>1</v>
      </c>
      <c r="E44" s="3"/>
      <c r="F44" s="3"/>
      <c r="G44" s="3" t="s">
        <v>936</v>
      </c>
    </row>
    <row r="45" customFormat="false" ht="15" hidden="false" customHeight="false" outlineLevel="0" collapsed="false">
      <c r="A45" s="3" t="s">
        <v>3</v>
      </c>
      <c r="B45" s="3" t="s">
        <v>188</v>
      </c>
      <c r="C45" s="3" t="s">
        <v>935</v>
      </c>
      <c r="D45" s="3" t="n">
        <v>3</v>
      </c>
      <c r="E45" s="3"/>
      <c r="F45" s="3"/>
      <c r="G45" s="3" t="s">
        <v>936</v>
      </c>
    </row>
    <row r="46" customFormat="false" ht="15" hidden="false" customHeight="false" outlineLevel="0" collapsed="false">
      <c r="A46" s="3" t="s">
        <v>3</v>
      </c>
      <c r="B46" s="3" t="s">
        <v>545</v>
      </c>
      <c r="C46" s="3" t="s">
        <v>935</v>
      </c>
      <c r="D46" s="3" t="n">
        <v>1</v>
      </c>
      <c r="E46" s="3"/>
      <c r="F46" s="3"/>
      <c r="G46" s="3" t="s">
        <v>936</v>
      </c>
    </row>
    <row r="47" customFormat="false" ht="15" hidden="false" customHeight="false" outlineLevel="0" collapsed="false">
      <c r="A47" s="3" t="s">
        <v>3</v>
      </c>
      <c r="B47" s="3" t="s">
        <v>947</v>
      </c>
      <c r="C47" s="3" t="s">
        <v>935</v>
      </c>
      <c r="D47" s="3" t="n">
        <v>1</v>
      </c>
      <c r="E47" s="3"/>
      <c r="F47" s="3"/>
      <c r="G47" s="3" t="s">
        <v>936</v>
      </c>
    </row>
    <row r="48" customFormat="false" ht="15" hidden="false" customHeight="false" outlineLevel="0" collapsed="false">
      <c r="A48" s="3" t="s">
        <v>3</v>
      </c>
      <c r="B48" s="3" t="s">
        <v>202</v>
      </c>
      <c r="C48" s="3" t="s">
        <v>935</v>
      </c>
      <c r="D48" s="3" t="n">
        <v>1</v>
      </c>
      <c r="E48" s="3"/>
      <c r="F48" s="3"/>
      <c r="G48" s="3" t="s">
        <v>936</v>
      </c>
    </row>
    <row r="49" customFormat="false" ht="15" hidden="false" customHeight="false" outlineLevel="0" collapsed="false">
      <c r="A49" s="3" t="s">
        <v>3</v>
      </c>
      <c r="B49" s="3" t="s">
        <v>948</v>
      </c>
      <c r="C49" s="3" t="s">
        <v>938</v>
      </c>
      <c r="D49" s="3" t="n">
        <v>2</v>
      </c>
      <c r="E49" s="3" t="n">
        <v>19</v>
      </c>
      <c r="F49" s="3" t="s">
        <v>983</v>
      </c>
      <c r="G49" s="3" t="s">
        <v>939</v>
      </c>
    </row>
    <row r="50" customFormat="false" ht="15" hidden="false" customHeight="false" outlineLevel="0" collapsed="false">
      <c r="A50" s="3" t="s">
        <v>3</v>
      </c>
      <c r="B50" s="3" t="s">
        <v>950</v>
      </c>
      <c r="C50" s="3" t="s">
        <v>938</v>
      </c>
      <c r="D50" s="3" t="n">
        <v>1</v>
      </c>
      <c r="E50" s="3" t="n">
        <v>64</v>
      </c>
      <c r="F50" s="3" t="s">
        <v>984</v>
      </c>
      <c r="G50" s="3" t="s">
        <v>939</v>
      </c>
    </row>
    <row r="51" customFormat="false" ht="15" hidden="false" customHeight="false" outlineLevel="0" collapsed="false">
      <c r="A51" s="3" t="s">
        <v>3</v>
      </c>
      <c r="B51" s="3" t="s">
        <v>219</v>
      </c>
      <c r="C51" s="3" t="s">
        <v>938</v>
      </c>
      <c r="D51" s="3" t="n">
        <v>1</v>
      </c>
      <c r="E51" s="3" t="n">
        <v>30</v>
      </c>
      <c r="F51" s="3" t="s">
        <v>981</v>
      </c>
      <c r="G51" s="3" t="s">
        <v>939</v>
      </c>
    </row>
    <row r="52" customFormat="false" ht="15" hidden="false" customHeight="false" outlineLevel="0" collapsed="false">
      <c r="A52" s="3" t="s">
        <v>3</v>
      </c>
      <c r="B52" s="3" t="s">
        <v>952</v>
      </c>
      <c r="C52" s="3" t="s">
        <v>935</v>
      </c>
      <c r="D52" s="3" t="n">
        <v>1</v>
      </c>
      <c r="E52" s="3"/>
      <c r="F52" s="3"/>
      <c r="G52" s="3" t="s">
        <v>936</v>
      </c>
    </row>
    <row r="53" customFormat="false" ht="15" hidden="false" customHeight="false" outlineLevel="0" collapsed="false">
      <c r="A53" s="3" t="s">
        <v>3</v>
      </c>
      <c r="B53" s="3" t="s">
        <v>953</v>
      </c>
      <c r="C53" s="3" t="s">
        <v>935</v>
      </c>
      <c r="D53" s="3" t="n">
        <v>3</v>
      </c>
      <c r="E53" s="3"/>
      <c r="F53" s="3"/>
      <c r="G53" s="3" t="s">
        <v>936</v>
      </c>
    </row>
    <row r="54" customFormat="false" ht="15" hidden="false" customHeight="false" outlineLevel="0" collapsed="false">
      <c r="A54" s="3" t="s">
        <v>3</v>
      </c>
      <c r="B54" s="3" t="s">
        <v>254</v>
      </c>
      <c r="C54" s="3" t="s">
        <v>935</v>
      </c>
      <c r="D54" s="3" t="n">
        <v>8</v>
      </c>
      <c r="E54" s="3"/>
      <c r="F54" s="3"/>
      <c r="G54" s="3" t="s">
        <v>936</v>
      </c>
    </row>
    <row r="55" customFormat="false" ht="15" hidden="false" customHeight="false" outlineLevel="0" collapsed="false">
      <c r="A55" s="3" t="s">
        <v>3</v>
      </c>
      <c r="B55" s="3" t="s">
        <v>567</v>
      </c>
      <c r="C55" s="3" t="s">
        <v>935</v>
      </c>
      <c r="D55" s="3" t="n">
        <v>1</v>
      </c>
      <c r="E55" s="3"/>
      <c r="F55" s="3"/>
      <c r="G55" s="3" t="s">
        <v>936</v>
      </c>
    </row>
    <row r="56" customFormat="false" ht="15" hidden="false" customHeight="false" outlineLevel="0" collapsed="false">
      <c r="A56" s="3" t="s">
        <v>3</v>
      </c>
      <c r="B56" s="3" t="s">
        <v>954</v>
      </c>
      <c r="C56" s="3" t="s">
        <v>935</v>
      </c>
      <c r="D56" s="3" t="n">
        <v>1</v>
      </c>
      <c r="E56" s="3"/>
      <c r="F56" s="3"/>
      <c r="G56" s="3" t="s">
        <v>936</v>
      </c>
    </row>
    <row r="57" customFormat="false" ht="15" hidden="false" customHeight="false" outlineLevel="0" collapsed="false">
      <c r="A57" s="3" t="s">
        <v>3</v>
      </c>
      <c r="B57" s="3" t="s">
        <v>955</v>
      </c>
      <c r="C57" s="3" t="s">
        <v>938</v>
      </c>
      <c r="D57" s="3" t="n">
        <v>2</v>
      </c>
      <c r="E57" s="3" t="n">
        <v>33</v>
      </c>
      <c r="F57" s="3" t="s">
        <v>980</v>
      </c>
      <c r="G57" s="3" t="s">
        <v>939</v>
      </c>
    </row>
    <row r="58" customFormat="false" ht="15" hidden="false" customHeight="false" outlineLevel="0" collapsed="false">
      <c r="A58" s="3" t="s">
        <v>3</v>
      </c>
      <c r="B58" s="3" t="s">
        <v>956</v>
      </c>
      <c r="C58" s="3" t="s">
        <v>935</v>
      </c>
      <c r="D58" s="3" t="n">
        <v>1</v>
      </c>
      <c r="E58" s="3"/>
      <c r="F58" s="3"/>
      <c r="G58" s="3" t="s">
        <v>936</v>
      </c>
    </row>
    <row r="59" customFormat="false" ht="15" hidden="false" customHeight="false" outlineLevel="0" collapsed="false">
      <c r="A59" s="3" t="s">
        <v>3</v>
      </c>
      <c r="B59" s="3" t="s">
        <v>957</v>
      </c>
      <c r="C59" s="3" t="s">
        <v>938</v>
      </c>
      <c r="D59" s="3" t="n">
        <v>2</v>
      </c>
      <c r="E59" s="3" t="n">
        <v>42</v>
      </c>
      <c r="F59" s="3" t="s">
        <v>985</v>
      </c>
      <c r="G59" s="3" t="s">
        <v>939</v>
      </c>
    </row>
    <row r="60" customFormat="false" ht="15" hidden="false" customHeight="false" outlineLevel="0" collapsed="false">
      <c r="A60" s="3" t="s">
        <v>3</v>
      </c>
      <c r="B60" s="3" t="s">
        <v>959</v>
      </c>
      <c r="C60" s="3" t="s">
        <v>935</v>
      </c>
      <c r="D60" s="3" t="n">
        <v>1</v>
      </c>
      <c r="E60" s="3"/>
      <c r="F60" s="3"/>
      <c r="G60" s="3" t="s">
        <v>936</v>
      </c>
    </row>
    <row r="61" customFormat="false" ht="15" hidden="false" customHeight="false" outlineLevel="0" collapsed="false">
      <c r="A61" s="3" t="s">
        <v>3</v>
      </c>
      <c r="B61" s="3" t="s">
        <v>960</v>
      </c>
      <c r="C61" s="3" t="s">
        <v>935</v>
      </c>
      <c r="D61" s="3" t="n">
        <v>1</v>
      </c>
      <c r="E61" s="3"/>
      <c r="F61" s="3"/>
      <c r="G61" s="3" t="s">
        <v>936</v>
      </c>
    </row>
    <row r="62" customFormat="false" ht="15" hidden="false" customHeight="false" outlineLevel="0" collapsed="false">
      <c r="A62" s="3" t="s">
        <v>3</v>
      </c>
      <c r="B62" s="3" t="s">
        <v>961</v>
      </c>
      <c r="C62" s="3" t="s">
        <v>938</v>
      </c>
      <c r="D62" s="3" t="n">
        <v>1</v>
      </c>
      <c r="E62" s="3" t="n">
        <v>60</v>
      </c>
      <c r="F62" s="3" t="s">
        <v>986</v>
      </c>
      <c r="G62" s="3" t="s">
        <v>939</v>
      </c>
    </row>
    <row r="63" customFormat="false" ht="15" hidden="false" customHeight="false" outlineLevel="0" collapsed="false">
      <c r="A63" s="3" t="s">
        <v>3</v>
      </c>
      <c r="B63" s="3" t="s">
        <v>963</v>
      </c>
      <c r="C63" s="3" t="s">
        <v>938</v>
      </c>
      <c r="D63" s="3" t="n">
        <v>1</v>
      </c>
      <c r="E63" s="3" t="n">
        <v>59</v>
      </c>
      <c r="F63" s="3" t="s">
        <v>987</v>
      </c>
      <c r="G63" s="3" t="s">
        <v>939</v>
      </c>
    </row>
    <row r="64" customFormat="false" ht="15" hidden="false" customHeight="false" outlineLevel="0" collapsed="false">
      <c r="A64" s="3" t="s">
        <v>3</v>
      </c>
      <c r="B64" s="3" t="s">
        <v>965</v>
      </c>
      <c r="C64" s="3" t="s">
        <v>935</v>
      </c>
      <c r="D64" s="3" t="n">
        <v>1</v>
      </c>
      <c r="E64" s="3"/>
      <c r="F64" s="3"/>
      <c r="G64" s="3" t="s">
        <v>936</v>
      </c>
    </row>
    <row r="65" customFormat="false" ht="15" hidden="false" customHeight="false" outlineLevel="0" collapsed="false">
      <c r="A65" s="3" t="s">
        <v>3</v>
      </c>
      <c r="B65" s="3" t="s">
        <v>966</v>
      </c>
      <c r="C65" s="3" t="s">
        <v>938</v>
      </c>
      <c r="D65" s="3" t="n">
        <v>2</v>
      </c>
      <c r="E65" s="3" t="n">
        <v>23</v>
      </c>
      <c r="F65" s="3" t="s">
        <v>988</v>
      </c>
      <c r="G65" s="3" t="s">
        <v>939</v>
      </c>
    </row>
    <row r="66" customFormat="false" ht="15" hidden="false" customHeight="false" outlineLevel="0" collapsed="false">
      <c r="A66" s="3" t="s">
        <v>3</v>
      </c>
      <c r="B66" s="3" t="s">
        <v>328</v>
      </c>
      <c r="C66" s="3" t="s">
        <v>935</v>
      </c>
      <c r="D66" s="3" t="n">
        <v>1</v>
      </c>
      <c r="E66" s="3"/>
      <c r="F66" s="3"/>
      <c r="G66" s="3" t="s">
        <v>936</v>
      </c>
    </row>
    <row r="67" customFormat="false" ht="15" hidden="false" customHeight="false" outlineLevel="0" collapsed="false">
      <c r="A67" s="3" t="s">
        <v>3</v>
      </c>
      <c r="B67" s="3" t="s">
        <v>338</v>
      </c>
      <c r="C67" s="3" t="s">
        <v>938</v>
      </c>
      <c r="D67" s="3" t="n">
        <v>1</v>
      </c>
      <c r="E67" s="3" t="n">
        <v>21</v>
      </c>
      <c r="F67" s="3" t="s">
        <v>456</v>
      </c>
      <c r="G67" s="3" t="s">
        <v>939</v>
      </c>
    </row>
    <row r="68" customFormat="false" ht="15" hidden="false" customHeight="false" outlineLevel="0" collapsed="false">
      <c r="A68" s="3" t="s">
        <v>3</v>
      </c>
      <c r="B68" s="3" t="s">
        <v>968</v>
      </c>
      <c r="C68" s="3" t="s">
        <v>935</v>
      </c>
      <c r="D68" s="3" t="n">
        <v>1</v>
      </c>
      <c r="E68" s="3"/>
      <c r="F68" s="3"/>
      <c r="G68" s="3" t="s">
        <v>936</v>
      </c>
    </row>
    <row r="69" customFormat="false" ht="15" hidden="false" customHeight="false" outlineLevel="0" collapsed="false">
      <c r="A69" s="3" t="s">
        <v>3</v>
      </c>
      <c r="B69" s="3" t="s">
        <v>363</v>
      </c>
      <c r="C69" s="3" t="s">
        <v>935</v>
      </c>
      <c r="D69" s="3" t="n">
        <v>2</v>
      </c>
      <c r="E69" s="3"/>
      <c r="F69" s="3"/>
      <c r="G69" s="3" t="s">
        <v>936</v>
      </c>
    </row>
    <row r="70" customFormat="false" ht="15" hidden="false" customHeight="false" outlineLevel="0" collapsed="false">
      <c r="A70" s="3" t="s">
        <v>3</v>
      </c>
      <c r="B70" s="3" t="s">
        <v>367</v>
      </c>
      <c r="C70" s="3" t="s">
        <v>938</v>
      </c>
      <c r="D70" s="3" t="n">
        <v>1</v>
      </c>
      <c r="E70" s="3" t="n">
        <v>18</v>
      </c>
      <c r="F70" s="3" t="s">
        <v>982</v>
      </c>
      <c r="G70" s="3" t="s">
        <v>939</v>
      </c>
    </row>
    <row r="71" customFormat="false" ht="15" hidden="false" customHeight="false" outlineLevel="0" collapsed="false">
      <c r="A71" s="3" t="s">
        <v>3</v>
      </c>
      <c r="B71" s="3" t="s">
        <v>370</v>
      </c>
      <c r="C71" s="3" t="s">
        <v>938</v>
      </c>
      <c r="D71" s="3" t="n">
        <v>1</v>
      </c>
      <c r="E71" s="3" t="n">
        <v>25</v>
      </c>
      <c r="F71" s="3" t="s">
        <v>989</v>
      </c>
      <c r="G71" s="3" t="s">
        <v>939</v>
      </c>
    </row>
    <row r="72" customFormat="false" ht="15" hidden="false" customHeight="false" outlineLevel="0" collapsed="false">
      <c r="A72" s="3" t="s">
        <v>3</v>
      </c>
      <c r="B72" s="3" t="s">
        <v>969</v>
      </c>
      <c r="C72" s="3" t="s">
        <v>938</v>
      </c>
      <c r="D72" s="3" t="n">
        <v>2</v>
      </c>
      <c r="E72" s="3" t="n">
        <v>32</v>
      </c>
      <c r="F72" s="3" t="s">
        <v>990</v>
      </c>
      <c r="G72" s="3" t="s">
        <v>939</v>
      </c>
    </row>
    <row r="73" customFormat="false" ht="15" hidden="false" customHeight="false" outlineLevel="0" collapsed="false">
      <c r="A73" s="3" t="s">
        <v>3</v>
      </c>
      <c r="B73" s="3" t="s">
        <v>971</v>
      </c>
      <c r="C73" s="3" t="s">
        <v>935</v>
      </c>
      <c r="D73" s="3" t="n">
        <v>1</v>
      </c>
      <c r="E73" s="3"/>
      <c r="F73" s="3"/>
      <c r="G73" s="3" t="s">
        <v>936</v>
      </c>
    </row>
    <row r="74" customFormat="false" ht="15" hidden="false" customHeight="false" outlineLevel="0" collapsed="false">
      <c r="A74" s="3" t="s">
        <v>3</v>
      </c>
      <c r="B74" s="3" t="s">
        <v>972</v>
      </c>
      <c r="C74" s="3" t="s">
        <v>938</v>
      </c>
      <c r="D74" s="3" t="n">
        <v>1</v>
      </c>
      <c r="E74" s="3" t="n">
        <v>29</v>
      </c>
      <c r="F74" s="3" t="s">
        <v>991</v>
      </c>
      <c r="G74" s="3" t="s">
        <v>939</v>
      </c>
    </row>
    <row r="75" customFormat="false" ht="15" hidden="false" customHeight="false" outlineLevel="0" collapsed="false">
      <c r="A75" s="3" t="s">
        <v>3</v>
      </c>
      <c r="B75" s="3" t="s">
        <v>974</v>
      </c>
      <c r="C75" s="3" t="s">
        <v>938</v>
      </c>
      <c r="D75" s="3" t="n">
        <v>4</v>
      </c>
      <c r="E75" s="3" t="n">
        <v>21</v>
      </c>
      <c r="F75" s="3" t="s">
        <v>992</v>
      </c>
      <c r="G75" s="3" t="s">
        <v>939</v>
      </c>
    </row>
    <row r="76" customFormat="false" ht="15" hidden="false" customHeight="false" outlineLevel="0" collapsed="false">
      <c r="A76" s="3" t="s">
        <v>3</v>
      </c>
      <c r="B76" s="3" t="s">
        <v>976</v>
      </c>
      <c r="C76" s="3" t="s">
        <v>938</v>
      </c>
      <c r="D76" s="3" t="n">
        <v>1</v>
      </c>
      <c r="E76" s="3" t="n">
        <v>38</v>
      </c>
      <c r="F76" s="3" t="s">
        <v>993</v>
      </c>
      <c r="G76" s="3" t="s">
        <v>939</v>
      </c>
    </row>
    <row r="77" customFormat="false" ht="15" hidden="false" customHeight="false" outlineLevel="0" collapsed="false">
      <c r="A77" s="3" t="s">
        <v>3</v>
      </c>
      <c r="B77" s="3" t="s">
        <v>978</v>
      </c>
      <c r="C77" s="3" t="s">
        <v>935</v>
      </c>
      <c r="D77" s="3" t="n">
        <v>5</v>
      </c>
      <c r="E77" s="3"/>
      <c r="F77" s="3"/>
      <c r="G77" s="3" t="s">
        <v>936</v>
      </c>
    </row>
    <row r="78" customFormat="false" ht="15" hidden="false" customHeight="false" outlineLevel="0" collapsed="false">
      <c r="A78" s="3" t="s">
        <v>3</v>
      </c>
      <c r="B78" s="3" t="s">
        <v>979</v>
      </c>
      <c r="C78" s="3" t="s">
        <v>935</v>
      </c>
      <c r="D78" s="3" t="n">
        <v>1</v>
      </c>
      <c r="E78" s="3"/>
      <c r="F78" s="3"/>
      <c r="G78" s="3" t="s">
        <v>936</v>
      </c>
    </row>
    <row r="79" customFormat="false" ht="15" hidden="false" customHeight="false" outlineLevel="0" collapsed="false">
      <c r="A79" s="3" t="s">
        <v>4</v>
      </c>
      <c r="B79" s="3" t="s">
        <v>934</v>
      </c>
      <c r="C79" s="3" t="s">
        <v>935</v>
      </c>
      <c r="D79" s="3" t="n">
        <v>7</v>
      </c>
      <c r="E79" s="3"/>
      <c r="F79" s="3"/>
      <c r="G79" s="3" t="s">
        <v>936</v>
      </c>
    </row>
    <row r="80" customFormat="false" ht="15" hidden="false" customHeight="false" outlineLevel="0" collapsed="false">
      <c r="A80" s="3" t="s">
        <v>4</v>
      </c>
      <c r="B80" s="3" t="s">
        <v>937</v>
      </c>
      <c r="C80" s="3" t="s">
        <v>938</v>
      </c>
      <c r="D80" s="3" t="n">
        <v>1</v>
      </c>
      <c r="E80" s="3" t="n">
        <v>19</v>
      </c>
      <c r="F80" s="3" t="s">
        <v>994</v>
      </c>
      <c r="G80" s="3" t="s">
        <v>939</v>
      </c>
    </row>
    <row r="81" customFormat="false" ht="15" hidden="false" customHeight="false" outlineLevel="0" collapsed="false">
      <c r="A81" s="3" t="s">
        <v>4</v>
      </c>
      <c r="B81" s="3" t="s">
        <v>940</v>
      </c>
      <c r="C81" s="3" t="s">
        <v>938</v>
      </c>
      <c r="D81" s="3" t="n">
        <v>1</v>
      </c>
      <c r="E81" s="3" t="n">
        <v>29</v>
      </c>
      <c r="F81" s="3" t="s">
        <v>995</v>
      </c>
      <c r="G81" s="3" t="s">
        <v>939</v>
      </c>
    </row>
    <row r="82" customFormat="false" ht="15" hidden="false" customHeight="false" outlineLevel="0" collapsed="false">
      <c r="A82" s="3" t="s">
        <v>4</v>
      </c>
      <c r="B82" s="3" t="s">
        <v>942</v>
      </c>
      <c r="C82" s="3" t="s">
        <v>938</v>
      </c>
      <c r="D82" s="3" t="n">
        <v>2</v>
      </c>
      <c r="E82" s="3" t="n">
        <v>79</v>
      </c>
      <c r="F82" s="3" t="s">
        <v>996</v>
      </c>
      <c r="G82" s="3" t="s">
        <v>939</v>
      </c>
    </row>
    <row r="83" customFormat="false" ht="15" hidden="false" customHeight="false" outlineLevel="0" collapsed="false">
      <c r="A83" s="3" t="s">
        <v>4</v>
      </c>
      <c r="B83" s="3" t="s">
        <v>943</v>
      </c>
      <c r="C83" s="3" t="s">
        <v>935</v>
      </c>
      <c r="D83" s="3" t="n">
        <v>5</v>
      </c>
      <c r="E83" s="3"/>
      <c r="F83" s="3"/>
      <c r="G83" s="3" t="s">
        <v>936</v>
      </c>
    </row>
    <row r="84" customFormat="false" ht="15" hidden="false" customHeight="false" outlineLevel="0" collapsed="false">
      <c r="A84" s="3" t="s">
        <v>4</v>
      </c>
      <c r="B84" s="3" t="s">
        <v>944</v>
      </c>
      <c r="C84" s="3" t="s">
        <v>935</v>
      </c>
      <c r="D84" s="3" t="n">
        <v>1</v>
      </c>
      <c r="E84" s="3"/>
      <c r="F84" s="3"/>
      <c r="G84" s="3" t="s">
        <v>936</v>
      </c>
    </row>
    <row r="85" customFormat="false" ht="15" hidden="false" customHeight="false" outlineLevel="0" collapsed="false">
      <c r="A85" s="3" t="s">
        <v>4</v>
      </c>
      <c r="B85" s="3" t="s">
        <v>945</v>
      </c>
      <c r="C85" s="3" t="s">
        <v>938</v>
      </c>
      <c r="D85" s="3" t="n">
        <v>1</v>
      </c>
      <c r="E85" s="3" t="n">
        <v>37</v>
      </c>
      <c r="F85" s="3" t="s">
        <v>997</v>
      </c>
      <c r="G85" s="3" t="s">
        <v>939</v>
      </c>
    </row>
    <row r="86" customFormat="false" ht="15" hidden="false" customHeight="false" outlineLevel="0" collapsed="false">
      <c r="A86" s="3" t="s">
        <v>4</v>
      </c>
      <c r="B86" s="3" t="s">
        <v>946</v>
      </c>
      <c r="C86" s="3" t="s">
        <v>935</v>
      </c>
      <c r="D86" s="3" t="n">
        <v>1</v>
      </c>
      <c r="E86" s="3"/>
      <c r="F86" s="3"/>
      <c r="G86" s="3" t="s">
        <v>936</v>
      </c>
    </row>
    <row r="87" customFormat="false" ht="15" hidden="false" customHeight="false" outlineLevel="0" collapsed="false">
      <c r="A87" s="3" t="s">
        <v>4</v>
      </c>
      <c r="B87" s="3" t="s">
        <v>947</v>
      </c>
      <c r="C87" s="3" t="s">
        <v>935</v>
      </c>
      <c r="D87" s="3" t="n">
        <v>1</v>
      </c>
      <c r="E87" s="3"/>
      <c r="F87" s="3"/>
      <c r="G87" s="3" t="s">
        <v>936</v>
      </c>
    </row>
    <row r="88" customFormat="false" ht="15" hidden="false" customHeight="false" outlineLevel="0" collapsed="false">
      <c r="A88" s="3" t="s">
        <v>4</v>
      </c>
      <c r="B88" s="3" t="s">
        <v>948</v>
      </c>
      <c r="C88" s="3" t="s">
        <v>938</v>
      </c>
      <c r="D88" s="3" t="n">
        <v>2</v>
      </c>
      <c r="E88" s="3" t="n">
        <v>15</v>
      </c>
      <c r="F88" s="3" t="s">
        <v>998</v>
      </c>
      <c r="G88" s="3" t="s">
        <v>939</v>
      </c>
    </row>
    <row r="89" customFormat="false" ht="15" hidden="false" customHeight="false" outlineLevel="0" collapsed="false">
      <c r="A89" s="3" t="s">
        <v>4</v>
      </c>
      <c r="B89" s="3" t="s">
        <v>950</v>
      </c>
      <c r="C89" s="3" t="s">
        <v>938</v>
      </c>
      <c r="D89" s="3" t="n">
        <v>1</v>
      </c>
      <c r="E89" s="3" t="n">
        <v>106</v>
      </c>
      <c r="F89" s="3" t="s">
        <v>999</v>
      </c>
      <c r="G89" s="3" t="s">
        <v>939</v>
      </c>
    </row>
    <row r="90" customFormat="false" ht="15" hidden="false" customHeight="false" outlineLevel="0" collapsed="false">
      <c r="A90" s="3" t="s">
        <v>4</v>
      </c>
      <c r="B90" s="3" t="s">
        <v>219</v>
      </c>
      <c r="C90" s="3" t="s">
        <v>938</v>
      </c>
      <c r="D90" s="3" t="n">
        <v>1</v>
      </c>
      <c r="E90" s="3" t="n">
        <v>29</v>
      </c>
      <c r="F90" s="3" t="s">
        <v>996</v>
      </c>
      <c r="G90" s="3" t="s">
        <v>939</v>
      </c>
    </row>
    <row r="91" customFormat="false" ht="15" hidden="false" customHeight="false" outlineLevel="0" collapsed="false">
      <c r="A91" s="3" t="s">
        <v>4</v>
      </c>
      <c r="B91" s="3" t="s">
        <v>952</v>
      </c>
      <c r="C91" s="3" t="s">
        <v>935</v>
      </c>
      <c r="D91" s="3" t="n">
        <v>1</v>
      </c>
      <c r="E91" s="3"/>
      <c r="F91" s="3"/>
      <c r="G91" s="3" t="s">
        <v>936</v>
      </c>
    </row>
    <row r="92" customFormat="false" ht="15" hidden="false" customHeight="false" outlineLevel="0" collapsed="false">
      <c r="A92" s="3" t="s">
        <v>4</v>
      </c>
      <c r="B92" s="3" t="s">
        <v>953</v>
      </c>
      <c r="C92" s="3" t="s">
        <v>935</v>
      </c>
      <c r="D92" s="3" t="n">
        <v>3</v>
      </c>
      <c r="E92" s="3"/>
      <c r="F92" s="3"/>
      <c r="G92" s="3" t="s">
        <v>936</v>
      </c>
    </row>
    <row r="93" customFormat="false" ht="15" hidden="false" customHeight="false" outlineLevel="0" collapsed="false">
      <c r="A93" s="3" t="s">
        <v>4</v>
      </c>
      <c r="B93" s="3" t="s">
        <v>254</v>
      </c>
      <c r="C93" s="3" t="s">
        <v>935</v>
      </c>
      <c r="D93" s="3" t="n">
        <v>8</v>
      </c>
      <c r="E93" s="3"/>
      <c r="F93" s="3"/>
      <c r="G93" s="3" t="s">
        <v>936</v>
      </c>
    </row>
    <row r="94" customFormat="false" ht="15" hidden="false" customHeight="false" outlineLevel="0" collapsed="false">
      <c r="A94" s="3" t="s">
        <v>4</v>
      </c>
      <c r="B94" s="3" t="s">
        <v>282</v>
      </c>
      <c r="C94" s="3" t="s">
        <v>938</v>
      </c>
      <c r="D94" s="3" t="n">
        <v>1</v>
      </c>
      <c r="E94" s="3" t="n">
        <v>13</v>
      </c>
      <c r="F94" s="3" t="s">
        <v>994</v>
      </c>
      <c r="G94" s="3" t="s">
        <v>939</v>
      </c>
    </row>
    <row r="95" customFormat="false" ht="15" hidden="false" customHeight="false" outlineLevel="0" collapsed="false">
      <c r="A95" s="3" t="s">
        <v>4</v>
      </c>
      <c r="B95" s="3" t="s">
        <v>954</v>
      </c>
      <c r="C95" s="3" t="s">
        <v>935</v>
      </c>
      <c r="D95" s="3" t="n">
        <v>1</v>
      </c>
      <c r="E95" s="3"/>
      <c r="F95" s="3"/>
      <c r="G95" s="3" t="s">
        <v>936</v>
      </c>
    </row>
    <row r="96" customFormat="false" ht="15" hidden="false" customHeight="false" outlineLevel="0" collapsed="false">
      <c r="A96" s="3" t="s">
        <v>4</v>
      </c>
      <c r="B96" s="3" t="s">
        <v>955</v>
      </c>
      <c r="C96" s="3" t="s">
        <v>938</v>
      </c>
      <c r="D96" s="3" t="n">
        <v>2</v>
      </c>
      <c r="E96" s="3" t="n">
        <v>47</v>
      </c>
      <c r="F96" s="3" t="s">
        <v>1000</v>
      </c>
      <c r="G96" s="3" t="s">
        <v>939</v>
      </c>
    </row>
    <row r="97" customFormat="false" ht="15" hidden="false" customHeight="false" outlineLevel="0" collapsed="false">
      <c r="A97" s="3" t="s">
        <v>4</v>
      </c>
      <c r="B97" s="3" t="s">
        <v>956</v>
      </c>
      <c r="C97" s="3" t="s">
        <v>935</v>
      </c>
      <c r="D97" s="3" t="n">
        <v>1</v>
      </c>
      <c r="E97" s="3"/>
      <c r="F97" s="3"/>
      <c r="G97" s="3" t="s">
        <v>936</v>
      </c>
    </row>
    <row r="98" customFormat="false" ht="15" hidden="false" customHeight="false" outlineLevel="0" collapsed="false">
      <c r="A98" s="3" t="s">
        <v>4</v>
      </c>
      <c r="B98" s="3" t="s">
        <v>957</v>
      </c>
      <c r="C98" s="3" t="s">
        <v>938</v>
      </c>
      <c r="D98" s="3" t="n">
        <v>2</v>
      </c>
      <c r="E98" s="3" t="n">
        <v>50</v>
      </c>
      <c r="F98" s="3" t="s">
        <v>1001</v>
      </c>
      <c r="G98" s="3" t="s">
        <v>939</v>
      </c>
    </row>
    <row r="99" customFormat="false" ht="15" hidden="false" customHeight="false" outlineLevel="0" collapsed="false">
      <c r="A99" s="3" t="s">
        <v>4</v>
      </c>
      <c r="B99" s="3" t="s">
        <v>959</v>
      </c>
      <c r="C99" s="3" t="s">
        <v>935</v>
      </c>
      <c r="D99" s="3" t="n">
        <v>1</v>
      </c>
      <c r="E99" s="3"/>
      <c r="F99" s="3"/>
      <c r="G99" s="3" t="s">
        <v>936</v>
      </c>
    </row>
    <row r="100" customFormat="false" ht="15" hidden="false" customHeight="false" outlineLevel="0" collapsed="false">
      <c r="A100" s="3" t="s">
        <v>4</v>
      </c>
      <c r="B100" s="3" t="s">
        <v>960</v>
      </c>
      <c r="C100" s="3" t="s">
        <v>935</v>
      </c>
      <c r="D100" s="3" t="n">
        <v>1</v>
      </c>
      <c r="E100" s="3"/>
      <c r="F100" s="3"/>
      <c r="G100" s="3" t="s">
        <v>936</v>
      </c>
    </row>
    <row r="101" customFormat="false" ht="15" hidden="false" customHeight="false" outlineLevel="0" collapsed="false">
      <c r="A101" s="3" t="s">
        <v>4</v>
      </c>
      <c r="B101" s="3" t="s">
        <v>961</v>
      </c>
      <c r="C101" s="3" t="s">
        <v>938</v>
      </c>
      <c r="D101" s="3" t="n">
        <v>1</v>
      </c>
      <c r="E101" s="3" t="n">
        <v>58</v>
      </c>
      <c r="F101" s="3" t="s">
        <v>1002</v>
      </c>
      <c r="G101" s="3" t="s">
        <v>939</v>
      </c>
    </row>
    <row r="102" customFormat="false" ht="15" hidden="false" customHeight="false" outlineLevel="0" collapsed="false">
      <c r="A102" s="3" t="s">
        <v>4</v>
      </c>
      <c r="B102" s="3" t="s">
        <v>963</v>
      </c>
      <c r="C102" s="3" t="s">
        <v>938</v>
      </c>
      <c r="D102" s="3" t="n">
        <v>1</v>
      </c>
      <c r="E102" s="3" t="n">
        <v>37</v>
      </c>
      <c r="F102" s="3" t="s">
        <v>1003</v>
      </c>
      <c r="G102" s="3" t="s">
        <v>939</v>
      </c>
    </row>
    <row r="103" customFormat="false" ht="15" hidden="false" customHeight="false" outlineLevel="0" collapsed="false">
      <c r="A103" s="3" t="s">
        <v>4</v>
      </c>
      <c r="B103" s="3" t="s">
        <v>965</v>
      </c>
      <c r="C103" s="3" t="s">
        <v>935</v>
      </c>
      <c r="D103" s="3" t="n">
        <v>1</v>
      </c>
      <c r="E103" s="3"/>
      <c r="F103" s="3"/>
      <c r="G103" s="3" t="s">
        <v>936</v>
      </c>
    </row>
    <row r="104" customFormat="false" ht="15" hidden="false" customHeight="false" outlineLevel="0" collapsed="false">
      <c r="A104" s="3" t="s">
        <v>4</v>
      </c>
      <c r="B104" s="3" t="s">
        <v>966</v>
      </c>
      <c r="C104" s="3" t="s">
        <v>938</v>
      </c>
      <c r="D104" s="3" t="n">
        <v>2</v>
      </c>
      <c r="E104" s="3" t="n">
        <v>28</v>
      </c>
      <c r="F104" s="3" t="s">
        <v>1004</v>
      </c>
      <c r="G104" s="3" t="s">
        <v>939</v>
      </c>
    </row>
    <row r="105" customFormat="false" ht="15" hidden="false" customHeight="false" outlineLevel="0" collapsed="false">
      <c r="A105" s="3" t="s">
        <v>4</v>
      </c>
      <c r="B105" s="3" t="s">
        <v>338</v>
      </c>
      <c r="C105" s="3" t="s">
        <v>938</v>
      </c>
      <c r="D105" s="3" t="n">
        <v>1</v>
      </c>
      <c r="E105" s="3" t="n">
        <v>16</v>
      </c>
      <c r="F105" s="3" t="s">
        <v>1005</v>
      </c>
      <c r="G105" s="3" t="s">
        <v>939</v>
      </c>
    </row>
    <row r="106" customFormat="false" ht="15" hidden="false" customHeight="false" outlineLevel="0" collapsed="false">
      <c r="A106" s="3" t="s">
        <v>4</v>
      </c>
      <c r="B106" s="3" t="s">
        <v>968</v>
      </c>
      <c r="C106" s="3" t="s">
        <v>935</v>
      </c>
      <c r="D106" s="3" t="n">
        <v>1</v>
      </c>
      <c r="E106" s="3"/>
      <c r="F106" s="3"/>
      <c r="G106" s="3" t="s">
        <v>936</v>
      </c>
    </row>
    <row r="107" customFormat="false" ht="15" hidden="false" customHeight="false" outlineLevel="0" collapsed="false">
      <c r="A107" s="3" t="s">
        <v>4</v>
      </c>
      <c r="B107" s="3" t="s">
        <v>363</v>
      </c>
      <c r="C107" s="3" t="s">
        <v>935</v>
      </c>
      <c r="D107" s="3" t="n">
        <v>2</v>
      </c>
      <c r="E107" s="3"/>
      <c r="F107" s="3"/>
      <c r="G107" s="3" t="s">
        <v>936</v>
      </c>
    </row>
    <row r="108" customFormat="false" ht="15" hidden="false" customHeight="false" outlineLevel="0" collapsed="false">
      <c r="A108" s="3" t="s">
        <v>4</v>
      </c>
      <c r="B108" s="3" t="s">
        <v>367</v>
      </c>
      <c r="C108" s="3" t="s">
        <v>938</v>
      </c>
      <c r="D108" s="3" t="n">
        <v>1</v>
      </c>
      <c r="E108" s="3" t="n">
        <v>25</v>
      </c>
      <c r="F108" s="3" t="s">
        <v>997</v>
      </c>
      <c r="G108" s="3" t="s">
        <v>939</v>
      </c>
    </row>
    <row r="109" customFormat="false" ht="15" hidden="false" customHeight="false" outlineLevel="0" collapsed="false">
      <c r="A109" s="3" t="s">
        <v>4</v>
      </c>
      <c r="B109" s="3" t="s">
        <v>370</v>
      </c>
      <c r="C109" s="3" t="s">
        <v>938</v>
      </c>
      <c r="D109" s="3" t="n">
        <v>1</v>
      </c>
      <c r="E109" s="3" t="n">
        <v>18</v>
      </c>
      <c r="F109" s="3" t="s">
        <v>1006</v>
      </c>
      <c r="G109" s="3" t="s">
        <v>939</v>
      </c>
    </row>
    <row r="110" customFormat="false" ht="15" hidden="false" customHeight="false" outlineLevel="0" collapsed="false">
      <c r="A110" s="3" t="s">
        <v>4</v>
      </c>
      <c r="B110" s="3" t="s">
        <v>969</v>
      </c>
      <c r="C110" s="3" t="s">
        <v>938</v>
      </c>
      <c r="D110" s="3" t="n">
        <v>2</v>
      </c>
      <c r="E110" s="3" t="n">
        <v>28</v>
      </c>
      <c r="F110" s="3" t="s">
        <v>1007</v>
      </c>
      <c r="G110" s="3" t="s">
        <v>939</v>
      </c>
    </row>
    <row r="111" customFormat="false" ht="15" hidden="false" customHeight="false" outlineLevel="0" collapsed="false">
      <c r="A111" s="3" t="s">
        <v>4</v>
      </c>
      <c r="B111" s="3" t="s">
        <v>971</v>
      </c>
      <c r="C111" s="3" t="s">
        <v>935</v>
      </c>
      <c r="D111" s="3" t="n">
        <v>1</v>
      </c>
      <c r="E111" s="3"/>
      <c r="F111" s="3"/>
      <c r="G111" s="3" t="s">
        <v>936</v>
      </c>
    </row>
    <row r="112" customFormat="false" ht="15" hidden="false" customHeight="false" outlineLevel="0" collapsed="false">
      <c r="A112" s="3" t="s">
        <v>4</v>
      </c>
      <c r="B112" s="3" t="s">
        <v>972</v>
      </c>
      <c r="C112" s="3" t="s">
        <v>938</v>
      </c>
      <c r="D112" s="3" t="n">
        <v>1</v>
      </c>
      <c r="E112" s="3" t="n">
        <v>26</v>
      </c>
      <c r="F112" s="3" t="s">
        <v>1008</v>
      </c>
      <c r="G112" s="3" t="s">
        <v>939</v>
      </c>
    </row>
    <row r="113" customFormat="false" ht="15" hidden="false" customHeight="false" outlineLevel="0" collapsed="false">
      <c r="A113" s="3" t="s">
        <v>4</v>
      </c>
      <c r="B113" s="3" t="s">
        <v>974</v>
      </c>
      <c r="C113" s="3" t="s">
        <v>938</v>
      </c>
      <c r="D113" s="3" t="n">
        <v>4</v>
      </c>
      <c r="E113" s="3" t="n">
        <v>38</v>
      </c>
      <c r="F113" s="3" t="s">
        <v>1009</v>
      </c>
      <c r="G113" s="3" t="s">
        <v>939</v>
      </c>
    </row>
    <row r="114" customFormat="false" ht="15" hidden="false" customHeight="false" outlineLevel="0" collapsed="false">
      <c r="A114" s="3" t="s">
        <v>4</v>
      </c>
      <c r="B114" s="3" t="s">
        <v>976</v>
      </c>
      <c r="C114" s="3" t="s">
        <v>938</v>
      </c>
      <c r="D114" s="3" t="n">
        <v>1</v>
      </c>
      <c r="E114" s="3" t="n">
        <v>25</v>
      </c>
      <c r="F114" s="3" t="s">
        <v>1010</v>
      </c>
      <c r="G114" s="3" t="s">
        <v>939</v>
      </c>
    </row>
    <row r="115" customFormat="false" ht="15" hidden="false" customHeight="false" outlineLevel="0" collapsed="false">
      <c r="A115" s="3" t="s">
        <v>4</v>
      </c>
      <c r="B115" s="3" t="s">
        <v>978</v>
      </c>
      <c r="C115" s="3" t="s">
        <v>935</v>
      </c>
      <c r="D115" s="3" t="n">
        <v>5</v>
      </c>
      <c r="E115" s="3"/>
      <c r="F115" s="3"/>
      <c r="G115" s="3" t="s">
        <v>936</v>
      </c>
    </row>
    <row r="116" customFormat="false" ht="15" hidden="false" customHeight="false" outlineLevel="0" collapsed="false">
      <c r="A116" s="3" t="s">
        <v>4</v>
      </c>
      <c r="B116" s="3" t="s">
        <v>399</v>
      </c>
      <c r="C116" s="3" t="s">
        <v>938</v>
      </c>
      <c r="D116" s="3" t="n">
        <v>1</v>
      </c>
      <c r="E116" s="3" t="n">
        <v>13</v>
      </c>
      <c r="F116" s="3" t="s">
        <v>1011</v>
      </c>
      <c r="G116" s="3" t="s">
        <v>939</v>
      </c>
    </row>
    <row r="117" customFormat="false" ht="15" hidden="false" customHeight="false" outlineLevel="0" collapsed="false">
      <c r="A117" s="3" t="s">
        <v>4</v>
      </c>
      <c r="B117" s="3" t="s">
        <v>979</v>
      </c>
      <c r="C117" s="3" t="s">
        <v>935</v>
      </c>
      <c r="D117" s="3" t="n">
        <v>1</v>
      </c>
      <c r="E117" s="3"/>
      <c r="F117" s="3"/>
      <c r="G117" s="3" t="s">
        <v>936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2026-07-18T06:18:36Z</dcterms:created>
  <dc:creator>openpyxl</dc:creator>
  <dc:description/>
  <dc:language>en-US</dc:language>
  <cp:lastModifiedBy/>
  <dcterms:modified xsi:type="dcterms:W3CDTF">2026-07-18T06:18:36Z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